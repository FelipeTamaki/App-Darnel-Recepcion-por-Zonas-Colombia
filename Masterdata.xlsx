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tamaki\Documents\ITBA\Darnel\"/>
    </mc:Choice>
  </mc:AlternateContent>
  <xr:revisionPtr revIDLastSave="0" documentId="8_{619A94A0-BE03-4D4F-8414-01424B6D6F32}" xr6:coauthVersionLast="47" xr6:coauthVersionMax="47" xr10:uidLastSave="{00000000-0000-0000-0000-000000000000}"/>
  <bookViews>
    <workbookView xWindow="-108" yWindow="-108" windowWidth="23256" windowHeight="13896" firstSheet="1" activeTab="1" xr2:uid="{AE8895A4-E97A-46B0-972F-F76CB13A9E1A}"/>
  </bookViews>
  <sheets>
    <sheet name="Calculo de Troquelado" sheetId="15" r:id="rId1"/>
    <sheet name="Masterdata" sheetId="1" r:id="rId2"/>
    <sheet name="Productividad" sheetId="16" r:id="rId3"/>
    <sheet name="Hoja3" sheetId="4" r:id="rId4"/>
    <sheet name="Hoja4" sheetId="13" r:id="rId5"/>
    <sheet name="Hoja2" sheetId="3" r:id="rId6"/>
    <sheet name="BASE SEMI" sheetId="10" r:id="rId7"/>
    <sheet name="GN Análisis" sheetId="9" r:id="rId8"/>
    <sheet name="GN Análisis (2)" sheetId="11" r:id="rId9"/>
    <sheet name="BASE GN" sheetId="6" r:id="rId10"/>
    <sheet name="Hoja1" sheetId="12" r:id="rId11"/>
    <sheet name="Hoja6" sheetId="8" r:id="rId12"/>
    <sheet name="Hoja5" sheetId="14" r:id="rId13"/>
  </sheets>
  <externalReferences>
    <externalReference r:id="rId14"/>
  </externalReferences>
  <definedNames>
    <definedName name="_xlnm._FilterDatabase" localSheetId="1" hidden="1">Masterdata!$A$3:$CG$245</definedName>
    <definedName name="_xlnm._FilterDatabase" localSheetId="2" hidden="1">Productividad!$A$250:$CG$811</definedName>
    <definedName name="DATOS1" localSheetId="1">[1]!CODPARADA[[#All],[1: Procesos ]]</definedName>
    <definedName name="DATOS1" localSheetId="2">[1]!CODPARADA[[#All],[1: Procesos ]]</definedName>
    <definedName name="_xlnm.Print_Area" localSheetId="9">'BASE GN'!$A$1:$K$36</definedName>
    <definedName name="_xlnm.Print_Area" localSheetId="8">'GN Análisis (2)'!$C$1:$BA$14</definedName>
    <definedName name="_xlnm.Print_Area" localSheetId="10">Hoja1!$A$1:$O$325</definedName>
    <definedName name="_xlnm.Print_Area" localSheetId="12">Hoja5!$A$2:$G$86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8575" i="16" l="1"/>
  <c r="K1048576" i="16" s="1"/>
  <c r="P858" i="16"/>
  <c r="Z857" i="16"/>
  <c r="AI857" i="16" s="1"/>
  <c r="Y857" i="16"/>
  <c r="W857" i="16"/>
  <c r="R857" i="16"/>
  <c r="U857" i="16" s="1"/>
  <c r="V857" i="16" s="1"/>
  <c r="P857" i="16"/>
  <c r="M857" i="16"/>
  <c r="H857" i="16"/>
  <c r="AI856" i="16"/>
  <c r="Z856" i="16"/>
  <c r="Y856" i="16" s="1"/>
  <c r="S856" i="16"/>
  <c r="R856" i="16"/>
  <c r="P856" i="16"/>
  <c r="W856" i="16" s="1"/>
  <c r="M856" i="16"/>
  <c r="H856" i="16"/>
  <c r="Z855" i="16"/>
  <c r="AI855" i="16" s="1"/>
  <c r="Y855" i="16"/>
  <c r="W855" i="16"/>
  <c r="V855" i="16"/>
  <c r="U855" i="16"/>
  <c r="R855" i="16"/>
  <c r="P855" i="16"/>
  <c r="M855" i="16"/>
  <c r="H855" i="16"/>
  <c r="Z854" i="16"/>
  <c r="Y854" i="16" s="1"/>
  <c r="R854" i="16"/>
  <c r="P854" i="16"/>
  <c r="W854" i="16" s="1"/>
  <c r="M854" i="16"/>
  <c r="H854" i="16"/>
  <c r="Z853" i="16"/>
  <c r="AI853" i="16" s="1"/>
  <c r="Y853" i="16"/>
  <c r="W853" i="16"/>
  <c r="U853" i="16"/>
  <c r="V853" i="16" s="1"/>
  <c r="R853" i="16"/>
  <c r="S853" i="16" s="1"/>
  <c r="T853" i="16" s="1"/>
  <c r="P853" i="16"/>
  <c r="M853" i="16"/>
  <c r="H853" i="16"/>
  <c r="Z852" i="16"/>
  <c r="R852" i="16"/>
  <c r="M852" i="16"/>
  <c r="H852" i="16"/>
  <c r="Z851" i="16"/>
  <c r="AI851" i="16" s="1"/>
  <c r="W851" i="16"/>
  <c r="U851" i="16"/>
  <c r="V851" i="16" s="1"/>
  <c r="T851" i="16"/>
  <c r="S851" i="16"/>
  <c r="R851" i="16"/>
  <c r="P851" i="16"/>
  <c r="M851" i="16"/>
  <c r="H851" i="16"/>
  <c r="Z850" i="16"/>
  <c r="W850" i="16" s="1"/>
  <c r="Y850" i="16"/>
  <c r="R850" i="16"/>
  <c r="M850" i="16"/>
  <c r="H850" i="16"/>
  <c r="Z849" i="16"/>
  <c r="Y849" i="16" s="1"/>
  <c r="R849" i="16"/>
  <c r="U849" i="16" s="1"/>
  <c r="V849" i="16" s="1"/>
  <c r="M849" i="16"/>
  <c r="H849" i="16"/>
  <c r="Z848" i="16"/>
  <c r="Y848" i="16" s="1"/>
  <c r="W848" i="16"/>
  <c r="V848" i="16"/>
  <c r="U848" i="16"/>
  <c r="T848" i="16"/>
  <c r="S848" i="16"/>
  <c r="R848" i="16"/>
  <c r="H848" i="16"/>
  <c r="Z847" i="16"/>
  <c r="AI847" i="16" s="1"/>
  <c r="Y847" i="16"/>
  <c r="W847" i="16"/>
  <c r="V847" i="16"/>
  <c r="U847" i="16"/>
  <c r="S847" i="16"/>
  <c r="R847" i="16"/>
  <c r="T847" i="16" s="1"/>
  <c r="M847" i="16"/>
  <c r="H847" i="16"/>
  <c r="Z846" i="16"/>
  <c r="W846" i="16" s="1"/>
  <c r="Y846" i="16"/>
  <c r="R846" i="16"/>
  <c r="M846" i="16"/>
  <c r="H846" i="16"/>
  <c r="AI845" i="16"/>
  <c r="Z845" i="16"/>
  <c r="W845" i="16" s="1"/>
  <c r="Y845" i="16"/>
  <c r="U845" i="16"/>
  <c r="V845" i="16" s="1"/>
  <c r="T845" i="16"/>
  <c r="S845" i="16"/>
  <c r="R845" i="16"/>
  <c r="M845" i="16"/>
  <c r="H845" i="16"/>
  <c r="Z844" i="16"/>
  <c r="Y844" i="16"/>
  <c r="W844" i="16"/>
  <c r="V844" i="16"/>
  <c r="U844" i="16"/>
  <c r="R844" i="16"/>
  <c r="S844" i="16" s="1"/>
  <c r="T844" i="16" s="1"/>
  <c r="M844" i="16"/>
  <c r="H844" i="16"/>
  <c r="Z843" i="16"/>
  <c r="W843" i="16" s="1"/>
  <c r="R843" i="16"/>
  <c r="U843" i="16" s="1"/>
  <c r="V843" i="16" s="1"/>
  <c r="M843" i="16"/>
  <c r="H843" i="16"/>
  <c r="Z842" i="16"/>
  <c r="R842" i="16"/>
  <c r="M842" i="16"/>
  <c r="H842" i="16"/>
  <c r="Z841" i="16"/>
  <c r="W841" i="16" s="1"/>
  <c r="Y841" i="16"/>
  <c r="U841" i="16"/>
  <c r="V841" i="16" s="1"/>
  <c r="S841" i="16"/>
  <c r="T841" i="16" s="1"/>
  <c r="R841" i="16"/>
  <c r="M841" i="16"/>
  <c r="H841" i="16"/>
  <c r="Z840" i="16"/>
  <c r="Y840" i="16"/>
  <c r="W840" i="16"/>
  <c r="U840" i="16"/>
  <c r="V840" i="16" s="1"/>
  <c r="R840" i="16"/>
  <c r="S840" i="16" s="1"/>
  <c r="T840" i="16" s="1"/>
  <c r="M840" i="16"/>
  <c r="H840" i="16"/>
  <c r="AI839" i="16"/>
  <c r="Z839" i="16"/>
  <c r="W839" i="16" s="1"/>
  <c r="Y839" i="16"/>
  <c r="R839" i="16"/>
  <c r="M839" i="16"/>
  <c r="H839" i="16"/>
  <c r="Z838" i="16"/>
  <c r="Y838" i="16" s="1"/>
  <c r="S838" i="16"/>
  <c r="T838" i="16" s="1"/>
  <c r="R838" i="16"/>
  <c r="U838" i="16" s="1"/>
  <c r="V838" i="16" s="1"/>
  <c r="M838" i="16"/>
  <c r="H838" i="16"/>
  <c r="AI837" i="16"/>
  <c r="Z837" i="16"/>
  <c r="Y837" i="16"/>
  <c r="W837" i="16"/>
  <c r="V837" i="16"/>
  <c r="U837" i="16"/>
  <c r="R837" i="16"/>
  <c r="S837" i="16" s="1"/>
  <c r="T837" i="16" s="1"/>
  <c r="M837" i="16"/>
  <c r="H837" i="16"/>
  <c r="Z836" i="16"/>
  <c r="R836" i="16"/>
  <c r="U836" i="16" s="1"/>
  <c r="V836" i="16" s="1"/>
  <c r="M836" i="16"/>
  <c r="H836" i="16"/>
  <c r="AI835" i="16"/>
  <c r="Z835" i="16"/>
  <c r="Y835" i="16" s="1"/>
  <c r="S835" i="16"/>
  <c r="T835" i="16" s="1"/>
  <c r="R835" i="16"/>
  <c r="U835" i="16" s="1"/>
  <c r="V835" i="16" s="1"/>
  <c r="M835" i="16"/>
  <c r="H835" i="16"/>
  <c r="AI834" i="16"/>
  <c r="Z834" i="16"/>
  <c r="Y834" i="16"/>
  <c r="W834" i="16"/>
  <c r="V834" i="16"/>
  <c r="U834" i="16"/>
  <c r="R834" i="16"/>
  <c r="S834" i="16" s="1"/>
  <c r="T834" i="16" s="1"/>
  <c r="M834" i="16"/>
  <c r="H834" i="16"/>
  <c r="AF833" i="16"/>
  <c r="Z833" i="16"/>
  <c r="W833" i="16" s="1"/>
  <c r="Y833" i="16"/>
  <c r="R833" i="16"/>
  <c r="M833" i="16"/>
  <c r="H833" i="16"/>
  <c r="AI832" i="16"/>
  <c r="Z832" i="16"/>
  <c r="Y832" i="16"/>
  <c r="W832" i="16"/>
  <c r="U832" i="16"/>
  <c r="V832" i="16" s="1"/>
  <c r="R832" i="16"/>
  <c r="S832" i="16" s="1"/>
  <c r="T832" i="16" s="1"/>
  <c r="H832" i="16"/>
  <c r="Z831" i="16"/>
  <c r="Y831" i="16"/>
  <c r="W831" i="16"/>
  <c r="V831" i="16"/>
  <c r="U831" i="16"/>
  <c r="S831" i="16"/>
  <c r="R831" i="16"/>
  <c r="T831" i="16" s="1"/>
  <c r="H831" i="16"/>
  <c r="Z830" i="16"/>
  <c r="Y830" i="16"/>
  <c r="W830" i="16"/>
  <c r="R830" i="16"/>
  <c r="U830" i="16" s="1"/>
  <c r="V830" i="16" s="1"/>
  <c r="H830" i="16"/>
  <c r="AI829" i="16"/>
  <c r="Z829" i="16"/>
  <c r="S829" i="16"/>
  <c r="R829" i="16"/>
  <c r="H829" i="16"/>
  <c r="AI828" i="16"/>
  <c r="Z828" i="16"/>
  <c r="W828" i="16" s="1"/>
  <c r="Y828" i="16"/>
  <c r="U828" i="16"/>
  <c r="V828" i="16" s="1"/>
  <c r="S828" i="16"/>
  <c r="T828" i="16" s="1"/>
  <c r="R828" i="16"/>
  <c r="H828" i="16"/>
  <c r="Z827" i="16"/>
  <c r="Y827" i="16" s="1"/>
  <c r="W827" i="16"/>
  <c r="U827" i="16"/>
  <c r="V827" i="16" s="1"/>
  <c r="T827" i="16"/>
  <c r="S827" i="16"/>
  <c r="R827" i="16"/>
  <c r="H827" i="16"/>
  <c r="Z826" i="16"/>
  <c r="Y826" i="16"/>
  <c r="W826" i="16"/>
  <c r="V826" i="16"/>
  <c r="U826" i="16"/>
  <c r="R826" i="16"/>
  <c r="S826" i="16" s="1"/>
  <c r="T826" i="16" s="1"/>
  <c r="H826" i="16"/>
  <c r="Z825" i="16"/>
  <c r="Y825" i="16"/>
  <c r="W825" i="16"/>
  <c r="V825" i="16"/>
  <c r="U825" i="16"/>
  <c r="S825" i="16"/>
  <c r="R825" i="16"/>
  <c r="T825" i="16" s="1"/>
  <c r="H825" i="16"/>
  <c r="Z824" i="16"/>
  <c r="Y824" i="16"/>
  <c r="W824" i="16"/>
  <c r="R824" i="16"/>
  <c r="U824" i="16" s="1"/>
  <c r="V824" i="16" s="1"/>
  <c r="H824" i="16"/>
  <c r="Z823" i="16"/>
  <c r="W823" i="16" s="1"/>
  <c r="Y823" i="16"/>
  <c r="R823" i="16"/>
  <c r="H823" i="16"/>
  <c r="Z822" i="16"/>
  <c r="R822" i="16"/>
  <c r="H822" i="16"/>
  <c r="Z821" i="16"/>
  <c r="Y821" i="16" s="1"/>
  <c r="R821" i="16"/>
  <c r="U821" i="16" s="1"/>
  <c r="V821" i="16" s="1"/>
  <c r="H821" i="16"/>
  <c r="Z820" i="16"/>
  <c r="W820" i="16" s="1"/>
  <c r="Y820" i="16"/>
  <c r="U820" i="16"/>
  <c r="V820" i="16" s="1"/>
  <c r="S820" i="16"/>
  <c r="T820" i="16" s="1"/>
  <c r="R820" i="16"/>
  <c r="H820" i="16"/>
  <c r="AI819" i="16"/>
  <c r="Z819" i="16"/>
  <c r="Y819" i="16"/>
  <c r="W819" i="16"/>
  <c r="U819" i="16"/>
  <c r="V819" i="16" s="1"/>
  <c r="R819" i="16"/>
  <c r="S819" i="16" s="1"/>
  <c r="T819" i="16" s="1"/>
  <c r="P819" i="16"/>
  <c r="M819" i="16"/>
  <c r="H819" i="16"/>
  <c r="Z818" i="16"/>
  <c r="R818" i="16"/>
  <c r="S818" i="16" s="1"/>
  <c r="M818" i="16"/>
  <c r="H818" i="16"/>
  <c r="Z817" i="16"/>
  <c r="AI817" i="16" s="1"/>
  <c r="W817" i="16"/>
  <c r="V817" i="16"/>
  <c r="U817" i="16"/>
  <c r="T817" i="16"/>
  <c r="S817" i="16"/>
  <c r="R817" i="16"/>
  <c r="P817" i="16"/>
  <c r="M817" i="16"/>
  <c r="H817" i="16"/>
  <c r="AI816" i="16"/>
  <c r="Z816" i="16"/>
  <c r="R816" i="16"/>
  <c r="M816" i="16"/>
  <c r="H816" i="16"/>
  <c r="AI815" i="16"/>
  <c r="Z815" i="16"/>
  <c r="Y815" i="16"/>
  <c r="U815" i="16"/>
  <c r="V815" i="16" s="1"/>
  <c r="S815" i="16"/>
  <c r="T815" i="16" s="1"/>
  <c r="R815" i="16"/>
  <c r="P815" i="16"/>
  <c r="W815" i="16" s="1"/>
  <c r="M815" i="16"/>
  <c r="H815" i="16"/>
  <c r="Z814" i="16"/>
  <c r="Y814" i="16"/>
  <c r="R814" i="16"/>
  <c r="U814" i="16" s="1"/>
  <c r="V814" i="16" s="1"/>
  <c r="M814" i="16"/>
  <c r="H814" i="16"/>
  <c r="R813" i="16"/>
  <c r="O813" i="16"/>
  <c r="H813" i="16"/>
  <c r="G813" i="16"/>
  <c r="V811" i="16"/>
  <c r="Q811" i="16"/>
  <c r="R811" i="16" s="1"/>
  <c r="H811" i="16"/>
  <c r="X810" i="16"/>
  <c r="V810" i="16"/>
  <c r="R810" i="16"/>
  <c r="Q810" i="16"/>
  <c r="H810" i="16"/>
  <c r="X809" i="16"/>
  <c r="V809" i="16" s="1"/>
  <c r="Q809" i="16"/>
  <c r="R809" i="16" s="1"/>
  <c r="H809" i="16"/>
  <c r="V808" i="16"/>
  <c r="Q808" i="16"/>
  <c r="R808" i="16" s="1"/>
  <c r="H808" i="16"/>
  <c r="V807" i="16"/>
  <c r="T807" i="16"/>
  <c r="S807" i="16"/>
  <c r="R807" i="16"/>
  <c r="Q807" i="16"/>
  <c r="H807" i="16"/>
  <c r="X806" i="16"/>
  <c r="V806" i="16"/>
  <c r="S806" i="16"/>
  <c r="T806" i="16" s="1"/>
  <c r="R806" i="16"/>
  <c r="Q806" i="16"/>
  <c r="H806" i="16"/>
  <c r="X805" i="16"/>
  <c r="V805" i="16"/>
  <c r="Q805" i="16"/>
  <c r="R805" i="16" s="1"/>
  <c r="H805" i="16"/>
  <c r="X804" i="16"/>
  <c r="V804" i="16"/>
  <c r="Q804" i="16"/>
  <c r="R804" i="16" s="1"/>
  <c r="H804" i="16"/>
  <c r="X803" i="16"/>
  <c r="V803" i="16" s="1"/>
  <c r="Q803" i="16"/>
  <c r="R803" i="16" s="1"/>
  <c r="H803" i="16"/>
  <c r="V802" i="16"/>
  <c r="Q802" i="16"/>
  <c r="R802" i="16" s="1"/>
  <c r="H802" i="16"/>
  <c r="X801" i="16"/>
  <c r="V801" i="16" s="1"/>
  <c r="Q801" i="16"/>
  <c r="R801" i="16" s="1"/>
  <c r="S801" i="16" s="1"/>
  <c r="H801" i="16"/>
  <c r="X800" i="16"/>
  <c r="V800" i="16"/>
  <c r="S800" i="16"/>
  <c r="T800" i="16" s="1"/>
  <c r="R800" i="16"/>
  <c r="Q800" i="16"/>
  <c r="H800" i="16"/>
  <c r="X799" i="16"/>
  <c r="V799" i="16"/>
  <c r="R799" i="16"/>
  <c r="Q799" i="16"/>
  <c r="H799" i="16"/>
  <c r="X798" i="16"/>
  <c r="V798" i="16"/>
  <c r="S798" i="16"/>
  <c r="T798" i="16" s="1"/>
  <c r="P798" i="16"/>
  <c r="Q798" i="16" s="1"/>
  <c r="H798" i="16"/>
  <c r="X797" i="16"/>
  <c r="V797" i="16"/>
  <c r="R797" i="16"/>
  <c r="Q797" i="16"/>
  <c r="H797" i="16"/>
  <c r="X796" i="16"/>
  <c r="V796" i="16" s="1"/>
  <c r="Q796" i="16"/>
  <c r="R796" i="16" s="1"/>
  <c r="H796" i="16"/>
  <c r="V795" i="16"/>
  <c r="Q795" i="16"/>
  <c r="R795" i="16" s="1"/>
  <c r="H795" i="16"/>
  <c r="X794" i="16"/>
  <c r="V794" i="16"/>
  <c r="Q794" i="16"/>
  <c r="R794" i="16" s="1"/>
  <c r="S794" i="16" s="1"/>
  <c r="H794" i="16"/>
  <c r="V793" i="16"/>
  <c r="S793" i="16"/>
  <c r="T793" i="16" s="1"/>
  <c r="R793" i="16"/>
  <c r="Q793" i="16"/>
  <c r="H793" i="16"/>
  <c r="V792" i="16"/>
  <c r="Q792" i="16"/>
  <c r="R792" i="16" s="1"/>
  <c r="H792" i="16"/>
  <c r="V791" i="16"/>
  <c r="Q791" i="16"/>
  <c r="R791" i="16" s="1"/>
  <c r="H791" i="16"/>
  <c r="V790" i="16"/>
  <c r="Q790" i="16"/>
  <c r="R790" i="16" s="1"/>
  <c r="H790" i="16"/>
  <c r="V789" i="16"/>
  <c r="T789" i="16"/>
  <c r="S789" i="16"/>
  <c r="R789" i="16"/>
  <c r="Q789" i="16"/>
  <c r="H789" i="16"/>
  <c r="X788" i="16"/>
  <c r="V788" i="16"/>
  <c r="R788" i="16"/>
  <c r="S788" i="16" s="1"/>
  <c r="Q788" i="16"/>
  <c r="H788" i="16"/>
  <c r="V787" i="16"/>
  <c r="Q787" i="16"/>
  <c r="R787" i="16" s="1"/>
  <c r="V786" i="16"/>
  <c r="T786" i="16"/>
  <c r="Q786" i="16"/>
  <c r="R786" i="16" s="1"/>
  <c r="S786" i="16" s="1"/>
  <c r="H786" i="16"/>
  <c r="V785" i="16"/>
  <c r="R785" i="16"/>
  <c r="Q785" i="16"/>
  <c r="H785" i="16"/>
  <c r="V784" i="16"/>
  <c r="S784" i="16"/>
  <c r="R784" i="16"/>
  <c r="T784" i="16" s="1"/>
  <c r="Q784" i="16"/>
  <c r="H784" i="16"/>
  <c r="V783" i="16"/>
  <c r="Q783" i="16"/>
  <c r="R783" i="16" s="1"/>
  <c r="H783" i="16"/>
  <c r="V782" i="16"/>
  <c r="Q782" i="16"/>
  <c r="R782" i="16" s="1"/>
  <c r="H782" i="16"/>
  <c r="V781" i="16"/>
  <c r="R781" i="16"/>
  <c r="Q781" i="16"/>
  <c r="H781" i="16"/>
  <c r="V780" i="16"/>
  <c r="Q780" i="16"/>
  <c r="R780" i="16" s="1"/>
  <c r="H780" i="16"/>
  <c r="V779" i="16"/>
  <c r="Q779" i="16"/>
  <c r="R779" i="16" s="1"/>
  <c r="H779" i="16"/>
  <c r="V778" i="16"/>
  <c r="Q778" i="16"/>
  <c r="R778" i="16" s="1"/>
  <c r="S778" i="16" s="1"/>
  <c r="H778" i="16"/>
  <c r="X777" i="16"/>
  <c r="V777" i="16" s="1"/>
  <c r="R777" i="16"/>
  <c r="Q777" i="16"/>
  <c r="H777" i="16"/>
  <c r="X776" i="16"/>
  <c r="V776" i="16"/>
  <c r="Q776" i="16"/>
  <c r="R776" i="16" s="1"/>
  <c r="H776" i="16"/>
  <c r="V775" i="16"/>
  <c r="Q775" i="16"/>
  <c r="R775" i="16" s="1"/>
  <c r="H775" i="16"/>
  <c r="V774" i="16"/>
  <c r="Q774" i="16"/>
  <c r="R774" i="16" s="1"/>
  <c r="H774" i="16"/>
  <c r="V773" i="16"/>
  <c r="Q773" i="16"/>
  <c r="R773" i="16" s="1"/>
  <c r="H773" i="16"/>
  <c r="V772" i="16"/>
  <c r="Q772" i="16"/>
  <c r="R772" i="16" s="1"/>
  <c r="H772" i="16"/>
  <c r="V771" i="16"/>
  <c r="Q771" i="16"/>
  <c r="R771" i="16" s="1"/>
  <c r="H771" i="16"/>
  <c r="V770" i="16"/>
  <c r="Q770" i="16"/>
  <c r="R770" i="16" s="1"/>
  <c r="H770" i="16"/>
  <c r="V769" i="16"/>
  <c r="Q769" i="16"/>
  <c r="R769" i="16" s="1"/>
  <c r="H769" i="16"/>
  <c r="V768" i="16"/>
  <c r="R768" i="16"/>
  <c r="Q768" i="16"/>
  <c r="H768" i="16"/>
  <c r="V767" i="16"/>
  <c r="Q767" i="16"/>
  <c r="R767" i="16" s="1"/>
  <c r="H767" i="16"/>
  <c r="V766" i="16"/>
  <c r="Q766" i="16"/>
  <c r="R766" i="16" s="1"/>
  <c r="H766" i="16"/>
  <c r="V765" i="16"/>
  <c r="Q765" i="16"/>
  <c r="R765" i="16" s="1"/>
  <c r="H765" i="16"/>
  <c r="V764" i="16"/>
  <c r="Q764" i="16"/>
  <c r="R764" i="16" s="1"/>
  <c r="H764" i="16"/>
  <c r="V763" i="16"/>
  <c r="T763" i="16"/>
  <c r="Q763" i="16"/>
  <c r="R763" i="16" s="1"/>
  <c r="S763" i="16" s="1"/>
  <c r="H763" i="16"/>
  <c r="V762" i="16"/>
  <c r="Q762" i="16"/>
  <c r="R762" i="16" s="1"/>
  <c r="H762" i="16"/>
  <c r="V761" i="16"/>
  <c r="S761" i="16"/>
  <c r="T761" i="16" s="1"/>
  <c r="Q761" i="16"/>
  <c r="R761" i="16" s="1"/>
  <c r="H761" i="16"/>
  <c r="V760" i="16"/>
  <c r="Q760" i="16"/>
  <c r="R760" i="16" s="1"/>
  <c r="S760" i="16" s="1"/>
  <c r="T760" i="16" s="1"/>
  <c r="H760" i="16"/>
  <c r="V759" i="16"/>
  <c r="R759" i="16"/>
  <c r="Q759" i="16"/>
  <c r="H759" i="16"/>
  <c r="V758" i="16"/>
  <c r="R758" i="16"/>
  <c r="Q758" i="16"/>
  <c r="H758" i="16"/>
  <c r="V757" i="16"/>
  <c r="T757" i="16"/>
  <c r="S757" i="16"/>
  <c r="Q757" i="16"/>
  <c r="R757" i="16" s="1"/>
  <c r="H757" i="16"/>
  <c r="V756" i="16"/>
  <c r="Q756" i="16"/>
  <c r="R756" i="16" s="1"/>
  <c r="H756" i="16"/>
  <c r="V755" i="16"/>
  <c r="S755" i="16"/>
  <c r="Q755" i="16"/>
  <c r="R755" i="16" s="1"/>
  <c r="H755" i="16"/>
  <c r="V754" i="16"/>
  <c r="R754" i="16"/>
  <c r="Q754" i="16"/>
  <c r="H754" i="16"/>
  <c r="V753" i="16"/>
  <c r="Q753" i="16"/>
  <c r="R753" i="16" s="1"/>
  <c r="H753" i="16"/>
  <c r="V752" i="16"/>
  <c r="R752" i="16"/>
  <c r="Q752" i="16"/>
  <c r="H752" i="16"/>
  <c r="V751" i="16"/>
  <c r="S751" i="16"/>
  <c r="T751" i="16" s="1"/>
  <c r="Q751" i="16"/>
  <c r="R751" i="16" s="1"/>
  <c r="H751" i="16"/>
  <c r="V750" i="16"/>
  <c r="Q750" i="16"/>
  <c r="R750" i="16" s="1"/>
  <c r="H750" i="16"/>
  <c r="V749" i="16"/>
  <c r="Q749" i="16"/>
  <c r="R749" i="16" s="1"/>
  <c r="H749" i="16"/>
  <c r="V748" i="16"/>
  <c r="R748" i="16"/>
  <c r="Q748" i="16"/>
  <c r="H748" i="16"/>
  <c r="V747" i="16"/>
  <c r="Q747" i="16"/>
  <c r="R747" i="16" s="1"/>
  <c r="H747" i="16"/>
  <c r="V746" i="16"/>
  <c r="R746" i="16"/>
  <c r="Q746" i="16"/>
  <c r="H746" i="16"/>
  <c r="V745" i="16"/>
  <c r="S745" i="16"/>
  <c r="T745" i="16" s="1"/>
  <c r="Q745" i="16"/>
  <c r="R745" i="16" s="1"/>
  <c r="H745" i="16"/>
  <c r="V744" i="16"/>
  <c r="Q744" i="16"/>
  <c r="R744" i="16" s="1"/>
  <c r="H744" i="16"/>
  <c r="V743" i="16"/>
  <c r="Q743" i="16"/>
  <c r="R743" i="16" s="1"/>
  <c r="H743" i="16"/>
  <c r="V742" i="16"/>
  <c r="Q742" i="16"/>
  <c r="R742" i="16" s="1"/>
  <c r="H742" i="16"/>
  <c r="X741" i="16"/>
  <c r="V741" i="16"/>
  <c r="Q741" i="16"/>
  <c r="R741" i="16" s="1"/>
  <c r="H741" i="16"/>
  <c r="V740" i="16"/>
  <c r="T740" i="16"/>
  <c r="R740" i="16"/>
  <c r="S740" i="16" s="1"/>
  <c r="Q740" i="16"/>
  <c r="H740" i="16"/>
  <c r="X739" i="16"/>
  <c r="V739" i="16" s="1"/>
  <c r="S739" i="16"/>
  <c r="Q739" i="16"/>
  <c r="R739" i="16" s="1"/>
  <c r="H739" i="16"/>
  <c r="V738" i="16"/>
  <c r="Q738" i="16"/>
  <c r="R738" i="16" s="1"/>
  <c r="S738" i="16" s="1"/>
  <c r="H738" i="16"/>
  <c r="V737" i="16"/>
  <c r="R737" i="16"/>
  <c r="Q737" i="16"/>
  <c r="H737" i="16"/>
  <c r="V736" i="16"/>
  <c r="Q736" i="16"/>
  <c r="R736" i="16" s="1"/>
  <c r="S736" i="16" s="1"/>
  <c r="T736" i="16" s="1"/>
  <c r="H736" i="16"/>
  <c r="V735" i="16"/>
  <c r="T735" i="16"/>
  <c r="Q735" i="16"/>
  <c r="R735" i="16" s="1"/>
  <c r="S735" i="16" s="1"/>
  <c r="H735" i="16"/>
  <c r="V734" i="16"/>
  <c r="R734" i="16"/>
  <c r="Q734" i="16"/>
  <c r="H734" i="16"/>
  <c r="V733" i="16"/>
  <c r="Q733" i="16"/>
  <c r="R733" i="16" s="1"/>
  <c r="H733" i="16"/>
  <c r="V732" i="16"/>
  <c r="Q732" i="16"/>
  <c r="R732" i="16" s="1"/>
  <c r="H732" i="16"/>
  <c r="V731" i="16"/>
  <c r="R731" i="16"/>
  <c r="Q731" i="16"/>
  <c r="H731" i="16"/>
  <c r="X730" i="16"/>
  <c r="V730" i="16" s="1"/>
  <c r="Q730" i="16"/>
  <c r="R730" i="16" s="1"/>
  <c r="H730" i="16"/>
  <c r="X729" i="16"/>
  <c r="V729" i="16"/>
  <c r="Q729" i="16"/>
  <c r="R729" i="16" s="1"/>
  <c r="S729" i="16" s="1"/>
  <c r="H729" i="16"/>
  <c r="X728" i="16"/>
  <c r="V728" i="16" s="1"/>
  <c r="R728" i="16"/>
  <c r="Q728" i="16"/>
  <c r="H728" i="16"/>
  <c r="V727" i="16"/>
  <c r="T727" i="16"/>
  <c r="S727" i="16"/>
  <c r="Q727" i="16"/>
  <c r="R727" i="16" s="1"/>
  <c r="H727" i="16"/>
  <c r="V726" i="16"/>
  <c r="Q726" i="16"/>
  <c r="R726" i="16" s="1"/>
  <c r="H726" i="16"/>
  <c r="V725" i="16"/>
  <c r="S725" i="16"/>
  <c r="Q725" i="16"/>
  <c r="R725" i="16" s="1"/>
  <c r="H725" i="16"/>
  <c r="V724" i="16"/>
  <c r="Q724" i="16"/>
  <c r="R724" i="16" s="1"/>
  <c r="H724" i="16"/>
  <c r="V723" i="16"/>
  <c r="Q723" i="16"/>
  <c r="R723" i="16" s="1"/>
  <c r="H723" i="16"/>
  <c r="V722" i="16"/>
  <c r="S722" i="16"/>
  <c r="Q722" i="16"/>
  <c r="R722" i="16" s="1"/>
  <c r="H722" i="16"/>
  <c r="V721" i="16"/>
  <c r="Q721" i="16"/>
  <c r="R721" i="16" s="1"/>
  <c r="S721" i="16" s="1"/>
  <c r="H721" i="16"/>
  <c r="V720" i="16"/>
  <c r="R720" i="16"/>
  <c r="Q720" i="16"/>
  <c r="H720" i="16"/>
  <c r="X719" i="16"/>
  <c r="V719" i="16"/>
  <c r="Q719" i="16"/>
  <c r="R719" i="16" s="1"/>
  <c r="H719" i="16"/>
  <c r="V718" i="16"/>
  <c r="R718" i="16"/>
  <c r="Q718" i="16"/>
  <c r="H718" i="16"/>
  <c r="V717" i="16"/>
  <c r="S717" i="16"/>
  <c r="T717" i="16" s="1"/>
  <c r="Q717" i="16"/>
  <c r="R717" i="16" s="1"/>
  <c r="H717" i="16"/>
  <c r="X716" i="16"/>
  <c r="V716" i="16"/>
  <c r="S716" i="16"/>
  <c r="R716" i="16"/>
  <c r="Q716" i="16"/>
  <c r="H716" i="16"/>
  <c r="V715" i="16"/>
  <c r="Q715" i="16"/>
  <c r="R715" i="16" s="1"/>
  <c r="H715" i="16"/>
  <c r="V714" i="16"/>
  <c r="Q714" i="16"/>
  <c r="R714" i="16" s="1"/>
  <c r="H714" i="16"/>
  <c r="X713" i="16"/>
  <c r="V713" i="16"/>
  <c r="S713" i="16"/>
  <c r="T713" i="16" s="1"/>
  <c r="R713" i="16"/>
  <c r="Q713" i="16"/>
  <c r="H713" i="16"/>
  <c r="V712" i="16"/>
  <c r="Q712" i="16"/>
  <c r="R712" i="16" s="1"/>
  <c r="H712" i="16"/>
  <c r="V711" i="16"/>
  <c r="T711" i="16"/>
  <c r="Q711" i="16"/>
  <c r="R711" i="16" s="1"/>
  <c r="S711" i="16" s="1"/>
  <c r="H711" i="16"/>
  <c r="V710" i="16"/>
  <c r="Q710" i="16"/>
  <c r="R710" i="16" s="1"/>
  <c r="H710" i="16"/>
  <c r="V709" i="16"/>
  <c r="R709" i="16"/>
  <c r="Q709" i="16"/>
  <c r="H709" i="16"/>
  <c r="X708" i="16"/>
  <c r="V708" i="16" s="1"/>
  <c r="Q708" i="16"/>
  <c r="R708" i="16" s="1"/>
  <c r="H708" i="16"/>
  <c r="V707" i="16"/>
  <c r="T707" i="16"/>
  <c r="Q707" i="16"/>
  <c r="R707" i="16" s="1"/>
  <c r="S707" i="16" s="1"/>
  <c r="H707" i="16"/>
  <c r="V706" i="16"/>
  <c r="Q706" i="16"/>
  <c r="R706" i="16" s="1"/>
  <c r="H706" i="16"/>
  <c r="V705" i="16"/>
  <c r="S705" i="16"/>
  <c r="R705" i="16"/>
  <c r="Q705" i="16"/>
  <c r="H705" i="16"/>
  <c r="V704" i="16"/>
  <c r="Q704" i="16"/>
  <c r="R704" i="16" s="1"/>
  <c r="H704" i="16"/>
  <c r="V703" i="16"/>
  <c r="S703" i="16"/>
  <c r="Q703" i="16"/>
  <c r="R703" i="16" s="1"/>
  <c r="H703" i="16"/>
  <c r="V702" i="16"/>
  <c r="Q702" i="16"/>
  <c r="R702" i="16" s="1"/>
  <c r="S702" i="16" s="1"/>
  <c r="H702" i="16"/>
  <c r="V701" i="16"/>
  <c r="S701" i="16"/>
  <c r="R701" i="16"/>
  <c r="T701" i="16" s="1"/>
  <c r="Q701" i="16"/>
  <c r="H701" i="16"/>
  <c r="V700" i="16"/>
  <c r="Q700" i="16"/>
  <c r="R700" i="16" s="1"/>
  <c r="H700" i="16"/>
  <c r="V699" i="16"/>
  <c r="Q699" i="16"/>
  <c r="R699" i="16" s="1"/>
  <c r="H699" i="16"/>
  <c r="V698" i="16"/>
  <c r="Q698" i="16"/>
  <c r="R698" i="16" s="1"/>
  <c r="S698" i="16" s="1"/>
  <c r="H698" i="16"/>
  <c r="V697" i="16"/>
  <c r="R697" i="16"/>
  <c r="S697" i="16" s="1"/>
  <c r="Q697" i="16"/>
  <c r="H697" i="16"/>
  <c r="X696" i="16"/>
  <c r="V696" i="16" s="1"/>
  <c r="Q696" i="16"/>
  <c r="R696" i="16" s="1"/>
  <c r="H696" i="16"/>
  <c r="V695" i="16"/>
  <c r="T695" i="16"/>
  <c r="Q695" i="16"/>
  <c r="R695" i="16" s="1"/>
  <c r="S695" i="16" s="1"/>
  <c r="H695" i="16"/>
  <c r="V694" i="16"/>
  <c r="R694" i="16"/>
  <c r="Q694" i="16"/>
  <c r="H694" i="16"/>
  <c r="V693" i="16"/>
  <c r="Q693" i="16"/>
  <c r="R693" i="16" s="1"/>
  <c r="S693" i="16" s="1"/>
  <c r="T693" i="16" s="1"/>
  <c r="H693" i="16"/>
  <c r="V692" i="16"/>
  <c r="R692" i="16"/>
  <c r="Q692" i="16"/>
  <c r="H692" i="16"/>
  <c r="V691" i="16"/>
  <c r="Q691" i="16"/>
  <c r="R691" i="16" s="1"/>
  <c r="S691" i="16" s="1"/>
  <c r="H691" i="16"/>
  <c r="X690" i="16"/>
  <c r="V690" i="16" s="1"/>
  <c r="S690" i="16"/>
  <c r="Q690" i="16"/>
  <c r="R690" i="16" s="1"/>
  <c r="H690" i="16"/>
  <c r="X689" i="16"/>
  <c r="V689" i="16" s="1"/>
  <c r="R689" i="16"/>
  <c r="Q689" i="16"/>
  <c r="H689" i="16"/>
  <c r="V688" i="16"/>
  <c r="S688" i="16"/>
  <c r="Q688" i="16"/>
  <c r="R688" i="16" s="1"/>
  <c r="H688" i="16"/>
  <c r="V687" i="16"/>
  <c r="Q687" i="16"/>
  <c r="R687" i="16" s="1"/>
  <c r="H687" i="16"/>
  <c r="V686" i="16"/>
  <c r="T686" i="16"/>
  <c r="Q686" i="16"/>
  <c r="R686" i="16" s="1"/>
  <c r="S686" i="16" s="1"/>
  <c r="H686" i="16"/>
  <c r="V685" i="16"/>
  <c r="R685" i="16"/>
  <c r="Q685" i="16"/>
  <c r="H685" i="16"/>
  <c r="V684" i="16"/>
  <c r="T684" i="16"/>
  <c r="S684" i="16"/>
  <c r="Q684" i="16"/>
  <c r="R684" i="16" s="1"/>
  <c r="H684" i="16"/>
  <c r="V683" i="16"/>
  <c r="Q683" i="16"/>
  <c r="R683" i="16" s="1"/>
  <c r="H683" i="16"/>
  <c r="V682" i="16"/>
  <c r="T682" i="16"/>
  <c r="Q682" i="16"/>
  <c r="R682" i="16" s="1"/>
  <c r="S682" i="16" s="1"/>
  <c r="H682" i="16"/>
  <c r="V681" i="16"/>
  <c r="R681" i="16"/>
  <c r="Q681" i="16"/>
  <c r="H681" i="16"/>
  <c r="V680" i="16"/>
  <c r="T680" i="16"/>
  <c r="Q680" i="16"/>
  <c r="R680" i="16" s="1"/>
  <c r="S680" i="16" s="1"/>
  <c r="H680" i="16"/>
  <c r="V679" i="16"/>
  <c r="R679" i="16"/>
  <c r="Q679" i="16"/>
  <c r="H679" i="16"/>
  <c r="V678" i="16"/>
  <c r="Q678" i="16"/>
  <c r="R678" i="16" s="1"/>
  <c r="S678" i="16" s="1"/>
  <c r="H678" i="16"/>
  <c r="V677" i="16"/>
  <c r="R677" i="16"/>
  <c r="Q677" i="16"/>
  <c r="H677" i="16"/>
  <c r="V676" i="16"/>
  <c r="S676" i="16"/>
  <c r="Q676" i="16"/>
  <c r="R676" i="16" s="1"/>
  <c r="T676" i="16" s="1"/>
  <c r="H676" i="16"/>
  <c r="V675" i="16"/>
  <c r="Q675" i="16"/>
  <c r="R675" i="16" s="1"/>
  <c r="H675" i="16"/>
  <c r="V674" i="16"/>
  <c r="T674" i="16"/>
  <c r="Q674" i="16"/>
  <c r="R674" i="16" s="1"/>
  <c r="S674" i="16" s="1"/>
  <c r="H674" i="16"/>
  <c r="V673" i="16"/>
  <c r="R673" i="16"/>
  <c r="Q673" i="16"/>
  <c r="H673" i="16"/>
  <c r="V672" i="16"/>
  <c r="Q672" i="16"/>
  <c r="R672" i="16" s="1"/>
  <c r="H672" i="16"/>
  <c r="V671" i="16"/>
  <c r="R671" i="16"/>
  <c r="Q671" i="16"/>
  <c r="H671" i="16"/>
  <c r="V670" i="16"/>
  <c r="Q670" i="16"/>
  <c r="R670" i="16" s="1"/>
  <c r="S670" i="16" s="1"/>
  <c r="H670" i="16"/>
  <c r="V669" i="16"/>
  <c r="R669" i="16"/>
  <c r="Q669" i="16"/>
  <c r="H669" i="16"/>
  <c r="X668" i="16"/>
  <c r="V668" i="16"/>
  <c r="Q668" i="16"/>
  <c r="R668" i="16" s="1"/>
  <c r="S668" i="16" s="1"/>
  <c r="H668" i="16"/>
  <c r="V667" i="16"/>
  <c r="S667" i="16"/>
  <c r="R667" i="16"/>
  <c r="Q667" i="16"/>
  <c r="H667" i="16"/>
  <c r="V666" i="16"/>
  <c r="Q666" i="16"/>
  <c r="R666" i="16" s="1"/>
  <c r="H666" i="16"/>
  <c r="V665" i="16"/>
  <c r="S665" i="16"/>
  <c r="Q665" i="16"/>
  <c r="R665" i="16" s="1"/>
  <c r="H665" i="16"/>
  <c r="V664" i="16"/>
  <c r="Q664" i="16"/>
  <c r="R664" i="16" s="1"/>
  <c r="S664" i="16" s="1"/>
  <c r="H664" i="16"/>
  <c r="V663" i="16"/>
  <c r="S663" i="16"/>
  <c r="R663" i="16"/>
  <c r="Q663" i="16"/>
  <c r="H663" i="16"/>
  <c r="V662" i="16"/>
  <c r="Q662" i="16"/>
  <c r="R662" i="16" s="1"/>
  <c r="H662" i="16"/>
  <c r="X661" i="16"/>
  <c r="V661" i="16"/>
  <c r="Q661" i="16"/>
  <c r="R661" i="16" s="1"/>
  <c r="S661" i="16" s="1"/>
  <c r="H661" i="16"/>
  <c r="V660" i="16"/>
  <c r="R660" i="16"/>
  <c r="Q660" i="16"/>
  <c r="H660" i="16"/>
  <c r="V659" i="16"/>
  <c r="S659" i="16"/>
  <c r="T659" i="16" s="1"/>
  <c r="Q659" i="16"/>
  <c r="R659" i="16" s="1"/>
  <c r="H659" i="16"/>
  <c r="V658" i="16"/>
  <c r="Q658" i="16"/>
  <c r="R658" i="16" s="1"/>
  <c r="H658" i="16"/>
  <c r="V657" i="16"/>
  <c r="T657" i="16"/>
  <c r="Q657" i="16"/>
  <c r="R657" i="16" s="1"/>
  <c r="S657" i="16" s="1"/>
  <c r="H657" i="16"/>
  <c r="V656" i="16"/>
  <c r="R656" i="16"/>
  <c r="Q656" i="16"/>
  <c r="H656" i="16"/>
  <c r="V655" i="16"/>
  <c r="Q655" i="16"/>
  <c r="R655" i="16" s="1"/>
  <c r="H655" i="16"/>
  <c r="X654" i="16"/>
  <c r="V654" i="16"/>
  <c r="S654" i="16"/>
  <c r="R654" i="16"/>
  <c r="Q654" i="16"/>
  <c r="H654" i="16"/>
  <c r="V653" i="16"/>
  <c r="Q653" i="16"/>
  <c r="R653" i="16" s="1"/>
  <c r="H653" i="16"/>
  <c r="V652" i="16"/>
  <c r="S652" i="16"/>
  <c r="Q652" i="16"/>
  <c r="R652" i="16" s="1"/>
  <c r="H652" i="16"/>
  <c r="X651" i="16"/>
  <c r="V651" i="16"/>
  <c r="R651" i="16"/>
  <c r="Q651" i="16"/>
  <c r="H651" i="16"/>
  <c r="AC650" i="16"/>
  <c r="X650" i="16"/>
  <c r="V650" i="16"/>
  <c r="R650" i="16"/>
  <c r="Q650" i="16"/>
  <c r="H650" i="16"/>
  <c r="V649" i="16"/>
  <c r="T649" i="16"/>
  <c r="S649" i="16"/>
  <c r="Q649" i="16"/>
  <c r="R649" i="16" s="1"/>
  <c r="H649" i="16"/>
  <c r="V648" i="16"/>
  <c r="Q648" i="16"/>
  <c r="R648" i="16" s="1"/>
  <c r="H648" i="16"/>
  <c r="V647" i="16"/>
  <c r="T647" i="16"/>
  <c r="Q647" i="16"/>
  <c r="R647" i="16" s="1"/>
  <c r="S647" i="16" s="1"/>
  <c r="H647" i="16"/>
  <c r="X646" i="16"/>
  <c r="V646" i="16" s="1"/>
  <c r="Q646" i="16"/>
  <c r="R646" i="16" s="1"/>
  <c r="H646" i="16"/>
  <c r="X645" i="16"/>
  <c r="V645" i="16"/>
  <c r="R645" i="16"/>
  <c r="Q645" i="16"/>
  <c r="H645" i="16"/>
  <c r="V644" i="16"/>
  <c r="Q644" i="16"/>
  <c r="R644" i="16" s="1"/>
  <c r="H644" i="16"/>
  <c r="V643" i="16"/>
  <c r="R643" i="16"/>
  <c r="Q643" i="16"/>
  <c r="H643" i="16"/>
  <c r="V642" i="16"/>
  <c r="Q642" i="16"/>
  <c r="R642" i="16" s="1"/>
  <c r="H642" i="16"/>
  <c r="V641" i="16"/>
  <c r="R641" i="16"/>
  <c r="Q641" i="16"/>
  <c r="H641" i="16"/>
  <c r="V640" i="16"/>
  <c r="Q640" i="16"/>
  <c r="R640" i="16" s="1"/>
  <c r="H640" i="16"/>
  <c r="V639" i="16"/>
  <c r="Q639" i="16"/>
  <c r="R639" i="16" s="1"/>
  <c r="H639" i="16"/>
  <c r="V638" i="16"/>
  <c r="Q638" i="16"/>
  <c r="R638" i="16" s="1"/>
  <c r="S638" i="16" s="1"/>
  <c r="H638" i="16"/>
  <c r="V637" i="16"/>
  <c r="R637" i="16"/>
  <c r="Q637" i="16"/>
  <c r="H637" i="16"/>
  <c r="X636" i="16"/>
  <c r="V636" i="16"/>
  <c r="T636" i="16"/>
  <c r="Q636" i="16"/>
  <c r="R636" i="16" s="1"/>
  <c r="S636" i="16" s="1"/>
  <c r="H636" i="16"/>
  <c r="V635" i="16"/>
  <c r="R635" i="16"/>
  <c r="Q635" i="16"/>
  <c r="H635" i="16"/>
  <c r="V634" i="16"/>
  <c r="Q634" i="16"/>
  <c r="R634" i="16" s="1"/>
  <c r="H634" i="16"/>
  <c r="V633" i="16"/>
  <c r="Q633" i="16"/>
  <c r="R633" i="16" s="1"/>
  <c r="H633" i="16"/>
  <c r="V632" i="16"/>
  <c r="T632" i="16"/>
  <c r="Q632" i="16"/>
  <c r="R632" i="16" s="1"/>
  <c r="S632" i="16" s="1"/>
  <c r="H632" i="16"/>
  <c r="V631" i="16"/>
  <c r="S631" i="16"/>
  <c r="R631" i="16"/>
  <c r="Q631" i="16"/>
  <c r="H631" i="16"/>
  <c r="V630" i="16"/>
  <c r="Q630" i="16"/>
  <c r="R630" i="16" s="1"/>
  <c r="H630" i="16"/>
  <c r="V629" i="16"/>
  <c r="Q629" i="16"/>
  <c r="R629" i="16" s="1"/>
  <c r="H629" i="16"/>
  <c r="X628" i="16"/>
  <c r="V628" i="16"/>
  <c r="R628" i="16"/>
  <c r="Q628" i="16"/>
  <c r="H628" i="16"/>
  <c r="X627" i="16"/>
  <c r="V627" i="16"/>
  <c r="R627" i="16"/>
  <c r="S627" i="16" s="1"/>
  <c r="Q627" i="16"/>
  <c r="H627" i="16"/>
  <c r="V626" i="16"/>
  <c r="R626" i="16"/>
  <c r="Q626" i="16"/>
  <c r="H626" i="16"/>
  <c r="X625" i="16"/>
  <c r="V625" i="16" s="1"/>
  <c r="Q625" i="16"/>
  <c r="R625" i="16" s="1"/>
  <c r="H625" i="16"/>
  <c r="X624" i="16"/>
  <c r="V624" i="16"/>
  <c r="Q624" i="16"/>
  <c r="R624" i="16" s="1"/>
  <c r="H624" i="16"/>
  <c r="V623" i="16"/>
  <c r="Q623" i="16"/>
  <c r="R623" i="16" s="1"/>
  <c r="H623" i="16"/>
  <c r="V622" i="16"/>
  <c r="T622" i="16"/>
  <c r="Q622" i="16"/>
  <c r="R622" i="16" s="1"/>
  <c r="S622" i="16" s="1"/>
  <c r="H622" i="16"/>
  <c r="X621" i="16"/>
  <c r="V621" i="16"/>
  <c r="Q621" i="16"/>
  <c r="R621" i="16" s="1"/>
  <c r="H621" i="16"/>
  <c r="V620" i="16"/>
  <c r="Q620" i="16"/>
  <c r="R620" i="16" s="1"/>
  <c r="H620" i="16"/>
  <c r="X619" i="16"/>
  <c r="V619" i="16"/>
  <c r="Q619" i="16"/>
  <c r="R619" i="16" s="1"/>
  <c r="H619" i="16"/>
  <c r="V618" i="16"/>
  <c r="Q618" i="16"/>
  <c r="R618" i="16" s="1"/>
  <c r="H618" i="16"/>
  <c r="X617" i="16"/>
  <c r="V617" i="16"/>
  <c r="R617" i="16"/>
  <c r="Q617" i="16"/>
  <c r="H617" i="16"/>
  <c r="V616" i="16"/>
  <c r="S616" i="16"/>
  <c r="Q616" i="16"/>
  <c r="R616" i="16" s="1"/>
  <c r="H616" i="16"/>
  <c r="X615" i="16"/>
  <c r="V615" i="16"/>
  <c r="S615" i="16"/>
  <c r="T615" i="16" s="1"/>
  <c r="R615" i="16"/>
  <c r="Q615" i="16"/>
  <c r="H615" i="16"/>
  <c r="X614" i="16"/>
  <c r="V614" i="16" s="1"/>
  <c r="Q614" i="16"/>
  <c r="R614" i="16" s="1"/>
  <c r="H614" i="16"/>
  <c r="X613" i="16"/>
  <c r="V613" i="16"/>
  <c r="R613" i="16"/>
  <c r="Q613" i="16"/>
  <c r="H613" i="16"/>
  <c r="X612" i="16"/>
  <c r="V612" i="16"/>
  <c r="T612" i="16"/>
  <c r="Q612" i="16"/>
  <c r="R612" i="16" s="1"/>
  <c r="S612" i="16" s="1"/>
  <c r="H612" i="16"/>
  <c r="X611" i="16"/>
  <c r="V611" i="16" s="1"/>
  <c r="S611" i="16"/>
  <c r="T611" i="16" s="1"/>
  <c r="Q611" i="16"/>
  <c r="R611" i="16" s="1"/>
  <c r="H611" i="16"/>
  <c r="X610" i="16"/>
  <c r="V610" i="16" s="1"/>
  <c r="R610" i="16"/>
  <c r="Q610" i="16"/>
  <c r="H610" i="16"/>
  <c r="X609" i="16"/>
  <c r="V609" i="16"/>
  <c r="Q609" i="16"/>
  <c r="R609" i="16" s="1"/>
  <c r="H609" i="16"/>
  <c r="X608" i="16"/>
  <c r="V608" i="16"/>
  <c r="Q608" i="16"/>
  <c r="R608" i="16" s="1"/>
  <c r="H608" i="16"/>
  <c r="V607" i="16"/>
  <c r="S607" i="16"/>
  <c r="Q607" i="16"/>
  <c r="R607" i="16" s="1"/>
  <c r="H607" i="16"/>
  <c r="X606" i="16"/>
  <c r="V606" i="16"/>
  <c r="Q606" i="16"/>
  <c r="R606" i="16" s="1"/>
  <c r="H606" i="16"/>
  <c r="V605" i="16"/>
  <c r="Q605" i="16"/>
  <c r="R605" i="16" s="1"/>
  <c r="H605" i="16"/>
  <c r="V604" i="16"/>
  <c r="Q604" i="16"/>
  <c r="R604" i="16" s="1"/>
  <c r="S604" i="16" s="1"/>
  <c r="H604" i="16"/>
  <c r="V603" i="16"/>
  <c r="R603" i="16"/>
  <c r="Q603" i="16"/>
  <c r="H603" i="16"/>
  <c r="V602" i="16"/>
  <c r="Q602" i="16"/>
  <c r="R602" i="16" s="1"/>
  <c r="H602" i="16"/>
  <c r="V601" i="16"/>
  <c r="T601" i="16"/>
  <c r="Q601" i="16"/>
  <c r="R601" i="16" s="1"/>
  <c r="S601" i="16" s="1"/>
  <c r="H601" i="16"/>
  <c r="V600" i="16"/>
  <c r="Q600" i="16"/>
  <c r="R600" i="16" s="1"/>
  <c r="H600" i="16"/>
  <c r="X599" i="16"/>
  <c r="V599" i="16"/>
  <c r="R599" i="16"/>
  <c r="Q599" i="16"/>
  <c r="H599" i="16"/>
  <c r="V598" i="16"/>
  <c r="Q598" i="16"/>
  <c r="R598" i="16" s="1"/>
  <c r="H598" i="16"/>
  <c r="V597" i="16"/>
  <c r="T597" i="16"/>
  <c r="R597" i="16"/>
  <c r="S597" i="16" s="1"/>
  <c r="Q597" i="16"/>
  <c r="H597" i="16"/>
  <c r="V596" i="16"/>
  <c r="S596" i="16"/>
  <c r="T596" i="16" s="1"/>
  <c r="R596" i="16"/>
  <c r="Q596" i="16"/>
  <c r="H596" i="16"/>
  <c r="V595" i="16"/>
  <c r="T595" i="16"/>
  <c r="Q595" i="16"/>
  <c r="R595" i="16" s="1"/>
  <c r="S595" i="16" s="1"/>
  <c r="H595" i="16"/>
  <c r="X594" i="16"/>
  <c r="V594" i="16"/>
  <c r="Q594" i="16"/>
  <c r="R594" i="16" s="1"/>
  <c r="H594" i="16"/>
  <c r="X593" i="16"/>
  <c r="V593" i="16" s="1"/>
  <c r="Q593" i="16"/>
  <c r="R593" i="16" s="1"/>
  <c r="H593" i="16"/>
  <c r="X592" i="16"/>
  <c r="V592" i="16"/>
  <c r="R592" i="16"/>
  <c r="Q592" i="16"/>
  <c r="H592" i="16"/>
  <c r="V591" i="16"/>
  <c r="Q591" i="16"/>
  <c r="R591" i="16" s="1"/>
  <c r="H591" i="16"/>
  <c r="V590" i="16"/>
  <c r="R590" i="16"/>
  <c r="S590" i="16" s="1"/>
  <c r="Q590" i="16"/>
  <c r="H590" i="16"/>
  <c r="V589" i="16"/>
  <c r="R589" i="16"/>
  <c r="Q589" i="16"/>
  <c r="H589" i="16"/>
  <c r="V588" i="16"/>
  <c r="R588" i="16"/>
  <c r="Q588" i="16"/>
  <c r="H588" i="16"/>
  <c r="V587" i="16"/>
  <c r="S587" i="16"/>
  <c r="T587" i="16" s="1"/>
  <c r="Q587" i="16"/>
  <c r="R587" i="16" s="1"/>
  <c r="H587" i="16"/>
  <c r="V586" i="16"/>
  <c r="S586" i="16"/>
  <c r="R586" i="16"/>
  <c r="Q586" i="16"/>
  <c r="H586" i="16"/>
  <c r="X585" i="16"/>
  <c r="V585" i="16"/>
  <c r="T585" i="16"/>
  <c r="R585" i="16"/>
  <c r="S585" i="16" s="1"/>
  <c r="Q585" i="16"/>
  <c r="H585" i="16"/>
  <c r="V584" i="16"/>
  <c r="R584" i="16"/>
  <c r="Q584" i="16"/>
  <c r="H584" i="16"/>
  <c r="X583" i="16"/>
  <c r="V583" i="16" s="1"/>
  <c r="S583" i="16"/>
  <c r="Q583" i="16"/>
  <c r="R583" i="16" s="1"/>
  <c r="H583" i="16"/>
  <c r="V582" i="16"/>
  <c r="S582" i="16"/>
  <c r="T582" i="16" s="1"/>
  <c r="Q582" i="16"/>
  <c r="R582" i="16" s="1"/>
  <c r="H582" i="16"/>
  <c r="V581" i="16"/>
  <c r="S581" i="16"/>
  <c r="Q581" i="16"/>
  <c r="R581" i="16" s="1"/>
  <c r="H581" i="16"/>
  <c r="V580" i="16"/>
  <c r="Q580" i="16"/>
  <c r="R580" i="16" s="1"/>
  <c r="H580" i="16"/>
  <c r="V579" i="16"/>
  <c r="T579" i="16"/>
  <c r="R579" i="16"/>
  <c r="S579" i="16" s="1"/>
  <c r="Q579" i="16"/>
  <c r="H579" i="16"/>
  <c r="V578" i="16"/>
  <c r="R578" i="16"/>
  <c r="Q578" i="16"/>
  <c r="H578" i="16"/>
  <c r="V577" i="16"/>
  <c r="Q577" i="16"/>
  <c r="R577" i="16" s="1"/>
  <c r="H577" i="16"/>
  <c r="V576" i="16"/>
  <c r="Q576" i="16"/>
  <c r="R576" i="16" s="1"/>
  <c r="S576" i="16" s="1"/>
  <c r="H576" i="16"/>
  <c r="V575" i="16"/>
  <c r="R575" i="16"/>
  <c r="S575" i="16" s="1"/>
  <c r="Q575" i="16"/>
  <c r="H575" i="16"/>
  <c r="V574" i="16"/>
  <c r="S574" i="16"/>
  <c r="R574" i="16"/>
  <c r="Q574" i="16"/>
  <c r="H574" i="16"/>
  <c r="V573" i="16"/>
  <c r="Q573" i="16"/>
  <c r="R573" i="16" s="1"/>
  <c r="H573" i="16"/>
  <c r="V572" i="16"/>
  <c r="T572" i="16"/>
  <c r="Q572" i="16"/>
  <c r="R572" i="16" s="1"/>
  <c r="S572" i="16" s="1"/>
  <c r="H572" i="16"/>
  <c r="V571" i="16"/>
  <c r="R571" i="16"/>
  <c r="Q571" i="16"/>
  <c r="H571" i="16"/>
  <c r="V570" i="16"/>
  <c r="R570" i="16"/>
  <c r="Q570" i="16"/>
  <c r="H570" i="16"/>
  <c r="V569" i="16"/>
  <c r="Q569" i="16"/>
  <c r="R569" i="16" s="1"/>
  <c r="S569" i="16" s="1"/>
  <c r="H569" i="16"/>
  <c r="V568" i="16"/>
  <c r="Q568" i="16"/>
  <c r="R568" i="16" s="1"/>
  <c r="S568" i="16" s="1"/>
  <c r="H568" i="16"/>
  <c r="V567" i="16"/>
  <c r="T567" i="16"/>
  <c r="R567" i="16"/>
  <c r="S567" i="16" s="1"/>
  <c r="Q567" i="16"/>
  <c r="H567" i="16"/>
  <c r="V566" i="16"/>
  <c r="R566" i="16"/>
  <c r="Q566" i="16"/>
  <c r="H566" i="16"/>
  <c r="V565" i="16"/>
  <c r="S565" i="16"/>
  <c r="Q565" i="16"/>
  <c r="R565" i="16" s="1"/>
  <c r="H565" i="16"/>
  <c r="V564" i="16"/>
  <c r="Q564" i="16"/>
  <c r="R564" i="16" s="1"/>
  <c r="H564" i="16"/>
  <c r="V563" i="16"/>
  <c r="T563" i="16"/>
  <c r="R563" i="16"/>
  <c r="S563" i="16" s="1"/>
  <c r="Q563" i="16"/>
  <c r="H563" i="16"/>
  <c r="V562" i="16"/>
  <c r="R562" i="16"/>
  <c r="Q562" i="16"/>
  <c r="H562" i="16"/>
  <c r="V561" i="16"/>
  <c r="Q561" i="16"/>
  <c r="R561" i="16" s="1"/>
  <c r="H561" i="16"/>
  <c r="X560" i="16"/>
  <c r="V560" i="16"/>
  <c r="R560" i="16"/>
  <c r="Q560" i="16"/>
  <c r="H560" i="16"/>
  <c r="V559" i="16"/>
  <c r="Q559" i="16"/>
  <c r="R559" i="16" s="1"/>
  <c r="H559" i="16"/>
  <c r="V558" i="16"/>
  <c r="Q558" i="16"/>
  <c r="R558" i="16" s="1"/>
  <c r="S558" i="16" s="1"/>
  <c r="T558" i="16" s="1"/>
  <c r="H558" i="16"/>
  <c r="X557" i="16"/>
  <c r="V557" i="16"/>
  <c r="R557" i="16"/>
  <c r="Q557" i="16"/>
  <c r="H557" i="16"/>
  <c r="V556" i="16"/>
  <c r="Q556" i="16"/>
  <c r="R556" i="16" s="1"/>
  <c r="H556" i="16"/>
  <c r="V555" i="16"/>
  <c r="Q555" i="16"/>
  <c r="R555" i="16" s="1"/>
  <c r="S555" i="16" s="1"/>
  <c r="H555" i="16"/>
  <c r="X554" i="16"/>
  <c r="V554" i="16"/>
  <c r="Q554" i="16"/>
  <c r="R554" i="16" s="1"/>
  <c r="H554" i="16"/>
  <c r="V553" i="16"/>
  <c r="Q553" i="16"/>
  <c r="R553" i="16" s="1"/>
  <c r="S553" i="16" s="1"/>
  <c r="T553" i="16" s="1"/>
  <c r="H553" i="16"/>
  <c r="V552" i="16"/>
  <c r="Q552" i="16"/>
  <c r="R552" i="16" s="1"/>
  <c r="H552" i="16"/>
  <c r="X551" i="16"/>
  <c r="V551" i="16" s="1"/>
  <c r="Q551" i="16"/>
  <c r="R551" i="16" s="1"/>
  <c r="H551" i="16"/>
  <c r="X550" i="16"/>
  <c r="V550" i="16"/>
  <c r="R550" i="16"/>
  <c r="Q550" i="16"/>
  <c r="H550" i="16"/>
  <c r="V549" i="16"/>
  <c r="Q549" i="16"/>
  <c r="R549" i="16" s="1"/>
  <c r="H549" i="16"/>
  <c r="V548" i="16"/>
  <c r="S548" i="16"/>
  <c r="T548" i="16" s="1"/>
  <c r="Q548" i="16"/>
  <c r="R548" i="16" s="1"/>
  <c r="H548" i="16"/>
  <c r="V547" i="16"/>
  <c r="Q547" i="16"/>
  <c r="R547" i="16" s="1"/>
  <c r="H547" i="16"/>
  <c r="V546" i="16"/>
  <c r="R546" i="16"/>
  <c r="Q546" i="16"/>
  <c r="H546" i="16"/>
  <c r="V545" i="16"/>
  <c r="Q545" i="16"/>
  <c r="R545" i="16" s="1"/>
  <c r="H545" i="16"/>
  <c r="V544" i="16"/>
  <c r="Q544" i="16"/>
  <c r="R544" i="16" s="1"/>
  <c r="H544" i="16"/>
  <c r="V543" i="16"/>
  <c r="R543" i="16"/>
  <c r="Q543" i="16"/>
  <c r="H543" i="16"/>
  <c r="X542" i="16"/>
  <c r="V542" i="16" s="1"/>
  <c r="Q542" i="16"/>
  <c r="R542" i="16" s="1"/>
  <c r="H542" i="16"/>
  <c r="X541" i="16"/>
  <c r="V541" i="16"/>
  <c r="R541" i="16"/>
  <c r="Q541" i="16"/>
  <c r="H541" i="16"/>
  <c r="V540" i="16"/>
  <c r="S540" i="16"/>
  <c r="Q540" i="16"/>
  <c r="R540" i="16" s="1"/>
  <c r="H540" i="16"/>
  <c r="X539" i="16"/>
  <c r="V539" i="16"/>
  <c r="R539" i="16"/>
  <c r="S539" i="16" s="1"/>
  <c r="Q539" i="16"/>
  <c r="H539" i="16"/>
  <c r="X538" i="16"/>
  <c r="V538" i="16" s="1"/>
  <c r="Q538" i="16"/>
  <c r="R538" i="16" s="1"/>
  <c r="S538" i="16" s="1"/>
  <c r="T538" i="16" s="1"/>
  <c r="H538" i="16"/>
  <c r="X537" i="16"/>
  <c r="V537" i="16"/>
  <c r="R537" i="16"/>
  <c r="Q537" i="16"/>
  <c r="H537" i="16"/>
  <c r="V536" i="16"/>
  <c r="Q536" i="16"/>
  <c r="R536" i="16" s="1"/>
  <c r="H536" i="16"/>
  <c r="V535" i="16"/>
  <c r="Q535" i="16"/>
  <c r="R535" i="16" s="1"/>
  <c r="S535" i="16" s="1"/>
  <c r="H535" i="16"/>
  <c r="V534" i="16"/>
  <c r="R534" i="16"/>
  <c r="Q534" i="16"/>
  <c r="H534" i="16"/>
  <c r="V533" i="16"/>
  <c r="R533" i="16"/>
  <c r="Q533" i="16"/>
  <c r="H533" i="16"/>
  <c r="V532" i="16"/>
  <c r="S532" i="16"/>
  <c r="T532" i="16" s="1"/>
  <c r="Q532" i="16"/>
  <c r="R532" i="16" s="1"/>
  <c r="H532" i="16"/>
  <c r="V531" i="16"/>
  <c r="Q531" i="16"/>
  <c r="R531" i="16" s="1"/>
  <c r="H531" i="16"/>
  <c r="V530" i="16"/>
  <c r="R530" i="16"/>
  <c r="S530" i="16" s="1"/>
  <c r="T530" i="16" s="1"/>
  <c r="Q530" i="16"/>
  <c r="H530" i="16"/>
  <c r="X529" i="16"/>
  <c r="V529" i="16" s="1"/>
  <c r="S529" i="16"/>
  <c r="T529" i="16" s="1"/>
  <c r="Q529" i="16"/>
  <c r="R529" i="16" s="1"/>
  <c r="H529" i="16"/>
  <c r="V528" i="16"/>
  <c r="Q528" i="16"/>
  <c r="R528" i="16" s="1"/>
  <c r="H528" i="16"/>
  <c r="V527" i="16"/>
  <c r="S527" i="16"/>
  <c r="R527" i="16"/>
  <c r="Q527" i="16"/>
  <c r="H527" i="16"/>
  <c r="V526" i="16"/>
  <c r="Q526" i="16"/>
  <c r="R526" i="16" s="1"/>
  <c r="H526" i="16"/>
  <c r="V525" i="16"/>
  <c r="Q525" i="16"/>
  <c r="R525" i="16" s="1"/>
  <c r="H525" i="16"/>
  <c r="V524" i="16"/>
  <c r="Q524" i="16"/>
  <c r="R524" i="16" s="1"/>
  <c r="H524" i="16"/>
  <c r="V523" i="16"/>
  <c r="R523" i="16"/>
  <c r="Q523" i="16"/>
  <c r="H523" i="16"/>
  <c r="V522" i="16"/>
  <c r="S522" i="16"/>
  <c r="Q522" i="16"/>
  <c r="R522" i="16" s="1"/>
  <c r="H522" i="16"/>
  <c r="V521" i="16"/>
  <c r="Q521" i="16"/>
  <c r="R521" i="16" s="1"/>
  <c r="H521" i="16"/>
  <c r="V520" i="16"/>
  <c r="Q520" i="16"/>
  <c r="R520" i="16" s="1"/>
  <c r="H520" i="16"/>
  <c r="V519" i="16"/>
  <c r="S519" i="16"/>
  <c r="R519" i="16"/>
  <c r="Q519" i="16"/>
  <c r="H519" i="16"/>
  <c r="V518" i="16"/>
  <c r="Q518" i="16"/>
  <c r="R518" i="16" s="1"/>
  <c r="H518" i="16"/>
  <c r="V517" i="16"/>
  <c r="T517" i="16"/>
  <c r="S517" i="16"/>
  <c r="Q517" i="16"/>
  <c r="R517" i="16" s="1"/>
  <c r="H517" i="16"/>
  <c r="V516" i="16"/>
  <c r="Q516" i="16"/>
  <c r="R516" i="16" s="1"/>
  <c r="H516" i="16"/>
  <c r="V515" i="16"/>
  <c r="S515" i="16"/>
  <c r="R515" i="16"/>
  <c r="Q515" i="16"/>
  <c r="H515" i="16"/>
  <c r="V514" i="16"/>
  <c r="Q514" i="16"/>
  <c r="R514" i="16" s="1"/>
  <c r="H514" i="16"/>
  <c r="W513" i="16"/>
  <c r="X513" i="16" s="1"/>
  <c r="V513" i="16" s="1"/>
  <c r="S513" i="16"/>
  <c r="T513" i="16" s="1"/>
  <c r="Q513" i="16"/>
  <c r="H513" i="16"/>
  <c r="V512" i="16"/>
  <c r="R512" i="16"/>
  <c r="Q512" i="16"/>
  <c r="H512" i="16"/>
  <c r="V511" i="16"/>
  <c r="Q511" i="16"/>
  <c r="R511" i="16" s="1"/>
  <c r="H511" i="16"/>
  <c r="V510" i="16"/>
  <c r="Q510" i="16"/>
  <c r="R510" i="16" s="1"/>
  <c r="H510" i="16"/>
  <c r="V509" i="16"/>
  <c r="T509" i="16"/>
  <c r="R509" i="16"/>
  <c r="S509" i="16" s="1"/>
  <c r="Q509" i="16"/>
  <c r="H509" i="16"/>
  <c r="V508" i="16"/>
  <c r="R508" i="16"/>
  <c r="Q508" i="16"/>
  <c r="H508" i="16"/>
  <c r="X507" i="16"/>
  <c r="V507" i="16"/>
  <c r="Q507" i="16"/>
  <c r="R507" i="16" s="1"/>
  <c r="H507" i="16"/>
  <c r="V506" i="16"/>
  <c r="R506" i="16"/>
  <c r="Q506" i="16"/>
  <c r="H506" i="16"/>
  <c r="V505" i="16"/>
  <c r="Q505" i="16"/>
  <c r="R505" i="16" s="1"/>
  <c r="H505" i="16"/>
  <c r="V504" i="16"/>
  <c r="S504" i="16"/>
  <c r="T504" i="16" s="1"/>
  <c r="Q504" i="16"/>
  <c r="R504" i="16" s="1"/>
  <c r="H504" i="16"/>
  <c r="V503" i="16"/>
  <c r="Q503" i="16"/>
  <c r="R503" i="16" s="1"/>
  <c r="H503" i="16"/>
  <c r="V502" i="16"/>
  <c r="S502" i="16"/>
  <c r="R502" i="16"/>
  <c r="Q502" i="16"/>
  <c r="H502" i="16"/>
  <c r="V501" i="16"/>
  <c r="Q501" i="16"/>
  <c r="R501" i="16" s="1"/>
  <c r="H501" i="16"/>
  <c r="V500" i="16"/>
  <c r="Q500" i="16"/>
  <c r="R500" i="16" s="1"/>
  <c r="H500" i="16"/>
  <c r="V499" i="16"/>
  <c r="R499" i="16"/>
  <c r="S499" i="16" s="1"/>
  <c r="Q499" i="16"/>
  <c r="H499" i="16"/>
  <c r="V498" i="16"/>
  <c r="R498" i="16"/>
  <c r="Q498" i="16"/>
  <c r="H498" i="16"/>
  <c r="V497" i="16"/>
  <c r="S497" i="16"/>
  <c r="Q497" i="16"/>
  <c r="R497" i="16" s="1"/>
  <c r="H497" i="16"/>
  <c r="V496" i="16"/>
  <c r="Q496" i="16"/>
  <c r="R496" i="16" s="1"/>
  <c r="H496" i="16"/>
  <c r="V495" i="16"/>
  <c r="Q495" i="16"/>
  <c r="R495" i="16" s="1"/>
  <c r="H495" i="16"/>
  <c r="V494" i="16"/>
  <c r="R494" i="16"/>
  <c r="Q494" i="16"/>
  <c r="H494" i="16"/>
  <c r="V493" i="16"/>
  <c r="Q493" i="16"/>
  <c r="R493" i="16" s="1"/>
  <c r="H493" i="16"/>
  <c r="V492" i="16"/>
  <c r="T492" i="16"/>
  <c r="S492" i="16"/>
  <c r="Q492" i="16"/>
  <c r="R492" i="16" s="1"/>
  <c r="H492" i="16"/>
  <c r="V491" i="16"/>
  <c r="Q491" i="16"/>
  <c r="R491" i="16" s="1"/>
  <c r="H491" i="16"/>
  <c r="V490" i="16"/>
  <c r="R490" i="16"/>
  <c r="Q490" i="16"/>
  <c r="H490" i="16"/>
  <c r="V489" i="16"/>
  <c r="Q489" i="16"/>
  <c r="R489" i="16" s="1"/>
  <c r="H489" i="16"/>
  <c r="V488" i="16"/>
  <c r="Q488" i="16"/>
  <c r="R488" i="16" s="1"/>
  <c r="H488" i="16"/>
  <c r="V487" i="16"/>
  <c r="T487" i="16"/>
  <c r="R487" i="16"/>
  <c r="S487" i="16" s="1"/>
  <c r="Q487" i="16"/>
  <c r="H487" i="16"/>
  <c r="V486" i="16"/>
  <c r="R486" i="16"/>
  <c r="Q486" i="16"/>
  <c r="H486" i="16"/>
  <c r="V485" i="16"/>
  <c r="Q485" i="16"/>
  <c r="R485" i="16" s="1"/>
  <c r="H485" i="16"/>
  <c r="V484" i="16"/>
  <c r="Q484" i="16"/>
  <c r="R484" i="16" s="1"/>
  <c r="H484" i="16"/>
  <c r="V483" i="16"/>
  <c r="Q483" i="16"/>
  <c r="R483" i="16" s="1"/>
  <c r="H483" i="16"/>
  <c r="V482" i="16"/>
  <c r="S482" i="16"/>
  <c r="R482" i="16"/>
  <c r="Q482" i="16"/>
  <c r="H482" i="16"/>
  <c r="V481" i="16"/>
  <c r="Q481" i="16"/>
  <c r="R481" i="16" s="1"/>
  <c r="H481" i="16"/>
  <c r="V480" i="16"/>
  <c r="Q480" i="16"/>
  <c r="R480" i="16" s="1"/>
  <c r="H480" i="16"/>
  <c r="X479" i="16"/>
  <c r="V479" i="16"/>
  <c r="R479" i="16"/>
  <c r="S479" i="16" s="1"/>
  <c r="Q479" i="16"/>
  <c r="H479" i="16"/>
  <c r="V478" i="16"/>
  <c r="Q478" i="16"/>
  <c r="R478" i="16" s="1"/>
  <c r="H478" i="16"/>
  <c r="V477" i="16"/>
  <c r="Q477" i="16"/>
  <c r="R477" i="16" s="1"/>
  <c r="H477" i="16"/>
  <c r="V476" i="16"/>
  <c r="R476" i="16"/>
  <c r="Q476" i="16"/>
  <c r="H476" i="16"/>
  <c r="V475" i="16"/>
  <c r="Q475" i="16"/>
  <c r="R475" i="16" s="1"/>
  <c r="H475" i="16"/>
  <c r="X474" i="16"/>
  <c r="V474" i="16"/>
  <c r="Q474" i="16"/>
  <c r="R474" i="16" s="1"/>
  <c r="H474" i="16"/>
  <c r="V473" i="16"/>
  <c r="R473" i="16"/>
  <c r="S473" i="16" s="1"/>
  <c r="Q473" i="16"/>
  <c r="H473" i="16"/>
  <c r="V472" i="16"/>
  <c r="Q472" i="16"/>
  <c r="R472" i="16" s="1"/>
  <c r="H472" i="16"/>
  <c r="V471" i="16"/>
  <c r="Q471" i="16"/>
  <c r="R471" i="16" s="1"/>
  <c r="H471" i="16"/>
  <c r="V470" i="16"/>
  <c r="T470" i="16"/>
  <c r="R470" i="16"/>
  <c r="S470" i="16" s="1"/>
  <c r="Q470" i="16"/>
  <c r="H470" i="16"/>
  <c r="V469" i="16"/>
  <c r="R469" i="16"/>
  <c r="Q469" i="16"/>
  <c r="H469" i="16"/>
  <c r="V468" i="16"/>
  <c r="Q468" i="16"/>
  <c r="R468" i="16" s="1"/>
  <c r="H468" i="16"/>
  <c r="V467" i="16"/>
  <c r="T467" i="16"/>
  <c r="S467" i="16"/>
  <c r="R467" i="16"/>
  <c r="Q467" i="16"/>
  <c r="H467" i="16"/>
  <c r="V466" i="16"/>
  <c r="Q466" i="16"/>
  <c r="R466" i="16" s="1"/>
  <c r="H466" i="16"/>
  <c r="V465" i="16"/>
  <c r="Q465" i="16"/>
  <c r="R465" i="16" s="1"/>
  <c r="H465" i="16"/>
  <c r="V464" i="16"/>
  <c r="Q464" i="16"/>
  <c r="R464" i="16" s="1"/>
  <c r="H464" i="16"/>
  <c r="X463" i="16"/>
  <c r="V463" i="16"/>
  <c r="R463" i="16"/>
  <c r="Q463" i="16"/>
  <c r="H463" i="16"/>
  <c r="V462" i="16"/>
  <c r="Q462" i="16"/>
  <c r="R462" i="16" s="1"/>
  <c r="H462" i="16"/>
  <c r="V461" i="16"/>
  <c r="T461" i="16"/>
  <c r="Q461" i="16"/>
  <c r="R461" i="16" s="1"/>
  <c r="S461" i="16" s="1"/>
  <c r="H461" i="16"/>
  <c r="V460" i="16"/>
  <c r="Q460" i="16"/>
  <c r="R460" i="16" s="1"/>
  <c r="H460" i="16"/>
  <c r="X459" i="16"/>
  <c r="V459" i="16"/>
  <c r="Q459" i="16"/>
  <c r="R459" i="16" s="1"/>
  <c r="H459" i="16"/>
  <c r="V458" i="16"/>
  <c r="Q458" i="16"/>
  <c r="R458" i="16" s="1"/>
  <c r="H458" i="16"/>
  <c r="V457" i="16"/>
  <c r="T457" i="16"/>
  <c r="S457" i="16"/>
  <c r="R457" i="16"/>
  <c r="Q457" i="16"/>
  <c r="H457" i="16"/>
  <c r="V456" i="16"/>
  <c r="R456" i="16"/>
  <c r="Q456" i="16"/>
  <c r="H456" i="16"/>
  <c r="V455" i="16"/>
  <c r="Q455" i="16"/>
  <c r="R455" i="16" s="1"/>
  <c r="H455" i="16"/>
  <c r="V454" i="16"/>
  <c r="Q454" i="16"/>
  <c r="R454" i="16" s="1"/>
  <c r="H454" i="16"/>
  <c r="V453" i="16"/>
  <c r="S453" i="16"/>
  <c r="T453" i="16" s="1"/>
  <c r="R453" i="16"/>
  <c r="Q453" i="16"/>
  <c r="H453" i="16"/>
  <c r="V452" i="16"/>
  <c r="R452" i="16"/>
  <c r="Q452" i="16"/>
  <c r="H452" i="16"/>
  <c r="V451" i="16"/>
  <c r="Q451" i="16"/>
  <c r="R451" i="16" s="1"/>
  <c r="H451" i="16"/>
  <c r="V450" i="16"/>
  <c r="Q450" i="16"/>
  <c r="R450" i="16" s="1"/>
  <c r="S450" i="16" s="1"/>
  <c r="H450" i="16"/>
  <c r="V449" i="16"/>
  <c r="T449" i="16"/>
  <c r="S449" i="16"/>
  <c r="R449" i="16"/>
  <c r="Q449" i="16"/>
  <c r="H449" i="16"/>
  <c r="V448" i="16"/>
  <c r="R448" i="16"/>
  <c r="Q448" i="16"/>
  <c r="H448" i="16"/>
  <c r="V447" i="16"/>
  <c r="Q447" i="16"/>
  <c r="R447" i="16" s="1"/>
  <c r="H447" i="16"/>
  <c r="V446" i="16"/>
  <c r="T446" i="16"/>
  <c r="Q446" i="16"/>
  <c r="R446" i="16" s="1"/>
  <c r="S446" i="16" s="1"/>
  <c r="H446" i="16"/>
  <c r="V445" i="16"/>
  <c r="R445" i="16"/>
  <c r="Q445" i="16"/>
  <c r="H445" i="16"/>
  <c r="V444" i="16"/>
  <c r="Q444" i="16"/>
  <c r="R444" i="16" s="1"/>
  <c r="H444" i="16"/>
  <c r="V443" i="16"/>
  <c r="Q443" i="16"/>
  <c r="R443" i="16" s="1"/>
  <c r="H443" i="16"/>
  <c r="V442" i="16"/>
  <c r="T442" i="16"/>
  <c r="Q442" i="16"/>
  <c r="R442" i="16" s="1"/>
  <c r="S442" i="16" s="1"/>
  <c r="H442" i="16"/>
  <c r="V441" i="16"/>
  <c r="R441" i="16"/>
  <c r="Q441" i="16"/>
  <c r="H441" i="16"/>
  <c r="V440" i="16"/>
  <c r="R440" i="16"/>
  <c r="Q440" i="16"/>
  <c r="H440" i="16"/>
  <c r="V439" i="16"/>
  <c r="Q439" i="16"/>
  <c r="R439" i="16" s="1"/>
  <c r="H439" i="16"/>
  <c r="V438" i="16"/>
  <c r="Q438" i="16"/>
  <c r="R438" i="16" s="1"/>
  <c r="H438" i="16"/>
  <c r="X437" i="16"/>
  <c r="V437" i="16"/>
  <c r="T437" i="16"/>
  <c r="S437" i="16"/>
  <c r="R437" i="16"/>
  <c r="Q437" i="16"/>
  <c r="H437" i="16"/>
  <c r="V436" i="16"/>
  <c r="Q436" i="16"/>
  <c r="R436" i="16" s="1"/>
  <c r="H436" i="16"/>
  <c r="V435" i="16"/>
  <c r="Q435" i="16"/>
  <c r="R435" i="16" s="1"/>
  <c r="H435" i="16"/>
  <c r="V434" i="16"/>
  <c r="Q434" i="16"/>
  <c r="R434" i="16" s="1"/>
  <c r="H434" i="16"/>
  <c r="V433" i="16"/>
  <c r="T433" i="16"/>
  <c r="S433" i="16"/>
  <c r="R433" i="16"/>
  <c r="Q433" i="16"/>
  <c r="H433" i="16"/>
  <c r="V432" i="16"/>
  <c r="R432" i="16"/>
  <c r="Q432" i="16"/>
  <c r="H432" i="16"/>
  <c r="V431" i="16"/>
  <c r="Q431" i="16"/>
  <c r="R431" i="16" s="1"/>
  <c r="H431" i="16"/>
  <c r="V430" i="16"/>
  <c r="Q430" i="16"/>
  <c r="R430" i="16" s="1"/>
  <c r="H430" i="16"/>
  <c r="V429" i="16"/>
  <c r="T429" i="16"/>
  <c r="S429" i="16"/>
  <c r="R429" i="16"/>
  <c r="Q429" i="16"/>
  <c r="H429" i="16"/>
  <c r="V428" i="16"/>
  <c r="S428" i="16"/>
  <c r="R428" i="16"/>
  <c r="Q428" i="16"/>
  <c r="H428" i="16"/>
  <c r="V427" i="16"/>
  <c r="Q427" i="16"/>
  <c r="R427" i="16" s="1"/>
  <c r="H427" i="16"/>
  <c r="V426" i="16"/>
  <c r="Q426" i="16"/>
  <c r="R426" i="16" s="1"/>
  <c r="H426" i="16"/>
  <c r="V425" i="16"/>
  <c r="S425" i="16"/>
  <c r="T425" i="16" s="1"/>
  <c r="R425" i="16"/>
  <c r="Q425" i="16"/>
  <c r="H425" i="16"/>
  <c r="V424" i="16"/>
  <c r="S424" i="16"/>
  <c r="R424" i="16"/>
  <c r="Q424" i="16"/>
  <c r="H424" i="16"/>
  <c r="V423" i="16"/>
  <c r="Q423" i="16"/>
  <c r="R423" i="16" s="1"/>
  <c r="H423" i="16"/>
  <c r="V422" i="16"/>
  <c r="Q422" i="16"/>
  <c r="R422" i="16" s="1"/>
  <c r="H422" i="16"/>
  <c r="V421" i="16"/>
  <c r="T421" i="16"/>
  <c r="S421" i="16"/>
  <c r="R421" i="16"/>
  <c r="Q421" i="16"/>
  <c r="H421" i="16"/>
  <c r="V420" i="16"/>
  <c r="Q420" i="16"/>
  <c r="R420" i="16" s="1"/>
  <c r="H420" i="16"/>
  <c r="V419" i="16"/>
  <c r="Q419" i="16"/>
  <c r="R419" i="16" s="1"/>
  <c r="H419" i="16"/>
  <c r="V418" i="16"/>
  <c r="Q418" i="16"/>
  <c r="R418" i="16" s="1"/>
  <c r="H418" i="16"/>
  <c r="V417" i="16"/>
  <c r="T417" i="16"/>
  <c r="S417" i="16"/>
  <c r="R417" i="16"/>
  <c r="Q417" i="16"/>
  <c r="H417" i="16"/>
  <c r="V416" i="16"/>
  <c r="R416" i="16"/>
  <c r="Q416" i="16"/>
  <c r="H416" i="16"/>
  <c r="V415" i="16"/>
  <c r="Q415" i="16"/>
  <c r="R415" i="16" s="1"/>
  <c r="H415" i="16"/>
  <c r="X414" i="16"/>
  <c r="V414" i="16" s="1"/>
  <c r="Q414" i="16"/>
  <c r="R414" i="16" s="1"/>
  <c r="H414" i="16"/>
  <c r="V413" i="16"/>
  <c r="Q413" i="16"/>
  <c r="R413" i="16" s="1"/>
  <c r="S413" i="16" s="1"/>
  <c r="H413" i="16"/>
  <c r="V412" i="16"/>
  <c r="R412" i="16"/>
  <c r="Q412" i="16"/>
  <c r="H412" i="16"/>
  <c r="V411" i="16"/>
  <c r="Q411" i="16"/>
  <c r="R411" i="16" s="1"/>
  <c r="H411" i="16"/>
  <c r="X410" i="16"/>
  <c r="V410" i="16" s="1"/>
  <c r="Q410" i="16"/>
  <c r="R410" i="16" s="1"/>
  <c r="H410" i="16"/>
  <c r="V409" i="16"/>
  <c r="Q409" i="16"/>
  <c r="R409" i="16" s="1"/>
  <c r="H409" i="16"/>
  <c r="V408" i="16"/>
  <c r="T408" i="16"/>
  <c r="S408" i="16"/>
  <c r="R408" i="16"/>
  <c r="Q408" i="16"/>
  <c r="H408" i="16"/>
  <c r="V407" i="16"/>
  <c r="S407" i="16"/>
  <c r="T407" i="16" s="1"/>
  <c r="R407" i="16"/>
  <c r="Q407" i="16"/>
  <c r="H407" i="16"/>
  <c r="V406" i="16"/>
  <c r="Q406" i="16"/>
  <c r="R406" i="16" s="1"/>
  <c r="H406" i="16"/>
  <c r="V405" i="16"/>
  <c r="Q405" i="16"/>
  <c r="R405" i="16" s="1"/>
  <c r="H405" i="16"/>
  <c r="V404" i="16"/>
  <c r="T404" i="16"/>
  <c r="S404" i="16"/>
  <c r="R404" i="16"/>
  <c r="Q404" i="16"/>
  <c r="H404" i="16"/>
  <c r="V403" i="16"/>
  <c r="S403" i="16"/>
  <c r="R403" i="16"/>
  <c r="Q403" i="16"/>
  <c r="H403" i="16"/>
  <c r="V402" i="16"/>
  <c r="R402" i="16"/>
  <c r="Q402" i="16"/>
  <c r="H402" i="16"/>
  <c r="V401" i="16"/>
  <c r="Q401" i="16"/>
  <c r="R401" i="16" s="1"/>
  <c r="H401" i="16"/>
  <c r="V400" i="16"/>
  <c r="S400" i="16"/>
  <c r="T400" i="16" s="1"/>
  <c r="R400" i="16"/>
  <c r="Q400" i="16"/>
  <c r="H400" i="16"/>
  <c r="V399" i="16"/>
  <c r="Q399" i="16"/>
  <c r="R399" i="16" s="1"/>
  <c r="H399" i="16"/>
  <c r="V398" i="16"/>
  <c r="R398" i="16"/>
  <c r="Q398" i="16"/>
  <c r="H398" i="16"/>
  <c r="V397" i="16"/>
  <c r="Q397" i="16"/>
  <c r="R397" i="16" s="1"/>
  <c r="H397" i="16"/>
  <c r="X396" i="16"/>
  <c r="V396" i="16" s="1"/>
  <c r="T396" i="16"/>
  <c r="Q396" i="16"/>
  <c r="R396" i="16" s="1"/>
  <c r="S396" i="16" s="1"/>
  <c r="H396" i="16"/>
  <c r="V395" i="16"/>
  <c r="S395" i="16"/>
  <c r="T395" i="16" s="1"/>
  <c r="R395" i="16"/>
  <c r="Q395" i="16"/>
  <c r="H395" i="16"/>
  <c r="V394" i="16"/>
  <c r="Q394" i="16"/>
  <c r="R394" i="16" s="1"/>
  <c r="H394" i="16"/>
  <c r="V393" i="16"/>
  <c r="Q393" i="16"/>
  <c r="R393" i="16" s="1"/>
  <c r="H393" i="16"/>
  <c r="V392" i="16"/>
  <c r="Q392" i="16"/>
  <c r="R392" i="16" s="1"/>
  <c r="S392" i="16" s="1"/>
  <c r="H392" i="16"/>
  <c r="V391" i="16"/>
  <c r="R391" i="16"/>
  <c r="Q391" i="16"/>
  <c r="H391" i="16"/>
  <c r="V390" i="16"/>
  <c r="R390" i="16"/>
  <c r="S390" i="16" s="1"/>
  <c r="Q390" i="16"/>
  <c r="H390" i="16"/>
  <c r="X389" i="16"/>
  <c r="V389" i="16" s="1"/>
  <c r="R389" i="16"/>
  <c r="Q389" i="16"/>
  <c r="H389" i="16"/>
  <c r="V388" i="16"/>
  <c r="Q388" i="16"/>
  <c r="R388" i="16" s="1"/>
  <c r="H388" i="16"/>
  <c r="X387" i="16"/>
  <c r="V387" i="16"/>
  <c r="T387" i="16"/>
  <c r="Q387" i="16"/>
  <c r="R387" i="16" s="1"/>
  <c r="S387" i="16" s="1"/>
  <c r="H387" i="16"/>
  <c r="V386" i="16"/>
  <c r="T386" i="16"/>
  <c r="S386" i="16"/>
  <c r="R386" i="16"/>
  <c r="Q386" i="16"/>
  <c r="H386" i="16"/>
  <c r="V385" i="16"/>
  <c r="Q385" i="16"/>
  <c r="R385" i="16" s="1"/>
  <c r="H385" i="16"/>
  <c r="X384" i="16"/>
  <c r="V384" i="16" s="1"/>
  <c r="R384" i="16"/>
  <c r="Q384" i="16"/>
  <c r="H384" i="16"/>
  <c r="X383" i="16"/>
  <c r="V383" i="16" s="1"/>
  <c r="Q383" i="16"/>
  <c r="R383" i="16" s="1"/>
  <c r="H383" i="16"/>
  <c r="V382" i="16"/>
  <c r="Q382" i="16"/>
  <c r="R382" i="16" s="1"/>
  <c r="H382" i="16"/>
  <c r="V381" i="16"/>
  <c r="R381" i="16"/>
  <c r="Q381" i="16"/>
  <c r="H381" i="16"/>
  <c r="X380" i="16"/>
  <c r="V380" i="16" s="1"/>
  <c r="Q380" i="16"/>
  <c r="R380" i="16" s="1"/>
  <c r="H380" i="16"/>
  <c r="V379" i="16"/>
  <c r="Q379" i="16"/>
  <c r="R379" i="16" s="1"/>
  <c r="H379" i="16"/>
  <c r="V378" i="16"/>
  <c r="R378" i="16"/>
  <c r="Q378" i="16"/>
  <c r="H378" i="16"/>
  <c r="V377" i="16"/>
  <c r="S377" i="16"/>
  <c r="T377" i="16" s="1"/>
  <c r="R377" i="16"/>
  <c r="Q377" i="16"/>
  <c r="H377" i="16"/>
  <c r="V376" i="16"/>
  <c r="T376" i="16"/>
  <c r="Q376" i="16"/>
  <c r="R376" i="16" s="1"/>
  <c r="S376" i="16" s="1"/>
  <c r="H376" i="16"/>
  <c r="X375" i="16"/>
  <c r="V375" i="16"/>
  <c r="S375" i="16"/>
  <c r="R375" i="16"/>
  <c r="Q375" i="16"/>
  <c r="H375" i="16"/>
  <c r="V374" i="16"/>
  <c r="Q374" i="16"/>
  <c r="R374" i="16" s="1"/>
  <c r="H374" i="16"/>
  <c r="V373" i="16"/>
  <c r="T373" i="16"/>
  <c r="Q373" i="16"/>
  <c r="R373" i="16" s="1"/>
  <c r="S373" i="16" s="1"/>
  <c r="H373" i="16"/>
  <c r="X372" i="16"/>
  <c r="V372" i="16"/>
  <c r="T372" i="16"/>
  <c r="S372" i="16"/>
  <c r="R372" i="16"/>
  <c r="Q372" i="16"/>
  <c r="H372" i="16"/>
  <c r="X371" i="16"/>
  <c r="V371" i="16"/>
  <c r="T371" i="16"/>
  <c r="S371" i="16"/>
  <c r="R371" i="16"/>
  <c r="Q371" i="16"/>
  <c r="H371" i="16"/>
  <c r="V370" i="16"/>
  <c r="Q370" i="16"/>
  <c r="R370" i="16" s="1"/>
  <c r="H370" i="16"/>
  <c r="V369" i="16"/>
  <c r="Q369" i="16"/>
  <c r="R369" i="16" s="1"/>
  <c r="H369" i="16"/>
  <c r="V368" i="16"/>
  <c r="T368" i="16"/>
  <c r="Q368" i="16"/>
  <c r="R368" i="16" s="1"/>
  <c r="S368" i="16" s="1"/>
  <c r="H368" i="16"/>
  <c r="V367" i="16"/>
  <c r="R367" i="16"/>
  <c r="Q367" i="16"/>
  <c r="H367" i="16"/>
  <c r="V366" i="16"/>
  <c r="S366" i="16"/>
  <c r="R366" i="16"/>
  <c r="Q366" i="16"/>
  <c r="H366" i="16"/>
  <c r="V365" i="16"/>
  <c r="Q365" i="16"/>
  <c r="R365" i="16" s="1"/>
  <c r="H365" i="16"/>
  <c r="X364" i="16"/>
  <c r="V364" i="16"/>
  <c r="R364" i="16"/>
  <c r="Q364" i="16"/>
  <c r="H364" i="16"/>
  <c r="V363" i="16"/>
  <c r="T363" i="16"/>
  <c r="S363" i="16"/>
  <c r="R363" i="16"/>
  <c r="Q363" i="16"/>
  <c r="H363" i="16"/>
  <c r="V362" i="16"/>
  <c r="S362" i="16"/>
  <c r="R362" i="16"/>
  <c r="Q362" i="16"/>
  <c r="H362" i="16"/>
  <c r="V361" i="16"/>
  <c r="R361" i="16"/>
  <c r="Q361" i="16"/>
  <c r="H361" i="16"/>
  <c r="V360" i="16"/>
  <c r="R360" i="16"/>
  <c r="Q360" i="16"/>
  <c r="H360" i="16"/>
  <c r="V359" i="16"/>
  <c r="T359" i="16"/>
  <c r="S359" i="16"/>
  <c r="R359" i="16"/>
  <c r="Q359" i="16"/>
  <c r="H359" i="16"/>
  <c r="V358" i="16"/>
  <c r="S358" i="16"/>
  <c r="R358" i="16"/>
  <c r="Q358" i="16"/>
  <c r="H358" i="16"/>
  <c r="V357" i="16"/>
  <c r="R357" i="16"/>
  <c r="Q357" i="16"/>
  <c r="H357" i="16"/>
  <c r="V356" i="16"/>
  <c r="R356" i="16"/>
  <c r="Q356" i="16"/>
  <c r="H356" i="16"/>
  <c r="V355" i="16"/>
  <c r="T355" i="16"/>
  <c r="S355" i="16"/>
  <c r="R355" i="16"/>
  <c r="Q355" i="16"/>
  <c r="H355" i="16"/>
  <c r="X354" i="16"/>
  <c r="V354" i="16"/>
  <c r="S354" i="16"/>
  <c r="T354" i="16" s="1"/>
  <c r="R354" i="16"/>
  <c r="Q354" i="16"/>
  <c r="H354" i="16"/>
  <c r="V353" i="16"/>
  <c r="Q353" i="16"/>
  <c r="R353" i="16" s="1"/>
  <c r="H353" i="16"/>
  <c r="V352" i="16"/>
  <c r="Q352" i="16"/>
  <c r="R352" i="16" s="1"/>
  <c r="H352" i="16"/>
  <c r="V351" i="16"/>
  <c r="Q351" i="16"/>
  <c r="R351" i="16" s="1"/>
  <c r="H351" i="16"/>
  <c r="V350" i="16"/>
  <c r="S350" i="16"/>
  <c r="R350" i="16"/>
  <c r="T350" i="16" s="1"/>
  <c r="Q350" i="16"/>
  <c r="H350" i="16"/>
  <c r="V349" i="16"/>
  <c r="S349" i="16"/>
  <c r="R349" i="16"/>
  <c r="Q349" i="16"/>
  <c r="H349" i="16"/>
  <c r="V348" i="16"/>
  <c r="Q348" i="16"/>
  <c r="R348" i="16" s="1"/>
  <c r="H348" i="16"/>
  <c r="V347" i="16"/>
  <c r="T347" i="16"/>
  <c r="Q347" i="16"/>
  <c r="R347" i="16" s="1"/>
  <c r="S347" i="16" s="1"/>
  <c r="H347" i="16"/>
  <c r="V346" i="16"/>
  <c r="R346" i="16"/>
  <c r="Q346" i="16"/>
  <c r="H346" i="16"/>
  <c r="V345" i="16"/>
  <c r="T345" i="16"/>
  <c r="Q345" i="16"/>
  <c r="R345" i="16" s="1"/>
  <c r="S345" i="16" s="1"/>
  <c r="H345" i="16"/>
  <c r="V344" i="16"/>
  <c r="Q344" i="16"/>
  <c r="R344" i="16" s="1"/>
  <c r="H344" i="16"/>
  <c r="V343" i="16"/>
  <c r="Q343" i="16"/>
  <c r="R343" i="16" s="1"/>
  <c r="H343" i="16"/>
  <c r="V342" i="16"/>
  <c r="S342" i="16"/>
  <c r="R342" i="16"/>
  <c r="Q342" i="16"/>
  <c r="H342" i="16"/>
  <c r="V341" i="16"/>
  <c r="Q341" i="16"/>
  <c r="R341" i="16" s="1"/>
  <c r="S341" i="16" s="1"/>
  <c r="H341" i="16"/>
  <c r="X340" i="16"/>
  <c r="V340" i="16" s="1"/>
  <c r="R340" i="16"/>
  <c r="S340" i="16" s="1"/>
  <c r="Q340" i="16"/>
  <c r="H340" i="16"/>
  <c r="X339" i="16"/>
  <c r="V339" i="16" s="1"/>
  <c r="Q339" i="16"/>
  <c r="R339" i="16" s="1"/>
  <c r="H339" i="16"/>
  <c r="V338" i="16"/>
  <c r="T338" i="16"/>
  <c r="Q338" i="16"/>
  <c r="R338" i="16" s="1"/>
  <c r="S338" i="16" s="1"/>
  <c r="H338" i="16"/>
  <c r="V337" i="16"/>
  <c r="R337" i="16"/>
  <c r="Q337" i="16"/>
  <c r="H337" i="16"/>
  <c r="V336" i="16"/>
  <c r="Q336" i="16"/>
  <c r="R336" i="16" s="1"/>
  <c r="S336" i="16" s="1"/>
  <c r="H336" i="16"/>
  <c r="V335" i="16"/>
  <c r="Q335" i="16"/>
  <c r="R335" i="16" s="1"/>
  <c r="H335" i="16"/>
  <c r="V334" i="16"/>
  <c r="Q334" i="16"/>
  <c r="R334" i="16" s="1"/>
  <c r="H334" i="16"/>
  <c r="V333" i="16"/>
  <c r="S333" i="16"/>
  <c r="R333" i="16"/>
  <c r="Q333" i="16"/>
  <c r="H333" i="16"/>
  <c r="V332" i="16"/>
  <c r="T332" i="16"/>
  <c r="Q332" i="16"/>
  <c r="R332" i="16" s="1"/>
  <c r="S332" i="16" s="1"/>
  <c r="H332" i="16"/>
  <c r="V331" i="16"/>
  <c r="R331" i="16"/>
  <c r="Q331" i="16"/>
  <c r="H331" i="16"/>
  <c r="V330" i="16"/>
  <c r="T330" i="16"/>
  <c r="Q330" i="16"/>
  <c r="R330" i="16" s="1"/>
  <c r="S330" i="16" s="1"/>
  <c r="H330" i="16"/>
  <c r="X329" i="16"/>
  <c r="V329" i="16"/>
  <c r="T329" i="16"/>
  <c r="S329" i="16"/>
  <c r="R329" i="16"/>
  <c r="Q329" i="16"/>
  <c r="H329" i="16"/>
  <c r="X328" i="16"/>
  <c r="V328" i="16"/>
  <c r="T328" i="16"/>
  <c r="S328" i="16"/>
  <c r="R328" i="16"/>
  <c r="Q328" i="16"/>
  <c r="H328" i="16"/>
  <c r="V327" i="16"/>
  <c r="Q327" i="16"/>
  <c r="R327" i="16" s="1"/>
  <c r="H327" i="16"/>
  <c r="V326" i="16"/>
  <c r="S326" i="16"/>
  <c r="R326" i="16"/>
  <c r="Q326" i="16"/>
  <c r="H326" i="16"/>
  <c r="V325" i="16"/>
  <c r="T325" i="16"/>
  <c r="Q325" i="16"/>
  <c r="R325" i="16" s="1"/>
  <c r="S325" i="16" s="1"/>
  <c r="H325" i="16"/>
  <c r="V324" i="16"/>
  <c r="R324" i="16"/>
  <c r="S324" i="16" s="1"/>
  <c r="T324" i="16" s="1"/>
  <c r="Q324" i="16"/>
  <c r="H324" i="16"/>
  <c r="X323" i="16"/>
  <c r="V323" i="16" s="1"/>
  <c r="T323" i="16"/>
  <c r="Q323" i="16"/>
  <c r="R323" i="16" s="1"/>
  <c r="S323" i="16" s="1"/>
  <c r="H323" i="16"/>
  <c r="V322" i="16"/>
  <c r="R322" i="16"/>
  <c r="Q322" i="16"/>
  <c r="H322" i="16"/>
  <c r="V321" i="16"/>
  <c r="R321" i="16"/>
  <c r="Q321" i="16"/>
  <c r="H321" i="16"/>
  <c r="V320" i="16"/>
  <c r="T320" i="16"/>
  <c r="S320" i="16"/>
  <c r="R320" i="16"/>
  <c r="Q320" i="16"/>
  <c r="H320" i="16"/>
  <c r="X319" i="16"/>
  <c r="V319" i="16" s="1"/>
  <c r="S319" i="16"/>
  <c r="R319" i="16"/>
  <c r="T319" i="16" s="1"/>
  <c r="Q319" i="16"/>
  <c r="H319" i="16"/>
  <c r="V318" i="16"/>
  <c r="T318" i="16"/>
  <c r="S318" i="16"/>
  <c r="Q318" i="16"/>
  <c r="H318" i="16"/>
  <c r="V317" i="16"/>
  <c r="Q317" i="16"/>
  <c r="R317" i="16" s="1"/>
  <c r="H317" i="16"/>
  <c r="V316" i="16"/>
  <c r="T316" i="16"/>
  <c r="S316" i="16"/>
  <c r="R316" i="16"/>
  <c r="Q316" i="16"/>
  <c r="H316" i="16"/>
  <c r="V315" i="16"/>
  <c r="T315" i="16"/>
  <c r="S315" i="16"/>
  <c r="R315" i="16"/>
  <c r="Q315" i="16"/>
  <c r="H315" i="16"/>
  <c r="X314" i="16"/>
  <c r="V314" i="16"/>
  <c r="R314" i="16"/>
  <c r="Q314" i="16"/>
  <c r="H314" i="16"/>
  <c r="V313" i="16"/>
  <c r="Q313" i="16"/>
  <c r="R313" i="16" s="1"/>
  <c r="H313" i="16"/>
  <c r="V312" i="16"/>
  <c r="T312" i="16"/>
  <c r="Q312" i="16"/>
  <c r="R312" i="16" s="1"/>
  <c r="S312" i="16" s="1"/>
  <c r="H312" i="16"/>
  <c r="V311" i="16"/>
  <c r="R311" i="16"/>
  <c r="Q311" i="16"/>
  <c r="H311" i="16"/>
  <c r="V310" i="16"/>
  <c r="Q310" i="16"/>
  <c r="R310" i="16" s="1"/>
  <c r="S310" i="16" s="1"/>
  <c r="H310" i="16"/>
  <c r="X309" i="16"/>
  <c r="V309" i="16" s="1"/>
  <c r="R309" i="16"/>
  <c r="Q309" i="16"/>
  <c r="H309" i="16"/>
  <c r="V308" i="16"/>
  <c r="Q308" i="16"/>
  <c r="R308" i="16" s="1"/>
  <c r="H308" i="16"/>
  <c r="V307" i="16"/>
  <c r="T307" i="16"/>
  <c r="S307" i="16"/>
  <c r="R307" i="16"/>
  <c r="Q307" i="16"/>
  <c r="H307" i="16"/>
  <c r="V306" i="16"/>
  <c r="R306" i="16"/>
  <c r="Q306" i="16"/>
  <c r="H306" i="16"/>
  <c r="V305" i="16"/>
  <c r="S305" i="16"/>
  <c r="T305" i="16" s="1"/>
  <c r="R305" i="16"/>
  <c r="Q305" i="16"/>
  <c r="H305" i="16"/>
  <c r="V304" i="16"/>
  <c r="Q304" i="16"/>
  <c r="R304" i="16" s="1"/>
  <c r="H304" i="16"/>
  <c r="V303" i="16"/>
  <c r="T303" i="16"/>
  <c r="S303" i="16"/>
  <c r="R303" i="16"/>
  <c r="Q303" i="16"/>
  <c r="H303" i="16"/>
  <c r="V302" i="16"/>
  <c r="R302" i="16"/>
  <c r="S302" i="16" s="1"/>
  <c r="T302" i="16" s="1"/>
  <c r="Q302" i="16"/>
  <c r="H302" i="16"/>
  <c r="V301" i="16"/>
  <c r="Q301" i="16"/>
  <c r="R301" i="16" s="1"/>
  <c r="H301" i="16"/>
  <c r="V300" i="16"/>
  <c r="R300" i="16"/>
  <c r="Q300" i="16"/>
  <c r="H300" i="16"/>
  <c r="V299" i="16"/>
  <c r="S299" i="16"/>
  <c r="T299" i="16" s="1"/>
  <c r="R299" i="16"/>
  <c r="Q299" i="16"/>
  <c r="H299" i="16"/>
  <c r="V298" i="16"/>
  <c r="R298" i="16"/>
  <c r="Q298" i="16"/>
  <c r="H298" i="16"/>
  <c r="V297" i="16"/>
  <c r="Q297" i="16"/>
  <c r="R297" i="16" s="1"/>
  <c r="S297" i="16" s="1"/>
  <c r="T297" i="16" s="1"/>
  <c r="H297" i="16"/>
  <c r="V296" i="16"/>
  <c r="R296" i="16"/>
  <c r="Q296" i="16"/>
  <c r="H296" i="16"/>
  <c r="V295" i="16"/>
  <c r="S295" i="16"/>
  <c r="T295" i="16" s="1"/>
  <c r="R295" i="16"/>
  <c r="Q295" i="16"/>
  <c r="H295" i="16"/>
  <c r="V294" i="16"/>
  <c r="S294" i="16"/>
  <c r="T294" i="16" s="1"/>
  <c r="Q294" i="16"/>
  <c r="R294" i="16" s="1"/>
  <c r="H294" i="16"/>
  <c r="V293" i="16"/>
  <c r="R293" i="16"/>
  <c r="S293" i="16" s="1"/>
  <c r="Q293" i="16"/>
  <c r="H293" i="16"/>
  <c r="V292" i="16"/>
  <c r="R292" i="16"/>
  <c r="Q292" i="16"/>
  <c r="H292" i="16"/>
  <c r="V291" i="16"/>
  <c r="T291" i="16"/>
  <c r="S291" i="16"/>
  <c r="Q291" i="16"/>
  <c r="R291" i="16" s="1"/>
  <c r="H291" i="16"/>
  <c r="V290" i="16"/>
  <c r="S290" i="16"/>
  <c r="T290" i="16" s="1"/>
  <c r="Q290" i="16"/>
  <c r="R290" i="16" s="1"/>
  <c r="H290" i="16"/>
  <c r="V289" i="16"/>
  <c r="R289" i="16"/>
  <c r="Q289" i="16"/>
  <c r="H289" i="16"/>
  <c r="V288" i="16"/>
  <c r="R288" i="16"/>
  <c r="Q288" i="16"/>
  <c r="H288" i="16"/>
  <c r="V287" i="16"/>
  <c r="T287" i="16"/>
  <c r="S287" i="16"/>
  <c r="Q287" i="16"/>
  <c r="R287" i="16" s="1"/>
  <c r="H287" i="16"/>
  <c r="V286" i="16"/>
  <c r="R286" i="16"/>
  <c r="Q286" i="16"/>
  <c r="H286" i="16"/>
  <c r="V285" i="16"/>
  <c r="Q285" i="16"/>
  <c r="R285" i="16" s="1"/>
  <c r="S285" i="16" s="1"/>
  <c r="T285" i="16" s="1"/>
  <c r="H285" i="16"/>
  <c r="V284" i="16"/>
  <c r="R284" i="16"/>
  <c r="Q284" i="16"/>
  <c r="H284" i="16"/>
  <c r="V283" i="16"/>
  <c r="Q283" i="16"/>
  <c r="R283" i="16" s="1"/>
  <c r="H283" i="16"/>
  <c r="V282" i="16"/>
  <c r="S282" i="16"/>
  <c r="R282" i="16"/>
  <c r="Q282" i="16"/>
  <c r="H282" i="16"/>
  <c r="V281" i="16"/>
  <c r="S281" i="16"/>
  <c r="T281" i="16" s="1"/>
  <c r="Q281" i="16"/>
  <c r="R281" i="16" s="1"/>
  <c r="H281" i="16"/>
  <c r="V280" i="16"/>
  <c r="Q280" i="16"/>
  <c r="R280" i="16" s="1"/>
  <c r="H280" i="16"/>
  <c r="V279" i="16"/>
  <c r="Q279" i="16"/>
  <c r="R279" i="16" s="1"/>
  <c r="H279" i="16"/>
  <c r="V278" i="16"/>
  <c r="R278" i="16"/>
  <c r="S278" i="16" s="1"/>
  <c r="Q278" i="16"/>
  <c r="H278" i="16"/>
  <c r="V277" i="16"/>
  <c r="Q277" i="16"/>
  <c r="R277" i="16" s="1"/>
  <c r="H277" i="16"/>
  <c r="V276" i="16"/>
  <c r="S276" i="16"/>
  <c r="R276" i="16"/>
  <c r="Q276" i="16"/>
  <c r="H276" i="16"/>
  <c r="V275" i="16"/>
  <c r="Q275" i="16"/>
  <c r="R275" i="16" s="1"/>
  <c r="H275" i="16"/>
  <c r="V274" i="16"/>
  <c r="R274" i="16"/>
  <c r="Q274" i="16"/>
  <c r="H274" i="16"/>
  <c r="V273" i="16"/>
  <c r="Q273" i="16"/>
  <c r="R273" i="16" s="1"/>
  <c r="S273" i="16" s="1"/>
  <c r="H273" i="16"/>
  <c r="X272" i="16"/>
  <c r="V272" i="16" s="1"/>
  <c r="Q272" i="16"/>
  <c r="R272" i="16" s="1"/>
  <c r="H272" i="16"/>
  <c r="V271" i="16"/>
  <c r="T271" i="16"/>
  <c r="R271" i="16"/>
  <c r="S271" i="16" s="1"/>
  <c r="Q271" i="16"/>
  <c r="H271" i="16"/>
  <c r="V270" i="16"/>
  <c r="R270" i="16"/>
  <c r="Q270" i="16"/>
  <c r="H270" i="16"/>
  <c r="V269" i="16"/>
  <c r="R269" i="16"/>
  <c r="Q269" i="16"/>
  <c r="H269" i="16"/>
  <c r="V268" i="16"/>
  <c r="S268" i="16"/>
  <c r="T268" i="16" s="1"/>
  <c r="Q268" i="16"/>
  <c r="R268" i="16" s="1"/>
  <c r="H268" i="16"/>
  <c r="V267" i="16"/>
  <c r="R267" i="16"/>
  <c r="S267" i="16" s="1"/>
  <c r="Q267" i="16"/>
  <c r="H267" i="16"/>
  <c r="V266" i="16"/>
  <c r="R266" i="16"/>
  <c r="S266" i="16" s="1"/>
  <c r="T266" i="16" s="1"/>
  <c r="Q266" i="16"/>
  <c r="H266" i="16"/>
  <c r="V265" i="16"/>
  <c r="Q265" i="16"/>
  <c r="R265" i="16" s="1"/>
  <c r="H265" i="16"/>
  <c r="V264" i="16"/>
  <c r="Q264" i="16"/>
  <c r="R264" i="16" s="1"/>
  <c r="H264" i="16"/>
  <c r="V263" i="16"/>
  <c r="T263" i="16"/>
  <c r="R263" i="16"/>
  <c r="S263" i="16" s="1"/>
  <c r="Q263" i="16"/>
  <c r="H263" i="16"/>
  <c r="V262" i="16"/>
  <c r="R262" i="16"/>
  <c r="Q262" i="16"/>
  <c r="H262" i="16"/>
  <c r="V261" i="16"/>
  <c r="R261" i="16"/>
  <c r="Q261" i="16"/>
  <c r="H261" i="16"/>
  <c r="V260" i="16"/>
  <c r="S260" i="16"/>
  <c r="T260" i="16" s="1"/>
  <c r="Q260" i="16"/>
  <c r="R260" i="16" s="1"/>
  <c r="H260" i="16"/>
  <c r="V259" i="16"/>
  <c r="R259" i="16"/>
  <c r="S259" i="16" s="1"/>
  <c r="Q259" i="16"/>
  <c r="H259" i="16"/>
  <c r="V258" i="16"/>
  <c r="R258" i="16"/>
  <c r="S258" i="16" s="1"/>
  <c r="T258" i="16" s="1"/>
  <c r="Q258" i="16"/>
  <c r="H258" i="16"/>
  <c r="V257" i="16"/>
  <c r="Q257" i="16"/>
  <c r="R257" i="16" s="1"/>
  <c r="H257" i="16"/>
  <c r="AC256" i="16"/>
  <c r="X256" i="16"/>
  <c r="V256" i="16" s="1"/>
  <c r="R256" i="16"/>
  <c r="Q256" i="16"/>
  <c r="H256" i="16"/>
  <c r="X255" i="16"/>
  <c r="V255" i="16"/>
  <c r="Q255" i="16"/>
  <c r="R255" i="16" s="1"/>
  <c r="S255" i="16" s="1"/>
  <c r="H255" i="16"/>
  <c r="X254" i="16"/>
  <c r="V254" i="16" s="1"/>
  <c r="Q254" i="16"/>
  <c r="R254" i="16" s="1"/>
  <c r="S254" i="16" s="1"/>
  <c r="H254" i="16"/>
  <c r="V253" i="16"/>
  <c r="Q253" i="16"/>
  <c r="R253" i="16" s="1"/>
  <c r="H253" i="16"/>
  <c r="V252" i="16"/>
  <c r="T252" i="16"/>
  <c r="S252" i="16"/>
  <c r="R252" i="16"/>
  <c r="Q252" i="16"/>
  <c r="H252" i="16"/>
  <c r="V251" i="16"/>
  <c r="Q251" i="16"/>
  <c r="R251" i="16" s="1"/>
  <c r="H251" i="16"/>
  <c r="R244" i="16"/>
  <c r="S244" i="16" s="1"/>
  <c r="Q244" i="16"/>
  <c r="H244" i="16"/>
  <c r="R243" i="16"/>
  <c r="Q243" i="16"/>
  <c r="H243" i="16"/>
  <c r="Q242" i="16"/>
  <c r="R242" i="16" s="1"/>
  <c r="S242" i="16" s="1"/>
  <c r="H242" i="16"/>
  <c r="Q241" i="16"/>
  <c r="R241" i="16" s="1"/>
  <c r="H241" i="16"/>
  <c r="Q240" i="16"/>
  <c r="R240" i="16" s="1"/>
  <c r="H240" i="16"/>
  <c r="H239" i="16"/>
  <c r="BE238" i="16"/>
  <c r="Q238" i="16"/>
  <c r="R238" i="16" s="1"/>
  <c r="H238" i="16"/>
  <c r="R237" i="16"/>
  <c r="Q237" i="16"/>
  <c r="H237" i="16"/>
  <c r="R236" i="16"/>
  <c r="S236" i="16" s="1"/>
  <c r="Q236" i="16"/>
  <c r="H236" i="16"/>
  <c r="Q235" i="16"/>
  <c r="R235" i="16" s="1"/>
  <c r="S235" i="16" s="1"/>
  <c r="H235" i="16"/>
  <c r="Q234" i="16"/>
  <c r="R234" i="16" s="1"/>
  <c r="H234" i="16"/>
  <c r="R233" i="16"/>
  <c r="Q233" i="16"/>
  <c r="H233" i="16"/>
  <c r="Q232" i="16"/>
  <c r="R232" i="16" s="1"/>
  <c r="H232" i="16"/>
  <c r="S231" i="16"/>
  <c r="T231" i="16" s="1"/>
  <c r="Q231" i="16"/>
  <c r="R231" i="16" s="1"/>
  <c r="H231" i="16"/>
  <c r="Q230" i="16"/>
  <c r="R230" i="16" s="1"/>
  <c r="H230" i="16"/>
  <c r="Q229" i="16"/>
  <c r="R229" i="16" s="1"/>
  <c r="S229" i="16" s="1"/>
  <c r="H229" i="16"/>
  <c r="Q228" i="16"/>
  <c r="R228" i="16" s="1"/>
  <c r="H228" i="16"/>
  <c r="Q227" i="16"/>
  <c r="R227" i="16" s="1"/>
  <c r="S227" i="16" s="1"/>
  <c r="H227" i="16"/>
  <c r="Q226" i="16"/>
  <c r="R226" i="16" s="1"/>
  <c r="H226" i="16"/>
  <c r="Q225" i="16"/>
  <c r="R225" i="16" s="1"/>
  <c r="H225" i="16"/>
  <c r="Q224" i="16"/>
  <c r="R224" i="16" s="1"/>
  <c r="H224" i="16"/>
  <c r="Q223" i="16"/>
  <c r="R223" i="16" s="1"/>
  <c r="S223" i="16" s="1"/>
  <c r="T223" i="16" s="1"/>
  <c r="H223" i="16"/>
  <c r="Q222" i="16"/>
  <c r="R222" i="16" s="1"/>
  <c r="H222" i="16"/>
  <c r="Q221" i="16"/>
  <c r="R221" i="16" s="1"/>
  <c r="S221" i="16" s="1"/>
  <c r="H221" i="16"/>
  <c r="Q220" i="16"/>
  <c r="R220" i="16" s="1"/>
  <c r="H220" i="16"/>
  <c r="Q219" i="16"/>
  <c r="R219" i="16" s="1"/>
  <c r="S219" i="16" s="1"/>
  <c r="H219" i="16"/>
  <c r="R218" i="16"/>
  <c r="S218" i="16" s="1"/>
  <c r="Q218" i="16"/>
  <c r="H218" i="16"/>
  <c r="R217" i="16"/>
  <c r="S217" i="16" s="1"/>
  <c r="Q217" i="16"/>
  <c r="H217" i="16"/>
  <c r="S216" i="16"/>
  <c r="Q216" i="16"/>
  <c r="R216" i="16" s="1"/>
  <c r="H216" i="16"/>
  <c r="Q215" i="16"/>
  <c r="R215" i="16" s="1"/>
  <c r="H215" i="16"/>
  <c r="Q214" i="16"/>
  <c r="R214" i="16" s="1"/>
  <c r="H214" i="16"/>
  <c r="R213" i="16"/>
  <c r="Q213" i="16"/>
  <c r="H213" i="16"/>
  <c r="Q212" i="16"/>
  <c r="R212" i="16" s="1"/>
  <c r="H212" i="16"/>
  <c r="Q211" i="16"/>
  <c r="R211" i="16" s="1"/>
  <c r="S211" i="16" s="1"/>
  <c r="H211" i="16"/>
  <c r="Q210" i="16"/>
  <c r="R210" i="16" s="1"/>
  <c r="H210" i="16"/>
  <c r="Q209" i="16"/>
  <c r="R209" i="16" s="1"/>
  <c r="S209" i="16" s="1"/>
  <c r="H209" i="16"/>
  <c r="Q208" i="16"/>
  <c r="R208" i="16" s="1"/>
  <c r="H208" i="16"/>
  <c r="S207" i="16"/>
  <c r="T207" i="16" s="1"/>
  <c r="Q207" i="16"/>
  <c r="R207" i="16" s="1"/>
  <c r="H207" i="16"/>
  <c r="BE206" i="16"/>
  <c r="R206" i="16"/>
  <c r="Q206" i="16"/>
  <c r="H206" i="16"/>
  <c r="T205" i="16"/>
  <c r="S205" i="16"/>
  <c r="Q205" i="16"/>
  <c r="R205" i="16" s="1"/>
  <c r="H205" i="16"/>
  <c r="BE204" i="16"/>
  <c r="T204" i="16"/>
  <c r="R204" i="16"/>
  <c r="S204" i="16" s="1"/>
  <c r="H204" i="16"/>
  <c r="R203" i="16"/>
  <c r="Q203" i="16"/>
  <c r="H203" i="16"/>
  <c r="BE202" i="16"/>
  <c r="Q202" i="16"/>
  <c r="R202" i="16" s="1"/>
  <c r="H202" i="16"/>
  <c r="S201" i="16"/>
  <c r="T201" i="16" s="1"/>
  <c r="Q201" i="16"/>
  <c r="R201" i="16" s="1"/>
  <c r="H201" i="16"/>
  <c r="Q200" i="16"/>
  <c r="R200" i="16" s="1"/>
  <c r="H200" i="16"/>
  <c r="R199" i="16"/>
  <c r="Q199" i="16"/>
  <c r="H199" i="16"/>
  <c r="R198" i="16"/>
  <c r="Q198" i="16"/>
  <c r="H198" i="16"/>
  <c r="Q197" i="16"/>
  <c r="R197" i="16" s="1"/>
  <c r="S197" i="16" s="1"/>
  <c r="H197" i="16"/>
  <c r="Q196" i="16"/>
  <c r="R196" i="16" s="1"/>
  <c r="H196" i="16"/>
  <c r="R195" i="16"/>
  <c r="Q195" i="16"/>
  <c r="H195" i="16"/>
  <c r="Q194" i="16"/>
  <c r="R194" i="16" s="1"/>
  <c r="H194" i="16"/>
  <c r="S193" i="16"/>
  <c r="T193" i="16" s="1"/>
  <c r="Q193" i="16"/>
  <c r="R193" i="16" s="1"/>
  <c r="H193" i="16"/>
  <c r="R192" i="16"/>
  <c r="Q192" i="16"/>
  <c r="H192" i="16"/>
  <c r="Q191" i="16"/>
  <c r="R191" i="16" s="1"/>
  <c r="H191" i="16"/>
  <c r="BE190" i="16"/>
  <c r="Q190" i="16"/>
  <c r="R190" i="16" s="1"/>
  <c r="H190" i="16"/>
  <c r="Q189" i="16"/>
  <c r="R189" i="16" s="1"/>
  <c r="H189" i="16"/>
  <c r="Q188" i="16"/>
  <c r="R188" i="16" s="1"/>
  <c r="S188" i="16" s="1"/>
  <c r="T188" i="16" s="1"/>
  <c r="H188" i="16"/>
  <c r="R187" i="16"/>
  <c r="S187" i="16" s="1"/>
  <c r="T187" i="16" s="1"/>
  <c r="Q187" i="16"/>
  <c r="H187" i="16"/>
  <c r="Q186" i="16"/>
  <c r="R186" i="16" s="1"/>
  <c r="S186" i="16" s="1"/>
  <c r="H186" i="16"/>
  <c r="Q185" i="16"/>
  <c r="R185" i="16" s="1"/>
  <c r="S185" i="16" s="1"/>
  <c r="T185" i="16" s="1"/>
  <c r="H185" i="16"/>
  <c r="R184" i="16"/>
  <c r="Q184" i="16"/>
  <c r="H184" i="16"/>
  <c r="S183" i="16"/>
  <c r="T183" i="16" s="1"/>
  <c r="Q183" i="16"/>
  <c r="R183" i="16" s="1"/>
  <c r="H183" i="16"/>
  <c r="Q182" i="16"/>
  <c r="R182" i="16" s="1"/>
  <c r="H182" i="16"/>
  <c r="R181" i="16"/>
  <c r="Q181" i="16"/>
  <c r="H181" i="16"/>
  <c r="Q180" i="16"/>
  <c r="R180" i="16" s="1"/>
  <c r="H180" i="16"/>
  <c r="R179" i="16"/>
  <c r="S179" i="16" s="1"/>
  <c r="T179" i="16" s="1"/>
  <c r="Q179" i="16"/>
  <c r="H179" i="16"/>
  <c r="Q178" i="16"/>
  <c r="R178" i="16" s="1"/>
  <c r="H178" i="16"/>
  <c r="Q177" i="16"/>
  <c r="R177" i="16" s="1"/>
  <c r="H177" i="16"/>
  <c r="S176" i="16"/>
  <c r="T176" i="16" s="1"/>
  <c r="R176" i="16"/>
  <c r="Q176" i="16"/>
  <c r="H176" i="16"/>
  <c r="Q175" i="16"/>
  <c r="R175" i="16" s="1"/>
  <c r="S175" i="16" s="1"/>
  <c r="H175" i="16"/>
  <c r="Q174" i="16"/>
  <c r="R174" i="16" s="1"/>
  <c r="H174" i="16"/>
  <c r="Q173" i="16"/>
  <c r="R173" i="16" s="1"/>
  <c r="H173" i="16"/>
  <c r="Q172" i="16"/>
  <c r="R172" i="16" s="1"/>
  <c r="S172" i="16" s="1"/>
  <c r="T172" i="16" s="1"/>
  <c r="H172" i="16"/>
  <c r="Q171" i="16"/>
  <c r="R171" i="16" s="1"/>
  <c r="S171" i="16" s="1"/>
  <c r="H171" i="16"/>
  <c r="Q170" i="16"/>
  <c r="R170" i="16" s="1"/>
  <c r="H170" i="16"/>
  <c r="Q169" i="16"/>
  <c r="R169" i="16" s="1"/>
  <c r="S169" i="16" s="1"/>
  <c r="T169" i="16" s="1"/>
  <c r="H169" i="16"/>
  <c r="Q168" i="16"/>
  <c r="R168" i="16" s="1"/>
  <c r="H168" i="16"/>
  <c r="Q167" i="16"/>
  <c r="R167" i="16" s="1"/>
  <c r="H167" i="16"/>
  <c r="Q166" i="16"/>
  <c r="R166" i="16" s="1"/>
  <c r="H166" i="16"/>
  <c r="R165" i="16"/>
  <c r="S165" i="16" s="1"/>
  <c r="Q165" i="16"/>
  <c r="H165" i="16"/>
  <c r="Q164" i="16"/>
  <c r="R164" i="16" s="1"/>
  <c r="S164" i="16" s="1"/>
  <c r="H164" i="16"/>
  <c r="Q163" i="16"/>
  <c r="R163" i="16" s="1"/>
  <c r="H163" i="16"/>
  <c r="Q162" i="16"/>
  <c r="R162" i="16" s="1"/>
  <c r="H162" i="16"/>
  <c r="H161" i="16"/>
  <c r="T160" i="16"/>
  <c r="Q160" i="16"/>
  <c r="H160" i="16"/>
  <c r="Q159" i="16"/>
  <c r="R159" i="16" s="1"/>
  <c r="H159" i="16"/>
  <c r="Q158" i="16"/>
  <c r="R158" i="16" s="1"/>
  <c r="H158" i="16"/>
  <c r="R157" i="16"/>
  <c r="S157" i="16" s="1"/>
  <c r="T157" i="16" s="1"/>
  <c r="Q157" i="16"/>
  <c r="H157" i="16"/>
  <c r="Q156" i="16"/>
  <c r="R156" i="16" s="1"/>
  <c r="S156" i="16" s="1"/>
  <c r="H156" i="16"/>
  <c r="Q155" i="16"/>
  <c r="R155" i="16" s="1"/>
  <c r="H155" i="16"/>
  <c r="Q154" i="16"/>
  <c r="R154" i="16" s="1"/>
  <c r="H154" i="16"/>
  <c r="R153" i="16"/>
  <c r="Q153" i="16"/>
  <c r="H153" i="16"/>
  <c r="Q152" i="16"/>
  <c r="R152" i="16" s="1"/>
  <c r="H152" i="16"/>
  <c r="Q151" i="16"/>
  <c r="R151" i="16" s="1"/>
  <c r="H151" i="16"/>
  <c r="R150" i="16"/>
  <c r="S150" i="16" s="1"/>
  <c r="T150" i="16" s="1"/>
  <c r="Q150" i="16"/>
  <c r="H150" i="16"/>
  <c r="Q149" i="16"/>
  <c r="R149" i="16" s="1"/>
  <c r="S149" i="16" s="1"/>
  <c r="H149" i="16"/>
  <c r="Q148" i="16"/>
  <c r="R148" i="16" s="1"/>
  <c r="H148" i="16"/>
  <c r="S147" i="16"/>
  <c r="T147" i="16" s="1"/>
  <c r="R147" i="16"/>
  <c r="Q147" i="16"/>
  <c r="H147" i="16"/>
  <c r="R146" i="16"/>
  <c r="Q146" i="16"/>
  <c r="H146" i="16"/>
  <c r="T145" i="16"/>
  <c r="S145" i="16"/>
  <c r="R145" i="16"/>
  <c r="Q145" i="16"/>
  <c r="H145" i="16"/>
  <c r="Q144" i="16"/>
  <c r="R144" i="16" s="1"/>
  <c r="H144" i="16"/>
  <c r="Q143" i="16"/>
  <c r="R143" i="16" s="1"/>
  <c r="S143" i="16" s="1"/>
  <c r="H143" i="16"/>
  <c r="R142" i="16"/>
  <c r="S142" i="16" s="1"/>
  <c r="Q142" i="16"/>
  <c r="H142" i="16"/>
  <c r="R141" i="16"/>
  <c r="Q141" i="16"/>
  <c r="H141" i="16"/>
  <c r="T140" i="16"/>
  <c r="S140" i="16"/>
  <c r="Q140" i="16"/>
  <c r="R140" i="16" s="1"/>
  <c r="H140" i="16"/>
  <c r="Q139" i="16"/>
  <c r="R139" i="16" s="1"/>
  <c r="H139" i="16"/>
  <c r="Q138" i="16"/>
  <c r="R138" i="16" s="1"/>
  <c r="H138" i="16"/>
  <c r="R137" i="16"/>
  <c r="Q137" i="16"/>
  <c r="H137" i="16"/>
  <c r="Q136" i="16"/>
  <c r="R136" i="16" s="1"/>
  <c r="H136" i="16"/>
  <c r="R135" i="16"/>
  <c r="S135" i="16" s="1"/>
  <c r="Q135" i="16"/>
  <c r="H135" i="16"/>
  <c r="R134" i="16"/>
  <c r="Q134" i="16"/>
  <c r="H134" i="16"/>
  <c r="Q133" i="16"/>
  <c r="R133" i="16" s="1"/>
  <c r="H133" i="16"/>
  <c r="Q132" i="16"/>
  <c r="R132" i="16" s="1"/>
  <c r="H132" i="16"/>
  <c r="Q131" i="16"/>
  <c r="R131" i="16" s="1"/>
  <c r="S131" i="16" s="1"/>
  <c r="T131" i="16" s="1"/>
  <c r="H131" i="16"/>
  <c r="Q130" i="16"/>
  <c r="R130" i="16" s="1"/>
  <c r="H130" i="16"/>
  <c r="R129" i="16"/>
  <c r="S129" i="16" s="1"/>
  <c r="T129" i="16" s="1"/>
  <c r="Q129" i="16"/>
  <c r="H129" i="16"/>
  <c r="S128" i="16"/>
  <c r="T128" i="16" s="1"/>
  <c r="R128" i="16"/>
  <c r="Q128" i="16"/>
  <c r="H128" i="16"/>
  <c r="Q127" i="16"/>
  <c r="R127" i="16" s="1"/>
  <c r="S127" i="16" s="1"/>
  <c r="H127" i="16"/>
  <c r="R126" i="16"/>
  <c r="S126" i="16" s="1"/>
  <c r="H126" i="16"/>
  <c r="Q125" i="16"/>
  <c r="R125" i="16" s="1"/>
  <c r="H125" i="16"/>
  <c r="R124" i="16"/>
  <c r="S124" i="16" s="1"/>
  <c r="T124" i="16" s="1"/>
  <c r="Q124" i="16"/>
  <c r="H124" i="16"/>
  <c r="Q123" i="16"/>
  <c r="R123" i="16" s="1"/>
  <c r="H123" i="16"/>
  <c r="Q122" i="16"/>
  <c r="R122" i="16" s="1"/>
  <c r="S122" i="16" s="1"/>
  <c r="T122" i="16" s="1"/>
  <c r="H122" i="16"/>
  <c r="Q121" i="16"/>
  <c r="R121" i="16" s="1"/>
  <c r="H121" i="16"/>
  <c r="Q120" i="16"/>
  <c r="R120" i="16" s="1"/>
  <c r="H120" i="16"/>
  <c r="R119" i="16"/>
  <c r="S119" i="16" s="1"/>
  <c r="Q119" i="16"/>
  <c r="H119" i="16"/>
  <c r="Q118" i="16"/>
  <c r="R118" i="16" s="1"/>
  <c r="H118" i="16"/>
  <c r="R117" i="16"/>
  <c r="S117" i="16" s="1"/>
  <c r="Q117" i="16"/>
  <c r="H117" i="16"/>
  <c r="Q116" i="16"/>
  <c r="R116" i="16" s="1"/>
  <c r="H116" i="16"/>
  <c r="R115" i="16"/>
  <c r="S115" i="16" s="1"/>
  <c r="T115" i="16" s="1"/>
  <c r="Q115" i="16"/>
  <c r="H115" i="16"/>
  <c r="Q114" i="16"/>
  <c r="R114" i="16" s="1"/>
  <c r="S114" i="16" s="1"/>
  <c r="H114" i="16"/>
  <c r="Q113" i="16"/>
  <c r="R113" i="16" s="1"/>
  <c r="H113" i="16"/>
  <c r="Q112" i="16"/>
  <c r="R112" i="16" s="1"/>
  <c r="H112" i="16"/>
  <c r="Q111" i="16"/>
  <c r="R111" i="16" s="1"/>
  <c r="H111" i="16"/>
  <c r="Q110" i="16"/>
  <c r="R110" i="16" s="1"/>
  <c r="H110" i="16"/>
  <c r="Q109" i="16"/>
  <c r="R109" i="16" s="1"/>
  <c r="H109" i="16"/>
  <c r="Q108" i="16"/>
  <c r="R108" i="16" s="1"/>
  <c r="S108" i="16" s="1"/>
  <c r="T108" i="16" s="1"/>
  <c r="H108" i="16"/>
  <c r="R107" i="16"/>
  <c r="S107" i="16" s="1"/>
  <c r="Q107" i="16"/>
  <c r="H107" i="16"/>
  <c r="Q106" i="16"/>
  <c r="R106" i="16" s="1"/>
  <c r="H106" i="16"/>
  <c r="Q105" i="16"/>
  <c r="R105" i="16" s="1"/>
  <c r="S105" i="16" s="1"/>
  <c r="T105" i="16" s="1"/>
  <c r="H105" i="16"/>
  <c r="R104" i="16"/>
  <c r="Q104" i="16"/>
  <c r="H104" i="16"/>
  <c r="Q103" i="16"/>
  <c r="R103" i="16" s="1"/>
  <c r="H103" i="16"/>
  <c r="Q102" i="16"/>
  <c r="R102" i="16" s="1"/>
  <c r="H102" i="16"/>
  <c r="Q101" i="16"/>
  <c r="R101" i="16" s="1"/>
  <c r="S101" i="16" s="1"/>
  <c r="H101" i="16"/>
  <c r="Q100" i="16"/>
  <c r="R100" i="16" s="1"/>
  <c r="H100" i="16"/>
  <c r="R99" i="16"/>
  <c r="Q99" i="16"/>
  <c r="H99" i="16"/>
  <c r="Q98" i="16"/>
  <c r="R98" i="16" s="1"/>
  <c r="H98" i="16"/>
  <c r="Q97" i="16"/>
  <c r="R97" i="16" s="1"/>
  <c r="H97" i="16"/>
  <c r="Q96" i="16"/>
  <c r="R96" i="16" s="1"/>
  <c r="H96" i="16"/>
  <c r="R95" i="16"/>
  <c r="Q95" i="16"/>
  <c r="H95" i="16"/>
  <c r="Q94" i="16"/>
  <c r="R94" i="16" s="1"/>
  <c r="H94" i="16"/>
  <c r="R93" i="16"/>
  <c r="S93" i="16" s="1"/>
  <c r="Q93" i="16"/>
  <c r="H93" i="16"/>
  <c r="R92" i="16"/>
  <c r="Q92" i="16"/>
  <c r="H92" i="16"/>
  <c r="Q91" i="16"/>
  <c r="R91" i="16" s="1"/>
  <c r="H91" i="16"/>
  <c r="Q90" i="16"/>
  <c r="R90" i="16" s="1"/>
  <c r="H90" i="16"/>
  <c r="Q89" i="16"/>
  <c r="R89" i="16" s="1"/>
  <c r="S89" i="16" s="1"/>
  <c r="T89" i="16" s="1"/>
  <c r="H89" i="16"/>
  <c r="Q88" i="16"/>
  <c r="R88" i="16" s="1"/>
  <c r="H88" i="16"/>
  <c r="S87" i="16"/>
  <c r="T87" i="16" s="1"/>
  <c r="R87" i="16"/>
  <c r="Q87" i="16"/>
  <c r="H87" i="16"/>
  <c r="Q86" i="16"/>
  <c r="R86" i="16" s="1"/>
  <c r="S86" i="16" s="1"/>
  <c r="T86" i="16" s="1"/>
  <c r="H86" i="16"/>
  <c r="R85" i="16"/>
  <c r="S85" i="16" s="1"/>
  <c r="Q85" i="16"/>
  <c r="H85" i="16"/>
  <c r="Q84" i="16"/>
  <c r="R84" i="16" s="1"/>
  <c r="H84" i="16"/>
  <c r="Q83" i="16"/>
  <c r="R83" i="16" s="1"/>
  <c r="H83" i="16"/>
  <c r="S82" i="16"/>
  <c r="T82" i="16" s="1"/>
  <c r="Q82" i="16"/>
  <c r="R82" i="16" s="1"/>
  <c r="H82" i="16"/>
  <c r="Q81" i="16"/>
  <c r="R81" i="16" s="1"/>
  <c r="S81" i="16" s="1"/>
  <c r="H81" i="16"/>
  <c r="Q80" i="16"/>
  <c r="R80" i="16" s="1"/>
  <c r="H80" i="16"/>
  <c r="S79" i="16"/>
  <c r="T79" i="16" s="1"/>
  <c r="R79" i="16"/>
  <c r="Q79" i="16"/>
  <c r="H79" i="16"/>
  <c r="Q78" i="16"/>
  <c r="R78" i="16" s="1"/>
  <c r="H78" i="16"/>
  <c r="Q77" i="16"/>
  <c r="R77" i="16" s="1"/>
  <c r="H77" i="16"/>
  <c r="Q76" i="16"/>
  <c r="R76" i="16" s="1"/>
  <c r="H76" i="16"/>
  <c r="Q75" i="16"/>
  <c r="R75" i="16" s="1"/>
  <c r="Q74" i="16"/>
  <c r="R74" i="16" s="1"/>
  <c r="H74" i="16"/>
  <c r="Q73" i="16"/>
  <c r="R73" i="16" s="1"/>
  <c r="H73" i="16"/>
  <c r="T72" i="16"/>
  <c r="R72" i="16"/>
  <c r="S72" i="16" s="1"/>
  <c r="Q72" i="16"/>
  <c r="H72" i="16"/>
  <c r="S71" i="16"/>
  <c r="Q71" i="16"/>
  <c r="H71" i="16"/>
  <c r="R70" i="16"/>
  <c r="S70" i="16" s="1"/>
  <c r="Q70" i="16"/>
  <c r="H70" i="16"/>
  <c r="Q69" i="16"/>
  <c r="R69" i="16" s="1"/>
  <c r="H69" i="16"/>
  <c r="Q68" i="16"/>
  <c r="R68" i="16" s="1"/>
  <c r="H68" i="16"/>
  <c r="Q67" i="16"/>
  <c r="R67" i="16" s="1"/>
  <c r="H67" i="16"/>
  <c r="R66" i="16"/>
  <c r="S66" i="16" s="1"/>
  <c r="T66" i="16" s="1"/>
  <c r="H66" i="16"/>
  <c r="Q65" i="16"/>
  <c r="R65" i="16" s="1"/>
  <c r="H65" i="16"/>
  <c r="Q64" i="16"/>
  <c r="R64" i="16" s="1"/>
  <c r="H64" i="16"/>
  <c r="S63" i="16"/>
  <c r="T63" i="16" s="1"/>
  <c r="R63" i="16"/>
  <c r="Q63" i="16"/>
  <c r="H63" i="16"/>
  <c r="Q62" i="16"/>
  <c r="R62" i="16" s="1"/>
  <c r="H62" i="16"/>
  <c r="Q61" i="16"/>
  <c r="R61" i="16" s="1"/>
  <c r="S61" i="16" s="1"/>
  <c r="T61" i="16" s="1"/>
  <c r="H61" i="16"/>
  <c r="R60" i="16"/>
  <c r="Q60" i="16"/>
  <c r="H60" i="16"/>
  <c r="Q59" i="16"/>
  <c r="R59" i="16" s="1"/>
  <c r="H59" i="16"/>
  <c r="Q58" i="16"/>
  <c r="R58" i="16" s="1"/>
  <c r="H58" i="16"/>
  <c r="Q57" i="16"/>
  <c r="R57" i="16" s="1"/>
  <c r="H57" i="16"/>
  <c r="Q56" i="16"/>
  <c r="R56" i="16" s="1"/>
  <c r="H56" i="16"/>
  <c r="Q55" i="16"/>
  <c r="R55" i="16" s="1"/>
  <c r="S55" i="16" s="1"/>
  <c r="T55" i="16" s="1"/>
  <c r="H55" i="16"/>
  <c r="Q54" i="16"/>
  <c r="R54" i="16" s="1"/>
  <c r="H54" i="16"/>
  <c r="Q53" i="16"/>
  <c r="R53" i="16" s="1"/>
  <c r="S53" i="16" s="1"/>
  <c r="T53" i="16" s="1"/>
  <c r="H53" i="16"/>
  <c r="Q52" i="16"/>
  <c r="R52" i="16" s="1"/>
  <c r="S52" i="16" s="1"/>
  <c r="H52" i="16"/>
  <c r="R51" i="16"/>
  <c r="Q51" i="16"/>
  <c r="H51" i="16"/>
  <c r="Q50" i="16"/>
  <c r="R50" i="16" s="1"/>
  <c r="H50" i="16"/>
  <c r="Q49" i="16"/>
  <c r="R49" i="16" s="1"/>
  <c r="H49" i="16"/>
  <c r="R48" i="16"/>
  <c r="T48" i="16" s="1"/>
  <c r="Q48" i="16"/>
  <c r="H48" i="16"/>
  <c r="Q47" i="16"/>
  <c r="R47" i="16" s="1"/>
  <c r="H47" i="16"/>
  <c r="Q46" i="16"/>
  <c r="R46" i="16" s="1"/>
  <c r="H46" i="16"/>
  <c r="Q45" i="16"/>
  <c r="R45" i="16" s="1"/>
  <c r="H45" i="16"/>
  <c r="BE44" i="16"/>
  <c r="Q44" i="16"/>
  <c r="R44" i="16" s="1"/>
  <c r="S44" i="16" s="1"/>
  <c r="H44" i="16"/>
  <c r="Q43" i="16"/>
  <c r="R43" i="16" s="1"/>
  <c r="H43" i="16"/>
  <c r="BE42" i="16"/>
  <c r="Q42" i="16"/>
  <c r="R42" i="16" s="1"/>
  <c r="S42" i="16" s="1"/>
  <c r="T42" i="16" s="1"/>
  <c r="H42" i="16"/>
  <c r="Q41" i="16"/>
  <c r="R41" i="16" s="1"/>
  <c r="S41" i="16" s="1"/>
  <c r="H41" i="16"/>
  <c r="R40" i="16"/>
  <c r="Q40" i="16"/>
  <c r="H40" i="16"/>
  <c r="Q39" i="16"/>
  <c r="R39" i="16" s="1"/>
  <c r="H39" i="16"/>
  <c r="Q38" i="16"/>
  <c r="R38" i="16" s="1"/>
  <c r="H38" i="16"/>
  <c r="Q37" i="16"/>
  <c r="R37" i="16" s="1"/>
  <c r="H37" i="16"/>
  <c r="Q36" i="16"/>
  <c r="R36" i="16" s="1"/>
  <c r="S36" i="16" s="1"/>
  <c r="T36" i="16" s="1"/>
  <c r="H36" i="16"/>
  <c r="Q35" i="16"/>
  <c r="R35" i="16" s="1"/>
  <c r="H35" i="16"/>
  <c r="V34" i="16"/>
  <c r="R34" i="16"/>
  <c r="U34" i="16" s="1"/>
  <c r="Q34" i="16"/>
  <c r="H34" i="16"/>
  <c r="Q33" i="16"/>
  <c r="R33" i="16" s="1"/>
  <c r="H33" i="16"/>
  <c r="Q32" i="16"/>
  <c r="R32" i="16" s="1"/>
  <c r="H32" i="16"/>
  <c r="Q31" i="16"/>
  <c r="R31" i="16" s="1"/>
  <c r="H31" i="16"/>
  <c r="Q30" i="16"/>
  <c r="R30" i="16" s="1"/>
  <c r="S30" i="16" s="1"/>
  <c r="T30" i="16" s="1"/>
  <c r="H30" i="16"/>
  <c r="Q29" i="16"/>
  <c r="R29" i="16" s="1"/>
  <c r="H29" i="16"/>
  <c r="R28" i="16"/>
  <c r="S28" i="16" s="1"/>
  <c r="T28" i="16" s="1"/>
  <c r="Q28" i="16"/>
  <c r="H28" i="16"/>
  <c r="Q27" i="16"/>
  <c r="R27" i="16" s="1"/>
  <c r="S27" i="16" s="1"/>
  <c r="H27" i="16"/>
  <c r="Q26" i="16"/>
  <c r="R26" i="16" s="1"/>
  <c r="H26" i="16"/>
  <c r="Q25" i="16"/>
  <c r="R25" i="16" s="1"/>
  <c r="H25" i="16"/>
  <c r="Q24" i="16"/>
  <c r="R24" i="16" s="1"/>
  <c r="H24" i="16"/>
  <c r="Q23" i="16"/>
  <c r="R23" i="16" s="1"/>
  <c r="H23" i="16"/>
  <c r="R22" i="16"/>
  <c r="S22" i="16" s="1"/>
  <c r="T22" i="16" s="1"/>
  <c r="Q22" i="16"/>
  <c r="H22" i="16"/>
  <c r="Q21" i="16"/>
  <c r="R21" i="16" s="1"/>
  <c r="H21" i="16"/>
  <c r="Q20" i="16"/>
  <c r="R20" i="16" s="1"/>
  <c r="S20" i="16" s="1"/>
  <c r="T20" i="16" s="1"/>
  <c r="H20" i="16"/>
  <c r="R19" i="16"/>
  <c r="S19" i="16" s="1"/>
  <c r="Q19" i="16"/>
  <c r="H19" i="16"/>
  <c r="Q18" i="16"/>
  <c r="R18" i="16" s="1"/>
  <c r="H18" i="16"/>
  <c r="Q17" i="16"/>
  <c r="R17" i="16" s="1"/>
  <c r="H17" i="16"/>
  <c r="Q16" i="16"/>
  <c r="R16" i="16" s="1"/>
  <c r="H16" i="16"/>
  <c r="Q15" i="16"/>
  <c r="R15" i="16" s="1"/>
  <c r="H15" i="16"/>
  <c r="BE14" i="16"/>
  <c r="Q14" i="16"/>
  <c r="R14" i="16" s="1"/>
  <c r="H14" i="16"/>
  <c r="Q13" i="16"/>
  <c r="R13" i="16" s="1"/>
  <c r="H13" i="16"/>
  <c r="Q12" i="16"/>
  <c r="R12" i="16" s="1"/>
  <c r="H12" i="16"/>
  <c r="Q11" i="16"/>
  <c r="R11" i="16" s="1"/>
  <c r="S11" i="16" s="1"/>
  <c r="T11" i="16" s="1"/>
  <c r="H11" i="16"/>
  <c r="Q10" i="16"/>
  <c r="R10" i="16" s="1"/>
  <c r="H10" i="16"/>
  <c r="R9" i="16"/>
  <c r="S9" i="16" s="1"/>
  <c r="T9" i="16" s="1"/>
  <c r="Q9" i="16"/>
  <c r="H9" i="16"/>
  <c r="Q8" i="16"/>
  <c r="R8" i="16" s="1"/>
  <c r="S8" i="16" s="1"/>
  <c r="H8" i="16"/>
  <c r="Q7" i="16"/>
  <c r="R7" i="16" s="1"/>
  <c r="H7" i="16"/>
  <c r="Q6" i="16"/>
  <c r="R6" i="16" s="1"/>
  <c r="H6" i="16"/>
  <c r="R5" i="16"/>
  <c r="H5" i="16"/>
  <c r="Q4" i="16"/>
  <c r="R4" i="16" s="1"/>
  <c r="S4" i="16" s="1"/>
  <c r="T4" i="16" s="1"/>
  <c r="H4" i="16"/>
  <c r="AJ1" i="16"/>
  <c r="AH1" i="16"/>
  <c r="AD1" i="16"/>
  <c r="Z1" i="16"/>
  <c r="X1" i="16"/>
  <c r="Q703" i="1"/>
  <c r="R703" i="1" s="1"/>
  <c r="S703" i="1" s="1"/>
  <c r="Q34" i="1"/>
  <c r="S159" i="16" l="1"/>
  <c r="T159" i="16"/>
  <c r="S167" i="16"/>
  <c r="T167" i="16" s="1"/>
  <c r="T215" i="16"/>
  <c r="T162" i="16"/>
  <c r="T180" i="16"/>
  <c r="S180" i="16"/>
  <c r="S220" i="16"/>
  <c r="T220" i="16" s="1"/>
  <c r="T103" i="16"/>
  <c r="S103" i="16"/>
  <c r="T211" i="16"/>
  <c r="S98" i="16"/>
  <c r="T98" i="16" s="1"/>
  <c r="T219" i="16"/>
  <c r="S215" i="16"/>
  <c r="T117" i="16"/>
  <c r="S162" i="16"/>
  <c r="T197" i="16"/>
  <c r="T235" i="16"/>
  <c r="S202" i="16"/>
  <c r="T202" i="16" s="1"/>
  <c r="T216" i="16"/>
  <c r="AK1" i="16"/>
  <c r="S33" i="16"/>
  <c r="T33" i="16" s="1"/>
  <c r="S50" i="16"/>
  <c r="T50" i="16" s="1"/>
  <c r="S62" i="16"/>
  <c r="T62" i="16" s="1"/>
  <c r="T106" i="16"/>
  <c r="T121" i="16"/>
  <c r="S121" i="16"/>
  <c r="S139" i="16"/>
  <c r="T139" i="16" s="1"/>
  <c r="S24" i="16"/>
  <c r="T24" i="16" s="1"/>
  <c r="S96" i="16"/>
  <c r="T96" i="16" s="1"/>
  <c r="S133" i="16"/>
  <c r="T133" i="16" s="1"/>
  <c r="S226" i="16"/>
  <c r="T226" i="16" s="1"/>
  <c r="S265" i="16"/>
  <c r="T265" i="16" s="1"/>
  <c r="S113" i="16"/>
  <c r="T113" i="16" s="1"/>
  <c r="S130" i="16"/>
  <c r="T130" i="16" s="1"/>
  <c r="S251" i="16"/>
  <c r="T251" i="16" s="1"/>
  <c r="S25" i="16"/>
  <c r="T25" i="16" s="1"/>
  <c r="S45" i="16"/>
  <c r="T45" i="16" s="1"/>
  <c r="S54" i="16"/>
  <c r="T54" i="16" s="1"/>
  <c r="S57" i="16"/>
  <c r="T57" i="16" s="1"/>
  <c r="S97" i="16"/>
  <c r="T97" i="16" s="1"/>
  <c r="S173" i="16"/>
  <c r="T173" i="16" s="1"/>
  <c r="S189" i="16"/>
  <c r="T189" i="16" s="1"/>
  <c r="S253" i="16"/>
  <c r="T253" i="16"/>
  <c r="S65" i="16"/>
  <c r="T65" i="16" s="1"/>
  <c r="S21" i="16"/>
  <c r="T21" i="16" s="1"/>
  <c r="S56" i="16"/>
  <c r="T56" i="16" s="1"/>
  <c r="S116" i="16"/>
  <c r="T116" i="16" s="1"/>
  <c r="T200" i="16"/>
  <c r="S200" i="16"/>
  <c r="S75" i="16"/>
  <c r="T75" i="16" s="1"/>
  <c r="S210" i="16"/>
  <c r="T210" i="16" s="1"/>
  <c r="S385" i="16"/>
  <c r="T385" i="16" s="1"/>
  <c r="S16" i="16"/>
  <c r="T16" i="16" s="1"/>
  <c r="S31" i="16"/>
  <c r="T31" i="16" s="1"/>
  <c r="S91" i="16"/>
  <c r="T91" i="16" s="1"/>
  <c r="S182" i="16"/>
  <c r="T182" i="16" s="1"/>
  <c r="T230" i="16"/>
  <c r="S230" i="16"/>
  <c r="S109" i="16"/>
  <c r="T109" i="16" s="1"/>
  <c r="S178" i="16"/>
  <c r="T178" i="16"/>
  <c r="T399" i="16"/>
  <c r="S399" i="16"/>
  <c r="S411" i="16"/>
  <c r="T411" i="16" s="1"/>
  <c r="S6" i="16"/>
  <c r="T6" i="16" s="1"/>
  <c r="T90" i="16"/>
  <c r="T257" i="16"/>
  <c r="S257" i="16"/>
  <c r="S12" i="16"/>
  <c r="T12" i="16" s="1"/>
  <c r="T37" i="16"/>
  <c r="S37" i="16"/>
  <c r="S76" i="16"/>
  <c r="T76" i="16" s="1"/>
  <c r="T94" i="16"/>
  <c r="S94" i="16"/>
  <c r="S123" i="16"/>
  <c r="T123" i="16" s="1"/>
  <c r="S10" i="16"/>
  <c r="T10" i="16" s="1"/>
  <c r="T13" i="16"/>
  <c r="S13" i="16"/>
  <c r="S58" i="16"/>
  <c r="T58" i="16" s="1"/>
  <c r="S88" i="16"/>
  <c r="T88" i="16" s="1"/>
  <c r="T111" i="16"/>
  <c r="T148" i="16"/>
  <c r="S151" i="16"/>
  <c r="T151" i="16"/>
  <c r="S166" i="16"/>
  <c r="T166" i="16" s="1"/>
  <c r="S174" i="16"/>
  <c r="T174" i="16" s="1"/>
  <c r="S214" i="16"/>
  <c r="T214" i="16" s="1"/>
  <c r="S240" i="16"/>
  <c r="T240" i="16" s="1"/>
  <c r="T270" i="16"/>
  <c r="T272" i="16"/>
  <c r="S308" i="16"/>
  <c r="T308" i="16" s="1"/>
  <c r="S84" i="16"/>
  <c r="T84" i="16" s="1"/>
  <c r="S102" i="16"/>
  <c r="T102" i="16" s="1"/>
  <c r="S125" i="16"/>
  <c r="T125" i="16" s="1"/>
  <c r="S39" i="16"/>
  <c r="T39" i="16" s="1"/>
  <c r="S78" i="16"/>
  <c r="T78" i="16" s="1"/>
  <c r="S136" i="16"/>
  <c r="T136" i="16" s="1"/>
  <c r="T194" i="16"/>
  <c r="S238" i="16"/>
  <c r="T238" i="16" s="1"/>
  <c r="S15" i="16"/>
  <c r="T15" i="16" s="1"/>
  <c r="S110" i="16"/>
  <c r="T110" i="16" s="1"/>
  <c r="S17" i="16"/>
  <c r="T17" i="16" s="1"/>
  <c r="S29" i="16"/>
  <c r="T29" i="16" s="1"/>
  <c r="S32" i="16"/>
  <c r="T32" i="16" s="1"/>
  <c r="S35" i="16"/>
  <c r="T35" i="16" s="1"/>
  <c r="S38" i="16"/>
  <c r="T38" i="16" s="1"/>
  <c r="S49" i="16"/>
  <c r="T49" i="16" s="1"/>
  <c r="S64" i="16"/>
  <c r="T64" i="16" s="1"/>
  <c r="S68" i="16"/>
  <c r="T68" i="16" s="1"/>
  <c r="S77" i="16"/>
  <c r="T77" i="16"/>
  <c r="T80" i="16"/>
  <c r="S80" i="16"/>
  <c r="S83" i="16"/>
  <c r="T83" i="16" s="1"/>
  <c r="T138" i="16"/>
  <c r="S138" i="16"/>
  <c r="S158" i="16"/>
  <c r="T158" i="16" s="1"/>
  <c r="S177" i="16"/>
  <c r="T177" i="16" s="1"/>
  <c r="S196" i="16"/>
  <c r="T196" i="16" s="1"/>
  <c r="S234" i="16"/>
  <c r="T234" i="16"/>
  <c r="T264" i="16"/>
  <c r="T301" i="16"/>
  <c r="S301" i="16"/>
  <c r="S14" i="16"/>
  <c r="T14" i="16" s="1"/>
  <c r="S23" i="16"/>
  <c r="T23" i="16" s="1"/>
  <c r="T95" i="16"/>
  <c r="S144" i="16"/>
  <c r="T144" i="16" s="1"/>
  <c r="S152" i="16"/>
  <c r="T152" i="16" s="1"/>
  <c r="S155" i="16"/>
  <c r="T155" i="16" s="1"/>
  <c r="S225" i="16"/>
  <c r="T225" i="16" s="1"/>
  <c r="S241" i="16"/>
  <c r="T241" i="16" s="1"/>
  <c r="S277" i="16"/>
  <c r="T277" i="16" s="1"/>
  <c r="T327" i="16"/>
  <c r="S327" i="16"/>
  <c r="T432" i="16"/>
  <c r="S432" i="16"/>
  <c r="S47" i="16"/>
  <c r="T47" i="16" s="1"/>
  <c r="S60" i="16"/>
  <c r="T60" i="16" s="1"/>
  <c r="S199" i="16"/>
  <c r="T199" i="16" s="1"/>
  <c r="S181" i="16"/>
  <c r="T181" i="16" s="1"/>
  <c r="T217" i="16"/>
  <c r="T221" i="16"/>
  <c r="T276" i="16"/>
  <c r="S292" i="16"/>
  <c r="T292" i="16" s="1"/>
  <c r="T313" i="16"/>
  <c r="S313" i="16"/>
  <c r="T331" i="16"/>
  <c r="S331" i="16"/>
  <c r="T333" i="16"/>
  <c r="T362" i="16"/>
  <c r="S367" i="16"/>
  <c r="T367" i="16" s="1"/>
  <c r="T380" i="16"/>
  <c r="S380" i="16"/>
  <c r="S382" i="16"/>
  <c r="T382" i="16"/>
  <c r="S398" i="16"/>
  <c r="T398" i="16" s="1"/>
  <c r="S420" i="16"/>
  <c r="T420" i="16" s="1"/>
  <c r="T428" i="16"/>
  <c r="T436" i="16"/>
  <c r="S436" i="16"/>
  <c r="T450" i="16"/>
  <c r="S309" i="16"/>
  <c r="T309" i="16" s="1"/>
  <c r="T357" i="16"/>
  <c r="S357" i="16"/>
  <c r="T388" i="16"/>
  <c r="S388" i="16"/>
  <c r="S74" i="16"/>
  <c r="T74" i="16" s="1"/>
  <c r="S100" i="16"/>
  <c r="T100" i="16" s="1"/>
  <c r="S154" i="16"/>
  <c r="T154" i="16" s="1"/>
  <c r="T191" i="16"/>
  <c r="S232" i="16"/>
  <c r="T232" i="16" s="1"/>
  <c r="T273" i="16"/>
  <c r="T346" i="16"/>
  <c r="S346" i="16"/>
  <c r="S370" i="16"/>
  <c r="T370" i="16" s="1"/>
  <c r="T406" i="16"/>
  <c r="S406" i="16"/>
  <c r="S438" i="16"/>
  <c r="T438" i="16" s="1"/>
  <c r="T455" i="16"/>
  <c r="S455" i="16"/>
  <c r="S459" i="16"/>
  <c r="T459" i="16" s="1"/>
  <c r="T476" i="16"/>
  <c r="S524" i="16"/>
  <c r="T524" i="16" s="1"/>
  <c r="S543" i="16"/>
  <c r="T543" i="16"/>
  <c r="S5" i="16"/>
  <c r="T5" i="16" s="1"/>
  <c r="T8" i="16"/>
  <c r="T19" i="16"/>
  <c r="T27" i="16"/>
  <c r="T41" i="16"/>
  <c r="T44" i="16"/>
  <c r="T52" i="16"/>
  <c r="S67" i="16"/>
  <c r="T67" i="16" s="1"/>
  <c r="T81" i="16"/>
  <c r="S90" i="16"/>
  <c r="S95" i="16"/>
  <c r="T107" i="16"/>
  <c r="T114" i="16"/>
  <c r="T119" i="16"/>
  <c r="S132" i="16"/>
  <c r="T132" i="16" s="1"/>
  <c r="S137" i="16"/>
  <c r="T137" i="16" s="1"/>
  <c r="T142" i="16"/>
  <c r="T149" i="16"/>
  <c r="T156" i="16"/>
  <c r="T164" i="16"/>
  <c r="T171" i="16"/>
  <c r="S191" i="16"/>
  <c r="S224" i="16"/>
  <c r="T224" i="16" s="1"/>
  <c r="S228" i="16"/>
  <c r="T228" i="16" s="1"/>
  <c r="T236" i="16"/>
  <c r="S243" i="16"/>
  <c r="T243" i="16" s="1"/>
  <c r="T254" i="16"/>
  <c r="S262" i="16"/>
  <c r="T262" i="16" s="1"/>
  <c r="S270" i="16"/>
  <c r="S275" i="16"/>
  <c r="T275" i="16" s="1"/>
  <c r="T278" i="16"/>
  <c r="T282" i="16"/>
  <c r="S284" i="16"/>
  <c r="T284" i="16" s="1"/>
  <c r="S296" i="16"/>
  <c r="T296" i="16" s="1"/>
  <c r="S306" i="16"/>
  <c r="T306" i="16" s="1"/>
  <c r="T336" i="16"/>
  <c r="T342" i="16"/>
  <c r="T375" i="16"/>
  <c r="S383" i="16"/>
  <c r="T383" i="16" s="1"/>
  <c r="T445" i="16"/>
  <c r="T203" i="16"/>
  <c r="S203" i="16"/>
  <c r="T304" i="16"/>
  <c r="S304" i="16"/>
  <c r="S321" i="16"/>
  <c r="T321" i="16" s="1"/>
  <c r="T390" i="16"/>
  <c r="T440" i="16"/>
  <c r="S440" i="16"/>
  <c r="S552" i="16"/>
  <c r="T552" i="16"/>
  <c r="S280" i="16"/>
  <c r="T280" i="16" s="1"/>
  <c r="T104" i="16"/>
  <c r="S222" i="16"/>
  <c r="T222" i="16" s="1"/>
  <c r="S256" i="16"/>
  <c r="T256" i="16" s="1"/>
  <c r="T286" i="16"/>
  <c r="S286" i="16"/>
  <c r="T298" i="16"/>
  <c r="S298" i="16"/>
  <c r="S334" i="16"/>
  <c r="T334" i="16"/>
  <c r="S353" i="16"/>
  <c r="T353" i="16" s="1"/>
  <c r="T397" i="16"/>
  <c r="S397" i="16"/>
  <c r="T410" i="16"/>
  <c r="S410" i="16"/>
  <c r="S412" i="16"/>
  <c r="T412" i="16"/>
  <c r="T352" i="16"/>
  <c r="S352" i="16"/>
  <c r="T422" i="16"/>
  <c r="S422" i="16"/>
  <c r="S7" i="16"/>
  <c r="T7" i="16" s="1"/>
  <c r="S18" i="16"/>
  <c r="T18" i="16" s="1"/>
  <c r="S26" i="16"/>
  <c r="T26" i="16" s="1"/>
  <c r="S34" i="16"/>
  <c r="T34" i="16" s="1"/>
  <c r="S40" i="16"/>
  <c r="T40" i="16" s="1"/>
  <c r="S43" i="16"/>
  <c r="T43" i="16" s="1"/>
  <c r="S46" i="16"/>
  <c r="T46" i="16" s="1"/>
  <c r="S51" i="16"/>
  <c r="T51" i="16" s="1"/>
  <c r="S59" i="16"/>
  <c r="T59" i="16" s="1"/>
  <c r="S69" i="16"/>
  <c r="T69" i="16" s="1"/>
  <c r="S73" i="16"/>
  <c r="T73" i="16" s="1"/>
  <c r="T85" i="16"/>
  <c r="S92" i="16"/>
  <c r="T92" i="16" s="1"/>
  <c r="S99" i="16"/>
  <c r="T99" i="16" s="1"/>
  <c r="S104" i="16"/>
  <c r="S106" i="16"/>
  <c r="S111" i="16"/>
  <c r="S118" i="16"/>
  <c r="T118" i="16" s="1"/>
  <c r="T127" i="16"/>
  <c r="S134" i="16"/>
  <c r="T134" i="16" s="1"/>
  <c r="S141" i="16"/>
  <c r="T141" i="16" s="1"/>
  <c r="S146" i="16"/>
  <c r="T146" i="16" s="1"/>
  <c r="S148" i="16"/>
  <c r="S153" i="16"/>
  <c r="T153" i="16" s="1"/>
  <c r="S163" i="16"/>
  <c r="T163" i="16" s="1"/>
  <c r="S168" i="16"/>
  <c r="T168" i="16" s="1"/>
  <c r="S170" i="16"/>
  <c r="T170" i="16" s="1"/>
  <c r="S184" i="16"/>
  <c r="T184" i="16" s="1"/>
  <c r="T186" i="16"/>
  <c r="S190" i="16"/>
  <c r="T190" i="16" s="1"/>
  <c r="S194" i="16"/>
  <c r="S198" i="16"/>
  <c r="T198" i="16" s="1"/>
  <c r="S206" i="16"/>
  <c r="T206" i="16" s="1"/>
  <c r="S208" i="16"/>
  <c r="T208" i="16" s="1"/>
  <c r="S212" i="16"/>
  <c r="T212" i="16" s="1"/>
  <c r="T218" i="16"/>
  <c r="T259" i="16"/>
  <c r="S264" i="16"/>
  <c r="T267" i="16"/>
  <c r="S272" i="16"/>
  <c r="T288" i="16"/>
  <c r="S288" i="16"/>
  <c r="T293" i="16"/>
  <c r="T310" i="16"/>
  <c r="S314" i="16"/>
  <c r="T314" i="16" s="1"/>
  <c r="T317" i="16"/>
  <c r="S317" i="16"/>
  <c r="S322" i="16"/>
  <c r="T322" i="16"/>
  <c r="T358" i="16"/>
  <c r="S379" i="16"/>
  <c r="T379" i="16" s="1"/>
  <c r="S381" i="16"/>
  <c r="T381" i="16" s="1"/>
  <c r="T403" i="16"/>
  <c r="T415" i="16"/>
  <c r="S415" i="16"/>
  <c r="T431" i="16"/>
  <c r="S431" i="16"/>
  <c r="S439" i="16"/>
  <c r="T439" i="16" s="1"/>
  <c r="T441" i="16"/>
  <c r="S441" i="16"/>
  <c r="T426" i="16"/>
  <c r="S426" i="16"/>
  <c r="T135" i="16"/>
  <c r="S195" i="16"/>
  <c r="T195" i="16" s="1"/>
  <c r="S213" i="16"/>
  <c r="T213" i="16" s="1"/>
  <c r="S192" i="16"/>
  <c r="T192" i="16" s="1"/>
  <c r="S261" i="16"/>
  <c r="T261" i="16" s="1"/>
  <c r="T269" i="16"/>
  <c r="S269" i="16"/>
  <c r="S300" i="16"/>
  <c r="T300" i="16" s="1"/>
  <c r="S339" i="16"/>
  <c r="T339" i="16" s="1"/>
  <c r="S351" i="16"/>
  <c r="T351" i="16" s="1"/>
  <c r="S391" i="16"/>
  <c r="T391" i="16"/>
  <c r="S456" i="16"/>
  <c r="T456" i="16" s="1"/>
  <c r="S460" i="16"/>
  <c r="T460" i="16"/>
  <c r="T209" i="16"/>
  <c r="S311" i="16"/>
  <c r="T311" i="16" s="1"/>
  <c r="S402" i="16"/>
  <c r="T402" i="16" s="1"/>
  <c r="S416" i="16"/>
  <c r="T416" i="16" s="1"/>
  <c r="T70" i="16"/>
  <c r="T93" i="16"/>
  <c r="S112" i="16"/>
  <c r="T112" i="16" s="1"/>
  <c r="S289" i="16"/>
  <c r="T289" i="16" s="1"/>
  <c r="T340" i="16"/>
  <c r="S344" i="16"/>
  <c r="T344" i="16" s="1"/>
  <c r="T101" i="16"/>
  <c r="S120" i="16"/>
  <c r="T120" i="16" s="1"/>
  <c r="T143" i="16"/>
  <c r="T165" i="16"/>
  <c r="T227" i="16"/>
  <c r="T229" i="16"/>
  <c r="S233" i="16"/>
  <c r="T233" i="16" s="1"/>
  <c r="S237" i="16"/>
  <c r="T237" i="16" s="1"/>
  <c r="T242" i="16"/>
  <c r="T244" i="16"/>
  <c r="T255" i="16"/>
  <c r="S274" i="16"/>
  <c r="T274" i="16" s="1"/>
  <c r="S279" i="16"/>
  <c r="T279" i="16" s="1"/>
  <c r="S283" i="16"/>
  <c r="T283" i="16" s="1"/>
  <c r="S335" i="16"/>
  <c r="T335" i="16" s="1"/>
  <c r="T337" i="16"/>
  <c r="S337" i="16"/>
  <c r="T341" i="16"/>
  <c r="S343" i="16"/>
  <c r="T343" i="16" s="1"/>
  <c r="S365" i="16"/>
  <c r="T365" i="16" s="1"/>
  <c r="T384" i="16"/>
  <c r="S384" i="16"/>
  <c r="T394" i="16"/>
  <c r="S394" i="16"/>
  <c r="T444" i="16"/>
  <c r="S444" i="16"/>
  <c r="S452" i="16"/>
  <c r="T452" i="16" s="1"/>
  <c r="S454" i="16"/>
  <c r="T454" i="16" s="1"/>
  <c r="S491" i="16"/>
  <c r="T491" i="16" s="1"/>
  <c r="T349" i="16"/>
  <c r="S405" i="16"/>
  <c r="T405" i="16" s="1"/>
  <c r="S418" i="16"/>
  <c r="T418" i="16" s="1"/>
  <c r="T424" i="16"/>
  <c r="T448" i="16"/>
  <c r="S448" i="16"/>
  <c r="T465" i="16"/>
  <c r="S465" i="16"/>
  <c r="S471" i="16"/>
  <c r="T471" i="16" s="1"/>
  <c r="S477" i="16"/>
  <c r="T477" i="16" s="1"/>
  <c r="T499" i="16"/>
  <c r="T519" i="16"/>
  <c r="T545" i="16"/>
  <c r="S545" i="16"/>
  <c r="S571" i="16"/>
  <c r="T571" i="16"/>
  <c r="T590" i="16"/>
  <c r="T639" i="16"/>
  <c r="S639" i="16"/>
  <c r="S648" i="16"/>
  <c r="T648" i="16" s="1"/>
  <c r="S708" i="16"/>
  <c r="T708" i="16" s="1"/>
  <c r="T496" i="16"/>
  <c r="T526" i="16"/>
  <c r="S526" i="16"/>
  <c r="S528" i="16"/>
  <c r="T528" i="16" s="1"/>
  <c r="S625" i="16"/>
  <c r="T625" i="16" s="1"/>
  <c r="W836" i="16"/>
  <c r="Y836" i="16"/>
  <c r="U850" i="16"/>
  <c r="V850" i="16" s="1"/>
  <c r="T850" i="16"/>
  <c r="S850" i="16"/>
  <c r="S369" i="16"/>
  <c r="T369" i="16" s="1"/>
  <c r="T378" i="16"/>
  <c r="T409" i="16"/>
  <c r="S409" i="16"/>
  <c r="T419" i="16"/>
  <c r="S419" i="16"/>
  <c r="S430" i="16"/>
  <c r="T430" i="16" s="1"/>
  <c r="T443" i="16"/>
  <c r="S443" i="16"/>
  <c r="T458" i="16"/>
  <c r="S458" i="16"/>
  <c r="T462" i="16"/>
  <c r="S462" i="16"/>
  <c r="S466" i="16"/>
  <c r="T466" i="16"/>
  <c r="T472" i="16"/>
  <c r="S472" i="16"/>
  <c r="S474" i="16"/>
  <c r="T474" i="16" s="1"/>
  <c r="T478" i="16"/>
  <c r="S478" i="16"/>
  <c r="S484" i="16"/>
  <c r="T484" i="16" s="1"/>
  <c r="S486" i="16"/>
  <c r="T486" i="16" s="1"/>
  <c r="T494" i="16"/>
  <c r="S496" i="16"/>
  <c r="T514" i="16"/>
  <c r="S534" i="16"/>
  <c r="T534" i="16" s="1"/>
  <c r="T550" i="16"/>
  <c r="S550" i="16"/>
  <c r="T560" i="16"/>
  <c r="S560" i="16"/>
  <c r="T578" i="16"/>
  <c r="T613" i="16"/>
  <c r="S613" i="16"/>
  <c r="S621" i="16"/>
  <c r="T621" i="16" s="1"/>
  <c r="S780" i="16"/>
  <c r="T780" i="16" s="1"/>
  <c r="S348" i="16"/>
  <c r="T348" i="16" s="1"/>
  <c r="T392" i="16"/>
  <c r="T413" i="16"/>
  <c r="T423" i="16"/>
  <c r="S423" i="16"/>
  <c r="T434" i="16"/>
  <c r="S434" i="16"/>
  <c r="S445" i="16"/>
  <c r="S447" i="16"/>
  <c r="T447" i="16" s="1"/>
  <c r="S464" i="16"/>
  <c r="T464" i="16" s="1"/>
  <c r="S476" i="16"/>
  <c r="S494" i="16"/>
  <c r="S506" i="16"/>
  <c r="T506" i="16" s="1"/>
  <c r="S510" i="16"/>
  <c r="T510" i="16"/>
  <c r="S512" i="16"/>
  <c r="T512" i="16" s="1"/>
  <c r="S514" i="16"/>
  <c r="S516" i="16"/>
  <c r="T516" i="16"/>
  <c r="S520" i="16"/>
  <c r="T520" i="16"/>
  <c r="T540" i="16"/>
  <c r="S562" i="16"/>
  <c r="T562" i="16" s="1"/>
  <c r="S564" i="16"/>
  <c r="T564" i="16" s="1"/>
  <c r="T576" i="16"/>
  <c r="S578" i="16"/>
  <c r="S580" i="16"/>
  <c r="T580" i="16"/>
  <c r="S603" i="16"/>
  <c r="T603" i="16" s="1"/>
  <c r="T326" i="16"/>
  <c r="S361" i="16"/>
  <c r="T361" i="16" s="1"/>
  <c r="T366" i="16"/>
  <c r="S374" i="16"/>
  <c r="T374" i="16" s="1"/>
  <c r="T389" i="16"/>
  <c r="S389" i="16"/>
  <c r="S401" i="16"/>
  <c r="T401" i="16" s="1"/>
  <c r="S427" i="16"/>
  <c r="T427" i="16" s="1"/>
  <c r="S451" i="16"/>
  <c r="T451" i="16" s="1"/>
  <c r="T606" i="16"/>
  <c r="S606" i="16"/>
  <c r="S776" i="16"/>
  <c r="T776" i="16"/>
  <c r="T489" i="16"/>
  <c r="T501" i="16"/>
  <c r="S531" i="16"/>
  <c r="T531" i="16"/>
  <c r="T594" i="16"/>
  <c r="S669" i="16"/>
  <c r="T669" i="16" s="1"/>
  <c r="S712" i="16"/>
  <c r="T712" i="16" s="1"/>
  <c r="S744" i="16"/>
  <c r="T744" i="16" s="1"/>
  <c r="S746" i="16"/>
  <c r="T746" i="16" s="1"/>
  <c r="S748" i="16"/>
  <c r="T748" i="16" s="1"/>
  <c r="T393" i="16"/>
  <c r="S393" i="16"/>
  <c r="T414" i="16"/>
  <c r="S414" i="16"/>
  <c r="S435" i="16"/>
  <c r="T435" i="16" s="1"/>
  <c r="T463" i="16"/>
  <c r="S463" i="16"/>
  <c r="T473" i="16"/>
  <c r="S475" i="16"/>
  <c r="T475" i="16" s="1"/>
  <c r="T479" i="16"/>
  <c r="S481" i="16"/>
  <c r="T481" i="16" s="1"/>
  <c r="S483" i="16"/>
  <c r="T483" i="16" s="1"/>
  <c r="S489" i="16"/>
  <c r="S495" i="16"/>
  <c r="T495" i="16"/>
  <c r="S501" i="16"/>
  <c r="S503" i="16"/>
  <c r="T503" i="16"/>
  <c r="S507" i="16"/>
  <c r="T507" i="16" s="1"/>
  <c r="T511" i="16"/>
  <c r="S511" i="16"/>
  <c r="T521" i="16"/>
  <c r="S521" i="16"/>
  <c r="T525" i="16"/>
  <c r="T535" i="16"/>
  <c r="S537" i="16"/>
  <c r="T537" i="16" s="1"/>
  <c r="S547" i="16"/>
  <c r="T547" i="16" s="1"/>
  <c r="T555" i="16"/>
  <c r="S557" i="16"/>
  <c r="T557" i="16" s="1"/>
  <c r="T569" i="16"/>
  <c r="S573" i="16"/>
  <c r="T573" i="16" s="1"/>
  <c r="T592" i="16"/>
  <c r="S592" i="16"/>
  <c r="S594" i="16"/>
  <c r="T697" i="16"/>
  <c r="S699" i="16"/>
  <c r="T699" i="16" s="1"/>
  <c r="S752" i="16"/>
  <c r="T752" i="16"/>
  <c r="S782" i="16"/>
  <c r="T782" i="16"/>
  <c r="S790" i="16"/>
  <c r="T790" i="16" s="1"/>
  <c r="T559" i="16"/>
  <c r="T566" i="16"/>
  <c r="S619" i="16"/>
  <c r="T619" i="16" s="1"/>
  <c r="S629" i="16"/>
  <c r="T629" i="16" s="1"/>
  <c r="T644" i="16"/>
  <c r="S644" i="16"/>
  <c r="T683" i="16"/>
  <c r="S683" i="16"/>
  <c r="T687" i="16"/>
  <c r="S687" i="16"/>
  <c r="S718" i="16"/>
  <c r="T718" i="16"/>
  <c r="T720" i="16"/>
  <c r="S720" i="16"/>
  <c r="U833" i="16"/>
  <c r="V833" i="16" s="1"/>
  <c r="T833" i="16"/>
  <c r="S833" i="16"/>
  <c r="S469" i="16"/>
  <c r="T469" i="16" s="1"/>
  <c r="S488" i="16"/>
  <c r="T488" i="16" s="1"/>
  <c r="S493" i="16"/>
  <c r="T493" i="16" s="1"/>
  <c r="S498" i="16"/>
  <c r="T498" i="16" s="1"/>
  <c r="S536" i="16"/>
  <c r="T536" i="16" s="1"/>
  <c r="S542" i="16"/>
  <c r="T542" i="16" s="1"/>
  <c r="S554" i="16"/>
  <c r="T554" i="16" s="1"/>
  <c r="S559" i="16"/>
  <c r="T561" i="16"/>
  <c r="S566" i="16"/>
  <c r="S584" i="16"/>
  <c r="T584" i="16" s="1"/>
  <c r="S589" i="16"/>
  <c r="T589" i="16" s="1"/>
  <c r="T591" i="16"/>
  <c r="S591" i="16"/>
  <c r="S602" i="16"/>
  <c r="T602" i="16" s="1"/>
  <c r="T604" i="16"/>
  <c r="T610" i="16"/>
  <c r="T640" i="16"/>
  <c r="S642" i="16"/>
  <c r="T642" i="16" s="1"/>
  <c r="S742" i="16"/>
  <c r="T742" i="16" s="1"/>
  <c r="S774" i="16"/>
  <c r="T774" i="16" s="1"/>
  <c r="T490" i="16"/>
  <c r="S500" i="16"/>
  <c r="T500" i="16" s="1"/>
  <c r="S505" i="16"/>
  <c r="T505" i="16" s="1"/>
  <c r="S508" i="16"/>
  <c r="T508" i="16" s="1"/>
  <c r="S518" i="16"/>
  <c r="T518" i="16" s="1"/>
  <c r="S523" i="16"/>
  <c r="T523" i="16" s="1"/>
  <c r="T539" i="16"/>
  <c r="S549" i="16"/>
  <c r="T549" i="16" s="1"/>
  <c r="S556" i="16"/>
  <c r="T556" i="16" s="1"/>
  <c r="S561" i="16"/>
  <c r="T568" i="16"/>
  <c r="T575" i="16"/>
  <c r="S577" i="16"/>
  <c r="T577" i="16" s="1"/>
  <c r="S593" i="16"/>
  <c r="T593" i="16" s="1"/>
  <c r="S598" i="16"/>
  <c r="T598" i="16" s="1"/>
  <c r="S600" i="16"/>
  <c r="T600" i="16" s="1"/>
  <c r="S610" i="16"/>
  <c r="S640" i="16"/>
  <c r="S658" i="16"/>
  <c r="T658" i="16" s="1"/>
  <c r="T675" i="16"/>
  <c r="S675" i="16"/>
  <c r="T696" i="16"/>
  <c r="S696" i="16"/>
  <c r="T715" i="16"/>
  <c r="S715" i="16"/>
  <c r="S769" i="16"/>
  <c r="T769" i="16"/>
  <c r="T811" i="16"/>
  <c r="S811" i="16"/>
  <c r="S356" i="16"/>
  <c r="T356" i="16" s="1"/>
  <c r="S360" i="16"/>
  <c r="T360" i="16" s="1"/>
  <c r="S364" i="16"/>
  <c r="T364" i="16" s="1"/>
  <c r="S378" i="16"/>
  <c r="S468" i="16"/>
  <c r="T468" i="16" s="1"/>
  <c r="S480" i="16"/>
  <c r="T480" i="16" s="1"/>
  <c r="S485" i="16"/>
  <c r="T485" i="16" s="1"/>
  <c r="S490" i="16"/>
  <c r="T497" i="16"/>
  <c r="T502" i="16"/>
  <c r="T515" i="16"/>
  <c r="S525" i="16"/>
  <c r="S533" i="16"/>
  <c r="T533" i="16" s="1"/>
  <c r="T541" i="16"/>
  <c r="S544" i="16"/>
  <c r="T544" i="16" s="1"/>
  <c r="S551" i="16"/>
  <c r="T551" i="16" s="1"/>
  <c r="T565" i="16"/>
  <c r="S570" i="16"/>
  <c r="T570" i="16" s="1"/>
  <c r="T581" i="16"/>
  <c r="T586" i="16"/>
  <c r="S614" i="16"/>
  <c r="T614" i="16" s="1"/>
  <c r="T624" i="16"/>
  <c r="S624" i="16"/>
  <c r="T626" i="16"/>
  <c r="S626" i="16"/>
  <c r="T638" i="16"/>
  <c r="T688" i="16"/>
  <c r="S767" i="16"/>
  <c r="T767" i="16" s="1"/>
  <c r="S772" i="16"/>
  <c r="T772" i="16" s="1"/>
  <c r="S792" i="16"/>
  <c r="T792" i="16" s="1"/>
  <c r="S804" i="16"/>
  <c r="T804" i="16" s="1"/>
  <c r="T482" i="16"/>
  <c r="T522" i="16"/>
  <c r="T527" i="16"/>
  <c r="S541" i="16"/>
  <c r="S546" i="16"/>
  <c r="T546" i="16" s="1"/>
  <c r="T574" i="16"/>
  <c r="T583" i="16"/>
  <c r="S588" i="16"/>
  <c r="T588" i="16" s="1"/>
  <c r="T607" i="16"/>
  <c r="S609" i="16"/>
  <c r="T609" i="16"/>
  <c r="T616" i="16"/>
  <c r="S620" i="16"/>
  <c r="T620" i="16" s="1"/>
  <c r="T671" i="16"/>
  <c r="S671" i="16"/>
  <c r="T703" i="16"/>
  <c r="T705" i="16"/>
  <c r="S709" i="16"/>
  <c r="T709" i="16" s="1"/>
  <c r="S730" i="16"/>
  <c r="T730" i="16" s="1"/>
  <c r="S741" i="16"/>
  <c r="T741" i="16"/>
  <c r="T775" i="16"/>
  <c r="S775" i="16"/>
  <c r="T631" i="16"/>
  <c r="S656" i="16"/>
  <c r="T656" i="16" s="1"/>
  <c r="S673" i="16"/>
  <c r="T673" i="16"/>
  <c r="T690" i="16"/>
  <c r="T725" i="16"/>
  <c r="T733" i="16"/>
  <c r="S733" i="16"/>
  <c r="T739" i="16"/>
  <c r="T755" i="16"/>
  <c r="S765" i="16"/>
  <c r="T765" i="16" s="1"/>
  <c r="AI814" i="16"/>
  <c r="W814" i="16"/>
  <c r="Y843" i="16"/>
  <c r="U856" i="16"/>
  <c r="V856" i="16" s="1"/>
  <c r="T856" i="16"/>
  <c r="S651" i="16"/>
  <c r="T651" i="16" s="1"/>
  <c r="T653" i="16"/>
  <c r="S653" i="16"/>
  <c r="S660" i="16"/>
  <c r="T660" i="16" s="1"/>
  <c r="S662" i="16"/>
  <c r="T662" i="16" s="1"/>
  <c r="T666" i="16"/>
  <c r="S666" i="16"/>
  <c r="S677" i="16"/>
  <c r="T677" i="16" s="1"/>
  <c r="T679" i="16"/>
  <c r="S679" i="16"/>
  <c r="S692" i="16"/>
  <c r="T692" i="16" s="1"/>
  <c r="S719" i="16"/>
  <c r="T719" i="16" s="1"/>
  <c r="T723" i="16"/>
  <c r="S723" i="16"/>
  <c r="S737" i="16"/>
  <c r="T737" i="16" s="1"/>
  <c r="T753" i="16"/>
  <c r="T759" i="16"/>
  <c r="S759" i="16"/>
  <c r="T783" i="16"/>
  <c r="S783" i="16"/>
  <c r="U822" i="16"/>
  <c r="V822" i="16" s="1"/>
  <c r="S822" i="16"/>
  <c r="T822" i="16" s="1"/>
  <c r="S599" i="16"/>
  <c r="T599" i="16" s="1"/>
  <c r="S605" i="16"/>
  <c r="T605" i="16" s="1"/>
  <c r="S608" i="16"/>
  <c r="T608" i="16" s="1"/>
  <c r="S618" i="16"/>
  <c r="T618" i="16" s="1"/>
  <c r="S623" i="16"/>
  <c r="T623" i="16" s="1"/>
  <c r="S633" i="16"/>
  <c r="T633" i="16" s="1"/>
  <c r="S635" i="16"/>
  <c r="T635" i="16" s="1"/>
  <c r="S646" i="16"/>
  <c r="T646" i="16" s="1"/>
  <c r="T664" i="16"/>
  <c r="T668" i="16"/>
  <c r="S681" i="16"/>
  <c r="T681" i="16" s="1"/>
  <c r="S694" i="16"/>
  <c r="T694" i="16" s="1"/>
  <c r="S700" i="16"/>
  <c r="T700" i="16" s="1"/>
  <c r="T704" i="16"/>
  <c r="S704" i="16"/>
  <c r="T706" i="16"/>
  <c r="S706" i="16"/>
  <c r="S710" i="16"/>
  <c r="T710" i="16" s="1"/>
  <c r="T721" i="16"/>
  <c r="S731" i="16"/>
  <c r="T731" i="16" s="1"/>
  <c r="T743" i="16"/>
  <c r="T747" i="16"/>
  <c r="S747" i="16"/>
  <c r="S749" i="16"/>
  <c r="T749" i="16"/>
  <c r="T781" i="16"/>
  <c r="T785" i="16"/>
  <c r="T799" i="16"/>
  <c r="S799" i="16"/>
  <c r="T805" i="16"/>
  <c r="S810" i="16"/>
  <c r="T810" i="16" s="1"/>
  <c r="U854" i="16"/>
  <c r="V854" i="16" s="1"/>
  <c r="S854" i="16"/>
  <c r="T854" i="16" s="1"/>
  <c r="S628" i="16"/>
  <c r="T628" i="16" s="1"/>
  <c r="S637" i="16"/>
  <c r="T637" i="16" s="1"/>
  <c r="S650" i="16"/>
  <c r="T650" i="16"/>
  <c r="S655" i="16"/>
  <c r="T655" i="16" s="1"/>
  <c r="T670" i="16"/>
  <c r="S672" i="16"/>
  <c r="T672" i="16" s="1"/>
  <c r="S685" i="16"/>
  <c r="T685" i="16" s="1"/>
  <c r="T698" i="16"/>
  <c r="T702" i="16"/>
  <c r="T716" i="16"/>
  <c r="S743" i="16"/>
  <c r="S766" i="16"/>
  <c r="T766" i="16" s="1"/>
  <c r="S768" i="16"/>
  <c r="T768" i="16" s="1"/>
  <c r="T773" i="16"/>
  <c r="S781" i="16"/>
  <c r="S805" i="16"/>
  <c r="T808" i="16"/>
  <c r="S808" i="16"/>
  <c r="U842" i="16"/>
  <c r="V842" i="16" s="1"/>
  <c r="S842" i="16"/>
  <c r="T842" i="16" s="1"/>
  <c r="T617" i="16"/>
  <c r="T630" i="16"/>
  <c r="S630" i="16"/>
  <c r="S641" i="16"/>
  <c r="T641" i="16" s="1"/>
  <c r="S643" i="16"/>
  <c r="T643" i="16" s="1"/>
  <c r="S689" i="16"/>
  <c r="T689" i="16" s="1"/>
  <c r="S714" i="16"/>
  <c r="T714" i="16" s="1"/>
  <c r="S726" i="16"/>
  <c r="T726" i="16" s="1"/>
  <c r="T734" i="16"/>
  <c r="T756" i="16"/>
  <c r="S756" i="16"/>
  <c r="S771" i="16"/>
  <c r="T771" i="16" s="1"/>
  <c r="S773" i="16"/>
  <c r="S777" i="16"/>
  <c r="T777" i="16"/>
  <c r="Y818" i="16"/>
  <c r="W818" i="16"/>
  <c r="S617" i="16"/>
  <c r="T627" i="16"/>
  <c r="T634" i="16"/>
  <c r="S634" i="16"/>
  <c r="S645" i="16"/>
  <c r="T645" i="16"/>
  <c r="T652" i="16"/>
  <c r="T654" i="16"/>
  <c r="T661" i="16"/>
  <c r="T663" i="16"/>
  <c r="T665" i="16"/>
  <c r="T667" i="16"/>
  <c r="T678" i="16"/>
  <c r="T691" i="16"/>
  <c r="T722" i="16"/>
  <c r="S724" i="16"/>
  <c r="T724" i="16" s="1"/>
  <c r="T728" i="16"/>
  <c r="S728" i="16"/>
  <c r="S732" i="16"/>
  <c r="T732" i="16" s="1"/>
  <c r="S734" i="16"/>
  <c r="T738" i="16"/>
  <c r="T750" i="16"/>
  <c r="S750" i="16"/>
  <c r="T754" i="16"/>
  <c r="S754" i="16"/>
  <c r="T758" i="16"/>
  <c r="S758" i="16"/>
  <c r="S762" i="16"/>
  <c r="T762" i="16" s="1"/>
  <c r="S764" i="16"/>
  <c r="T764" i="16" s="1"/>
  <c r="W816" i="16"/>
  <c r="Y816" i="16"/>
  <c r="AI818" i="16"/>
  <c r="U852" i="16"/>
  <c r="V852" i="16" s="1"/>
  <c r="S852" i="16"/>
  <c r="T852" i="16" s="1"/>
  <c r="S779" i="16"/>
  <c r="T779" i="16" s="1"/>
  <c r="T795" i="16"/>
  <c r="S795" i="16"/>
  <c r="T801" i="16"/>
  <c r="Y829" i="16"/>
  <c r="W829" i="16"/>
  <c r="S770" i="16"/>
  <c r="T770" i="16" s="1"/>
  <c r="T787" i="16"/>
  <c r="S787" i="16"/>
  <c r="S796" i="16"/>
  <c r="T796" i="16" s="1"/>
  <c r="S753" i="16"/>
  <c r="S785" i="16"/>
  <c r="T794" i="16"/>
  <c r="T802" i="16"/>
  <c r="S802" i="16"/>
  <c r="Y822" i="16"/>
  <c r="W822" i="16"/>
  <c r="U839" i="16"/>
  <c r="V839" i="16" s="1"/>
  <c r="S839" i="16"/>
  <c r="T839" i="16" s="1"/>
  <c r="Y842" i="16"/>
  <c r="W842" i="16"/>
  <c r="Y852" i="16"/>
  <c r="W852" i="16"/>
  <c r="T778" i="16"/>
  <c r="T809" i="16"/>
  <c r="S809" i="16"/>
  <c r="S849" i="16"/>
  <c r="T849" i="16" s="1"/>
  <c r="AI850" i="16"/>
  <c r="AI852" i="16"/>
  <c r="T791" i="16"/>
  <c r="S791" i="16"/>
  <c r="S821" i="16"/>
  <c r="T821" i="16" s="1"/>
  <c r="U823" i="16"/>
  <c r="V823" i="16" s="1"/>
  <c r="S823" i="16"/>
  <c r="T823" i="16" s="1"/>
  <c r="U829" i="16"/>
  <c r="V829" i="16" s="1"/>
  <c r="T829" i="16"/>
  <c r="U846" i="16"/>
  <c r="V846" i="16" s="1"/>
  <c r="T846" i="16"/>
  <c r="S846" i="16"/>
  <c r="T788" i="16"/>
  <c r="S797" i="16"/>
  <c r="T797" i="16" s="1"/>
  <c r="T803" i="16"/>
  <c r="S803" i="16"/>
  <c r="U816" i="16"/>
  <c r="V816" i="16" s="1"/>
  <c r="S816" i="16"/>
  <c r="T816" i="16" s="1"/>
  <c r="U818" i="16"/>
  <c r="V818" i="16" s="1"/>
  <c r="T818" i="16"/>
  <c r="S814" i="16"/>
  <c r="T814" i="16" s="1"/>
  <c r="Y817" i="16"/>
  <c r="S824" i="16"/>
  <c r="S830" i="16"/>
  <c r="S836" i="16"/>
  <c r="S843" i="16"/>
  <c r="Y851" i="16"/>
  <c r="W821" i="16"/>
  <c r="T824" i="16"/>
  <c r="T830" i="16"/>
  <c r="AA832" i="16"/>
  <c r="AB832" i="16" s="1"/>
  <c r="W835" i="16"/>
  <c r="T836" i="16"/>
  <c r="W838" i="16"/>
  <c r="T843" i="16"/>
  <c r="W849" i="16"/>
  <c r="S855" i="16"/>
  <c r="T855" i="16" s="1"/>
  <c r="S857" i="16"/>
  <c r="T857" i="16" s="1"/>
  <c r="X267" i="1"/>
  <c r="V267" i="1" s="1"/>
  <c r="V806" i="1"/>
  <c r="V803" i="1"/>
  <c r="H806" i="1"/>
  <c r="Q806" i="1"/>
  <c r="R806" i="1" s="1"/>
  <c r="S806" i="1" s="1"/>
  <c r="T806" i="1" s="1"/>
  <c r="Q46" i="1"/>
  <c r="R46" i="1" s="1"/>
  <c r="H46" i="1"/>
  <c r="X805" i="1"/>
  <c r="V805" i="1" s="1"/>
  <c r="Q805" i="1"/>
  <c r="R805" i="1" s="1"/>
  <c r="H805" i="1"/>
  <c r="S46" i="1" l="1"/>
  <c r="T46" i="1" s="1"/>
  <c r="S805" i="1"/>
  <c r="T805" i="1" s="1"/>
  <c r="H587" i="1" l="1"/>
  <c r="W508" i="1" l="1"/>
  <c r="X508" i="1"/>
  <c r="P793" i="1"/>
  <c r="BE44" i="1" l="1"/>
  <c r="Q44" i="1"/>
  <c r="R44" i="1" s="1"/>
  <c r="H44" i="1"/>
  <c r="S44" i="1" l="1"/>
  <c r="T44" i="1" s="1"/>
  <c r="F31" i="6" l="1"/>
  <c r="F30" i="6"/>
  <c r="F29" i="6"/>
  <c r="I28" i="6"/>
  <c r="F28" i="6"/>
  <c r="F27" i="6"/>
  <c r="I25" i="6"/>
  <c r="I24" i="6"/>
  <c r="I23" i="6"/>
  <c r="I22" i="6"/>
  <c r="F21" i="6"/>
  <c r="F20" i="6"/>
  <c r="F19" i="6"/>
  <c r="F18" i="6"/>
  <c r="F17" i="6"/>
  <c r="I16" i="6"/>
  <c r="F16" i="6"/>
  <c r="I15" i="6"/>
  <c r="F15" i="6"/>
  <c r="I14" i="6"/>
  <c r="F14" i="6"/>
  <c r="F13" i="6"/>
  <c r="F12" i="6"/>
  <c r="J6" i="6"/>
  <c r="E6" i="6"/>
  <c r="J3" i="6"/>
  <c r="J2" i="6"/>
  <c r="Q804" i="1" l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51" i="1"/>
  <c r="Q57" i="1"/>
  <c r="Q49" i="1"/>
  <c r="Q60" i="1"/>
  <c r="Q53" i="1"/>
  <c r="Q37" i="1"/>
  <c r="Q131" i="1"/>
  <c r="Q159" i="1"/>
  <c r="Q145" i="1"/>
  <c r="Q99" i="1"/>
  <c r="Q94" i="1"/>
  <c r="Q89" i="1"/>
  <c r="Q87" i="1"/>
  <c r="Q85" i="1"/>
  <c r="Q80" i="1"/>
  <c r="Q83" i="1"/>
  <c r="Q82" i="1"/>
  <c r="Q81" i="1"/>
  <c r="Q78" i="1"/>
  <c r="Q77" i="1"/>
  <c r="Q76" i="1"/>
  <c r="Q178" i="1"/>
  <c r="Q61" i="1"/>
  <c r="Q229" i="1"/>
  <c r="Q228" i="1"/>
  <c r="Q237" i="1"/>
  <c r="Q234" i="1"/>
  <c r="Q231" i="1"/>
  <c r="Q24" i="1"/>
  <c r="Q9" i="1"/>
  <c r="Q42" i="1"/>
  <c r="Q32" i="1"/>
  <c r="Q14" i="1"/>
  <c r="Q29" i="1"/>
  <c r="Q27" i="1"/>
  <c r="Q23" i="1"/>
  <c r="Q12" i="1"/>
  <c r="Q8" i="1"/>
  <c r="Q198" i="1"/>
  <c r="Q122" i="1"/>
  <c r="Q129" i="1"/>
  <c r="Q130" i="1"/>
  <c r="Q128" i="1"/>
  <c r="Q127" i="1"/>
  <c r="Q123" i="1"/>
  <c r="Q125" i="1"/>
  <c r="Q124" i="1"/>
  <c r="Q59" i="1"/>
  <c r="Q56" i="1"/>
  <c r="Q52" i="1"/>
  <c r="Q50" i="1"/>
  <c r="Q55" i="1"/>
  <c r="Q15" i="1"/>
  <c r="Q63" i="1"/>
  <c r="Q48" i="1"/>
  <c r="Q47" i="1"/>
  <c r="Q45" i="1"/>
  <c r="Q41" i="1"/>
  <c r="Q40" i="1"/>
  <c r="Q39" i="1"/>
  <c r="Q38" i="1"/>
  <c r="Q36" i="1"/>
  <c r="Q33" i="1"/>
  <c r="Q31" i="1"/>
  <c r="Q16" i="1"/>
  <c r="Q154" i="1"/>
  <c r="Q180" i="1"/>
  <c r="Q43" i="1"/>
  <c r="Q158" i="1"/>
  <c r="Q132" i="1"/>
  <c r="Q58" i="1"/>
  <c r="Q54" i="1"/>
  <c r="Q62" i="1"/>
  <c r="Q164" i="1"/>
  <c r="Q152" i="1"/>
  <c r="Q35" i="1"/>
  <c r="Q190" i="1"/>
  <c r="Q188" i="1"/>
  <c r="Q236" i="1"/>
  <c r="Q235" i="1"/>
  <c r="Q233" i="1"/>
  <c r="Q230" i="1"/>
  <c r="Q232" i="1"/>
  <c r="Q207" i="1"/>
  <c r="Q208" i="1"/>
  <c r="Q202" i="1"/>
  <c r="Q242" i="1"/>
  <c r="Q243" i="1"/>
  <c r="Q240" i="1"/>
  <c r="Q238" i="1"/>
  <c r="Q241" i="1"/>
  <c r="Q203" i="1"/>
  <c r="Q206" i="1"/>
  <c r="Q205" i="1"/>
  <c r="Q173" i="1"/>
  <c r="Q201" i="1"/>
  <c r="Q227" i="1"/>
  <c r="Q226" i="1"/>
  <c r="Q225" i="1"/>
  <c r="Q224" i="1"/>
  <c r="Q222" i="1"/>
  <c r="Q220" i="1"/>
  <c r="Q219" i="1"/>
  <c r="Q217" i="1"/>
  <c r="Q221" i="1"/>
  <c r="Q218" i="1"/>
  <c r="Q223" i="1"/>
  <c r="Q216" i="1"/>
  <c r="Q215" i="1"/>
  <c r="Q214" i="1"/>
  <c r="Q213" i="1"/>
  <c r="Q210" i="1"/>
  <c r="Q209" i="1"/>
  <c r="Q140" i="1"/>
  <c r="Q200" i="1"/>
  <c r="Q197" i="1"/>
  <c r="Q139" i="1"/>
  <c r="Q196" i="1"/>
  <c r="Q195" i="1"/>
  <c r="Q193" i="1"/>
  <c r="Q192" i="1"/>
  <c r="Q191" i="1"/>
  <c r="Q189" i="1"/>
  <c r="Q187" i="1"/>
  <c r="Q186" i="1"/>
  <c r="Q185" i="1"/>
  <c r="Q182" i="1"/>
  <c r="Q183" i="1"/>
  <c r="Q184" i="1"/>
  <c r="Q179" i="1"/>
  <c r="Q26" i="1"/>
  <c r="Q25" i="1"/>
  <c r="Q30" i="1"/>
  <c r="Q28" i="1"/>
  <c r="Q11" i="1"/>
  <c r="Q10" i="1"/>
  <c r="Q13" i="1"/>
  <c r="Q7" i="1"/>
  <c r="Q6" i="1"/>
  <c r="Q177" i="1"/>
  <c r="Q176" i="1"/>
  <c r="Q174" i="1"/>
  <c r="Q172" i="1"/>
  <c r="Q170" i="1"/>
  <c r="Q169" i="1"/>
  <c r="Q167" i="1"/>
  <c r="Q121" i="1"/>
  <c r="Q69" i="1"/>
  <c r="Q171" i="1"/>
  <c r="Q168" i="1"/>
  <c r="Q166" i="1"/>
  <c r="Q165" i="1"/>
  <c r="Q175" i="1"/>
  <c r="Q157" i="1"/>
  <c r="Q155" i="1"/>
  <c r="Q156" i="1"/>
  <c r="Q153" i="1"/>
  <c r="Q149" i="1"/>
  <c r="Q146" i="1"/>
  <c r="Q138" i="1"/>
  <c r="Q4" i="1"/>
  <c r="Q137" i="1"/>
  <c r="Q136" i="1"/>
  <c r="Q135" i="1"/>
  <c r="Q162" i="1"/>
  <c r="Q163" i="1"/>
  <c r="Q194" i="1"/>
  <c r="Q151" i="1"/>
  <c r="Q150" i="1"/>
  <c r="Q148" i="1"/>
  <c r="Q147" i="1"/>
  <c r="Q133" i="1"/>
  <c r="Q117" i="1"/>
  <c r="Q116" i="1"/>
  <c r="Q118" i="1"/>
  <c r="Q115" i="1"/>
  <c r="Q114" i="1"/>
  <c r="Q113" i="1"/>
  <c r="Q112" i="1"/>
  <c r="Q111" i="1"/>
  <c r="Q110" i="1"/>
  <c r="Q108" i="1"/>
  <c r="Q75" i="1"/>
  <c r="Q106" i="1"/>
  <c r="Q109" i="1"/>
  <c r="Q107" i="1"/>
  <c r="Q105" i="1"/>
  <c r="Q104" i="1"/>
  <c r="Q103" i="1"/>
  <c r="Q101" i="1"/>
  <c r="Q100" i="1"/>
  <c r="Q20" i="1"/>
  <c r="Q74" i="1"/>
  <c r="Q73" i="1"/>
  <c r="Q21" i="1"/>
  <c r="Q72" i="1"/>
  <c r="Q19" i="1"/>
  <c r="Q17" i="1"/>
  <c r="Q71" i="1"/>
  <c r="Q119" i="1"/>
  <c r="Q70" i="1"/>
  <c r="Q67" i="1"/>
  <c r="Q65" i="1"/>
  <c r="Q64" i="1"/>
  <c r="Q98" i="1"/>
  <c r="Q102" i="1"/>
  <c r="Q68" i="1"/>
  <c r="Q97" i="1"/>
  <c r="Q144" i="1"/>
  <c r="Q96" i="1"/>
  <c r="Q143" i="1"/>
  <c r="Q95" i="1"/>
  <c r="Q22" i="1"/>
  <c r="Q18" i="1"/>
  <c r="Q93" i="1"/>
  <c r="Q92" i="1"/>
  <c r="Q91" i="1"/>
  <c r="Q120" i="1"/>
  <c r="Q90" i="1"/>
  <c r="Q88" i="1"/>
  <c r="Q86" i="1"/>
  <c r="Q84" i="1"/>
  <c r="Q79" i="1"/>
  <c r="Q212" i="1"/>
  <c r="Q211" i="1"/>
  <c r="Q199" i="1"/>
  <c r="Q181" i="1"/>
  <c r="Q160" i="1"/>
  <c r="Q134" i="1"/>
  <c r="Q142" i="1"/>
  <c r="Q141" i="1"/>
  <c r="Q244" i="1"/>
  <c r="V573" i="1" l="1"/>
  <c r="R573" i="1"/>
  <c r="H573" i="1"/>
  <c r="V572" i="1"/>
  <c r="R572" i="1"/>
  <c r="H572" i="1"/>
  <c r="V571" i="1"/>
  <c r="R571" i="1"/>
  <c r="S571" i="1" s="1"/>
  <c r="T571" i="1" s="1"/>
  <c r="H571" i="1"/>
  <c r="V570" i="1"/>
  <c r="R570" i="1"/>
  <c r="H570" i="1"/>
  <c r="S572" i="1" l="1"/>
  <c r="T572" i="1" s="1"/>
  <c r="S573" i="1"/>
  <c r="T573" i="1" s="1"/>
  <c r="S570" i="1"/>
  <c r="T570" i="1" s="1"/>
  <c r="X723" i="1" l="1"/>
  <c r="V723" i="1" s="1"/>
  <c r="X804" i="1" l="1"/>
  <c r="X801" i="1"/>
  <c r="X800" i="1"/>
  <c r="X799" i="1"/>
  <c r="X798" i="1"/>
  <c r="X796" i="1"/>
  <c r="X795" i="1"/>
  <c r="X794" i="1"/>
  <c r="X793" i="1"/>
  <c r="X792" i="1"/>
  <c r="X791" i="1"/>
  <c r="X789" i="1"/>
  <c r="X783" i="1"/>
  <c r="X772" i="1"/>
  <c r="X771" i="1"/>
  <c r="X736" i="1"/>
  <c r="X734" i="1"/>
  <c r="X725" i="1"/>
  <c r="X724" i="1"/>
  <c r="X714" i="1"/>
  <c r="X711" i="1"/>
  <c r="X708" i="1"/>
  <c r="X703" i="1"/>
  <c r="X691" i="1"/>
  <c r="X685" i="1"/>
  <c r="X684" i="1"/>
  <c r="X663" i="1"/>
  <c r="X656" i="1"/>
  <c r="X649" i="1"/>
  <c r="X646" i="1"/>
  <c r="X645" i="1"/>
  <c r="X641" i="1"/>
  <c r="X640" i="1"/>
  <c r="X631" i="1"/>
  <c r="X623" i="1"/>
  <c r="X622" i="1"/>
  <c r="X620" i="1"/>
  <c r="X619" i="1"/>
  <c r="X616" i="1"/>
  <c r="X614" i="1"/>
  <c r="X612" i="1"/>
  <c r="X610" i="1"/>
  <c r="X609" i="1"/>
  <c r="X608" i="1"/>
  <c r="X607" i="1"/>
  <c r="X606" i="1"/>
  <c r="X605" i="1"/>
  <c r="X604" i="1"/>
  <c r="X603" i="1"/>
  <c r="X601" i="1"/>
  <c r="X594" i="1"/>
  <c r="X589" i="1"/>
  <c r="X588" i="1"/>
  <c r="X587" i="1"/>
  <c r="X580" i="1"/>
  <c r="X578" i="1"/>
  <c r="X555" i="1"/>
  <c r="X552" i="1"/>
  <c r="X549" i="1"/>
  <c r="X546" i="1"/>
  <c r="X545" i="1"/>
  <c r="X537" i="1"/>
  <c r="X536" i="1"/>
  <c r="X534" i="1"/>
  <c r="X533" i="1"/>
  <c r="X532" i="1"/>
  <c r="X524" i="1"/>
  <c r="X502" i="1"/>
  <c r="X474" i="1"/>
  <c r="X469" i="1"/>
  <c r="X458" i="1"/>
  <c r="X454" i="1"/>
  <c r="X432" i="1"/>
  <c r="X409" i="1"/>
  <c r="X405" i="1"/>
  <c r="X391" i="1"/>
  <c r="X384" i="1"/>
  <c r="X382" i="1"/>
  <c r="X379" i="1"/>
  <c r="X378" i="1"/>
  <c r="X375" i="1"/>
  <c r="X370" i="1"/>
  <c r="X367" i="1"/>
  <c r="X366" i="1"/>
  <c r="X359" i="1"/>
  <c r="X349" i="1"/>
  <c r="X335" i="1"/>
  <c r="X334" i="1"/>
  <c r="X324" i="1"/>
  <c r="X323" i="1"/>
  <c r="X318" i="1"/>
  <c r="X314" i="1"/>
  <c r="X309" i="1"/>
  <c r="X304" i="1"/>
  <c r="X251" i="1"/>
  <c r="X250" i="1"/>
  <c r="V800" i="1" l="1"/>
  <c r="R800" i="1"/>
  <c r="H800" i="1"/>
  <c r="V799" i="1"/>
  <c r="R799" i="1"/>
  <c r="H799" i="1"/>
  <c r="S799" i="1" l="1"/>
  <c r="T799" i="1" s="1"/>
  <c r="S800" i="1"/>
  <c r="T800" i="1" s="1"/>
  <c r="M850" i="1" l="1"/>
  <c r="M849" i="1"/>
  <c r="M848" i="1"/>
  <c r="M847" i="1"/>
  <c r="M846" i="1"/>
  <c r="M845" i="1"/>
  <c r="M844" i="1"/>
  <c r="M843" i="1"/>
  <c r="M842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12" i="1"/>
  <c r="M811" i="1"/>
  <c r="M810" i="1"/>
  <c r="M809" i="1"/>
  <c r="M808" i="1"/>
  <c r="M807" i="1"/>
  <c r="R51" i="1"/>
  <c r="H51" i="1"/>
  <c r="R57" i="1"/>
  <c r="S57" i="1" s="1"/>
  <c r="H57" i="1"/>
  <c r="S51" i="1" l="1"/>
  <c r="T51" i="1" s="1"/>
  <c r="T57" i="1"/>
  <c r="R61" i="1"/>
  <c r="H61" i="1"/>
  <c r="S61" i="1" l="1"/>
  <c r="T61" i="1" s="1"/>
  <c r="V646" i="1" l="1"/>
  <c r="V804" i="1" l="1"/>
  <c r="R804" i="1"/>
  <c r="H804" i="1"/>
  <c r="R803" i="1"/>
  <c r="H803" i="1"/>
  <c r="S804" i="1" l="1"/>
  <c r="T804" i="1" s="1"/>
  <c r="S803" i="1"/>
  <c r="T803" i="1" s="1"/>
  <c r="R49" i="1" l="1"/>
  <c r="H49" i="1"/>
  <c r="S49" i="1" l="1"/>
  <c r="T49" i="1" s="1"/>
  <c r="V802" i="1" l="1"/>
  <c r="R802" i="1"/>
  <c r="H802" i="1"/>
  <c r="V801" i="1"/>
  <c r="R801" i="1"/>
  <c r="H801" i="1"/>
  <c r="V798" i="1"/>
  <c r="R798" i="1"/>
  <c r="H798" i="1"/>
  <c r="V797" i="1"/>
  <c r="R797" i="1"/>
  <c r="H797" i="1"/>
  <c r="R60" i="1"/>
  <c r="H60" i="1"/>
  <c r="R53" i="1"/>
  <c r="H53" i="1"/>
  <c r="R37" i="1"/>
  <c r="H37" i="1"/>
  <c r="S802" i="1" l="1"/>
  <c r="T802" i="1" s="1"/>
  <c r="S801" i="1"/>
  <c r="T801" i="1" s="1"/>
  <c r="S798" i="1"/>
  <c r="T798" i="1" s="1"/>
  <c r="S797" i="1"/>
  <c r="T797" i="1" s="1"/>
  <c r="S60" i="1"/>
  <c r="T60" i="1" s="1"/>
  <c r="S53" i="1"/>
  <c r="T53" i="1" s="1"/>
  <c r="S37" i="1"/>
  <c r="T37" i="1" s="1"/>
  <c r="H818" i="1" l="1"/>
  <c r="R818" i="1"/>
  <c r="Z818" i="1"/>
  <c r="W818" i="1" s="1"/>
  <c r="H819" i="1"/>
  <c r="R819" i="1"/>
  <c r="Z819" i="1"/>
  <c r="Y819" i="1" s="1"/>
  <c r="H820" i="1"/>
  <c r="R820" i="1"/>
  <c r="Z820" i="1"/>
  <c r="W820" i="1" s="1"/>
  <c r="H821" i="1"/>
  <c r="R821" i="1"/>
  <c r="U821" i="1" s="1"/>
  <c r="V821" i="1" s="1"/>
  <c r="Z821" i="1"/>
  <c r="W821" i="1" s="1"/>
  <c r="H822" i="1"/>
  <c r="R822" i="1"/>
  <c r="U822" i="1" s="1"/>
  <c r="V822" i="1" s="1"/>
  <c r="Z822" i="1"/>
  <c r="Y822" i="1" s="1"/>
  <c r="H823" i="1"/>
  <c r="R823" i="1"/>
  <c r="U823" i="1" s="1"/>
  <c r="V823" i="1" s="1"/>
  <c r="Z823" i="1"/>
  <c r="Y823" i="1" s="1"/>
  <c r="H824" i="1"/>
  <c r="R824" i="1"/>
  <c r="Z824" i="1"/>
  <c r="W824" i="1" s="1"/>
  <c r="H825" i="1"/>
  <c r="R825" i="1"/>
  <c r="Z825" i="1"/>
  <c r="Y825" i="1" s="1"/>
  <c r="H826" i="1"/>
  <c r="R826" i="1"/>
  <c r="Z826" i="1"/>
  <c r="Y826" i="1" s="1"/>
  <c r="AF826" i="1"/>
  <c r="H827" i="1"/>
  <c r="R827" i="1"/>
  <c r="Z827" i="1"/>
  <c r="Y827" i="1" s="1"/>
  <c r="H828" i="1"/>
  <c r="R828" i="1"/>
  <c r="Z828" i="1"/>
  <c r="Y828" i="1" s="1"/>
  <c r="H829" i="1"/>
  <c r="R829" i="1"/>
  <c r="Z829" i="1"/>
  <c r="Y829" i="1" s="1"/>
  <c r="H830" i="1"/>
  <c r="R830" i="1"/>
  <c r="Z830" i="1"/>
  <c r="Y830" i="1" s="1"/>
  <c r="H831" i="1"/>
  <c r="R831" i="1"/>
  <c r="Z831" i="1"/>
  <c r="Y831" i="1" s="1"/>
  <c r="H832" i="1"/>
  <c r="R832" i="1"/>
  <c r="Z832" i="1"/>
  <c r="AI832" i="1" s="1"/>
  <c r="H833" i="1"/>
  <c r="R833" i="1"/>
  <c r="Z833" i="1"/>
  <c r="W833" i="1" s="1"/>
  <c r="H834" i="1"/>
  <c r="R834" i="1"/>
  <c r="Z834" i="1"/>
  <c r="W834" i="1" s="1"/>
  <c r="H835" i="1"/>
  <c r="R835" i="1"/>
  <c r="Z835" i="1"/>
  <c r="Y835" i="1" s="1"/>
  <c r="H836" i="1"/>
  <c r="R836" i="1"/>
  <c r="Z836" i="1"/>
  <c r="W836" i="1" s="1"/>
  <c r="H837" i="1"/>
  <c r="R837" i="1"/>
  <c r="U837" i="1" s="1"/>
  <c r="V837" i="1" s="1"/>
  <c r="Z837" i="1"/>
  <c r="Y837" i="1" s="1"/>
  <c r="H838" i="1"/>
  <c r="R838" i="1"/>
  <c r="Z838" i="1"/>
  <c r="AI838" i="1" s="1"/>
  <c r="H839" i="1"/>
  <c r="R839" i="1"/>
  <c r="Z839" i="1"/>
  <c r="W839" i="1" s="1"/>
  <c r="H840" i="1"/>
  <c r="R840" i="1"/>
  <c r="Z840" i="1"/>
  <c r="Y840" i="1" s="1"/>
  <c r="H841" i="1"/>
  <c r="R841" i="1"/>
  <c r="Z841" i="1"/>
  <c r="Y841" i="1" s="1"/>
  <c r="H842" i="1"/>
  <c r="R842" i="1"/>
  <c r="Z842" i="1"/>
  <c r="Y842" i="1" s="1"/>
  <c r="H843" i="1"/>
  <c r="R843" i="1"/>
  <c r="U843" i="1" s="1"/>
  <c r="V843" i="1" s="1"/>
  <c r="S843" i="1"/>
  <c r="T843" i="1" s="1"/>
  <c r="Z843" i="1"/>
  <c r="W843" i="1" s="1"/>
  <c r="H844" i="1"/>
  <c r="P844" i="1"/>
  <c r="R844" i="1"/>
  <c r="Z844" i="1"/>
  <c r="Y844" i="1" s="1"/>
  <c r="H845" i="1"/>
  <c r="R845" i="1"/>
  <c r="Z845" i="1"/>
  <c r="Y845" i="1" s="1"/>
  <c r="H846" i="1"/>
  <c r="P846" i="1"/>
  <c r="R846" i="1"/>
  <c r="Z846" i="1"/>
  <c r="Y846" i="1" s="1"/>
  <c r="H847" i="1"/>
  <c r="P847" i="1"/>
  <c r="R847" i="1"/>
  <c r="U847" i="1" s="1"/>
  <c r="V847" i="1" s="1"/>
  <c r="Z847" i="1"/>
  <c r="W847" i="1" s="1"/>
  <c r="H848" i="1"/>
  <c r="P848" i="1"/>
  <c r="R848" i="1"/>
  <c r="Z848" i="1"/>
  <c r="W848" i="1" s="1"/>
  <c r="H849" i="1"/>
  <c r="P849" i="1"/>
  <c r="R849" i="1"/>
  <c r="U849" i="1" s="1"/>
  <c r="V849" i="1" s="1"/>
  <c r="Z849" i="1"/>
  <c r="Y849" i="1" s="1"/>
  <c r="H850" i="1"/>
  <c r="P850" i="1"/>
  <c r="R850" i="1"/>
  <c r="Z850" i="1"/>
  <c r="AI850" i="1" s="1"/>
  <c r="P851" i="1"/>
  <c r="S833" i="1" l="1"/>
  <c r="T833" i="1" s="1"/>
  <c r="U833" i="1"/>
  <c r="V833" i="1" s="1"/>
  <c r="S827" i="1"/>
  <c r="T827" i="1" s="1"/>
  <c r="U827" i="1"/>
  <c r="V827" i="1" s="1"/>
  <c r="S826" i="1"/>
  <c r="U826" i="1"/>
  <c r="V826" i="1" s="1"/>
  <c r="S836" i="1"/>
  <c r="T836" i="1" s="1"/>
  <c r="U836" i="1"/>
  <c r="V836" i="1" s="1"/>
  <c r="S838" i="1"/>
  <c r="T838" i="1" s="1"/>
  <c r="U838" i="1"/>
  <c r="V838" i="1" s="1"/>
  <c r="S832" i="1"/>
  <c r="T832" i="1" s="1"/>
  <c r="U832" i="1"/>
  <c r="V832" i="1" s="1"/>
  <c r="S831" i="1"/>
  <c r="T831" i="1" s="1"/>
  <c r="U831" i="1"/>
  <c r="V831" i="1" s="1"/>
  <c r="S841" i="1"/>
  <c r="T841" i="1" s="1"/>
  <c r="U841" i="1"/>
  <c r="V841" i="1" s="1"/>
  <c r="S840" i="1"/>
  <c r="U840" i="1"/>
  <c r="V840" i="1" s="1"/>
  <c r="S819" i="1"/>
  <c r="U819" i="1"/>
  <c r="V819" i="1" s="1"/>
  <c r="S824" i="1"/>
  <c r="T824" i="1" s="1"/>
  <c r="U824" i="1"/>
  <c r="V824" i="1" s="1"/>
  <c r="S834" i="1"/>
  <c r="T834" i="1" s="1"/>
  <c r="U834" i="1"/>
  <c r="V834" i="1" s="1"/>
  <c r="S839" i="1"/>
  <c r="T839" i="1" s="1"/>
  <c r="U839" i="1"/>
  <c r="V839" i="1" s="1"/>
  <c r="S818" i="1"/>
  <c r="T818" i="1" s="1"/>
  <c r="U818" i="1"/>
  <c r="V818" i="1" s="1"/>
  <c r="S820" i="1"/>
  <c r="T820" i="1" s="1"/>
  <c r="U820" i="1"/>
  <c r="V820" i="1" s="1"/>
  <c r="S825" i="1"/>
  <c r="T825" i="1" s="1"/>
  <c r="U825" i="1"/>
  <c r="V825" i="1" s="1"/>
  <c r="AA825" i="1"/>
  <c r="AB825" i="1" s="1"/>
  <c r="S835" i="1"/>
  <c r="T835" i="1" s="1"/>
  <c r="U835" i="1"/>
  <c r="V835" i="1" s="1"/>
  <c r="S829" i="1"/>
  <c r="T829" i="1" s="1"/>
  <c r="U829" i="1"/>
  <c r="V829" i="1" s="1"/>
  <c r="S845" i="1"/>
  <c r="T845" i="1" s="1"/>
  <c r="U845" i="1"/>
  <c r="V845" i="1" s="1"/>
  <c r="S842" i="1"/>
  <c r="T842" i="1" s="1"/>
  <c r="U842" i="1"/>
  <c r="V842" i="1" s="1"/>
  <c r="S844" i="1"/>
  <c r="T844" i="1" s="1"/>
  <c r="U844" i="1"/>
  <c r="V844" i="1" s="1"/>
  <c r="S846" i="1"/>
  <c r="T846" i="1" s="1"/>
  <c r="U846" i="1"/>
  <c r="V846" i="1" s="1"/>
  <c r="S850" i="1"/>
  <c r="T850" i="1" s="1"/>
  <c r="U850" i="1"/>
  <c r="V850" i="1" s="1"/>
  <c r="S848" i="1"/>
  <c r="T848" i="1" s="1"/>
  <c r="U848" i="1"/>
  <c r="V848" i="1" s="1"/>
  <c r="S830" i="1"/>
  <c r="T830" i="1" s="1"/>
  <c r="U830" i="1"/>
  <c r="V830" i="1" s="1"/>
  <c r="S828" i="1"/>
  <c r="T828" i="1" s="1"/>
  <c r="U828" i="1"/>
  <c r="V828" i="1" s="1"/>
  <c r="Y839" i="1"/>
  <c r="Y847" i="1"/>
  <c r="T826" i="1"/>
  <c r="W842" i="1"/>
  <c r="AI844" i="1"/>
  <c r="Y832" i="1"/>
  <c r="W819" i="1"/>
  <c r="W849" i="1"/>
  <c r="W844" i="1"/>
  <c r="T840" i="1"/>
  <c r="W823" i="1"/>
  <c r="Y820" i="1"/>
  <c r="Y850" i="1"/>
  <c r="AI845" i="1"/>
  <c r="Y838" i="1"/>
  <c r="W835" i="1"/>
  <c r="Y833" i="1"/>
  <c r="W832" i="1"/>
  <c r="AI830" i="1"/>
  <c r="Y824" i="1"/>
  <c r="W838" i="1"/>
  <c r="T819" i="1"/>
  <c r="W845" i="1"/>
  <c r="Y836" i="1"/>
  <c r="W830" i="1"/>
  <c r="W822" i="1"/>
  <c r="AI848" i="1"/>
  <c r="AI843" i="1"/>
  <c r="Y848" i="1"/>
  <c r="Y843" i="1"/>
  <c r="W831" i="1"/>
  <c r="W850" i="1"/>
  <c r="S847" i="1"/>
  <c r="T847" i="1" s="1"/>
  <c r="W846" i="1"/>
  <c r="W837" i="1"/>
  <c r="S849" i="1"/>
  <c r="T849" i="1" s="1"/>
  <c r="W841" i="1"/>
  <c r="W840" i="1"/>
  <c r="S837" i="1"/>
  <c r="T837" i="1" s="1"/>
  <c r="W829" i="1"/>
  <c r="W828" i="1"/>
  <c r="W827" i="1"/>
  <c r="W826" i="1"/>
  <c r="W825" i="1"/>
  <c r="S823" i="1"/>
  <c r="T823" i="1" s="1"/>
  <c r="S822" i="1"/>
  <c r="T822" i="1" s="1"/>
  <c r="S821" i="1"/>
  <c r="T821" i="1" s="1"/>
  <c r="Y834" i="1"/>
  <c r="Y818" i="1"/>
  <c r="AI849" i="1"/>
  <c r="AI822" i="1"/>
  <c r="AI821" i="1"/>
  <c r="AI846" i="1"/>
  <c r="AI840" i="1"/>
  <c r="AI828" i="1"/>
  <c r="AI827" i="1"/>
  <c r="AI825" i="1"/>
  <c r="Y821" i="1"/>
  <c r="V318" i="1" l="1"/>
  <c r="D5" i="15"/>
  <c r="J5" i="15" s="1"/>
  <c r="K5" i="15" s="1"/>
  <c r="I34" i="15"/>
  <c r="I33" i="15"/>
  <c r="I32" i="15"/>
  <c r="D32" i="15" s="1"/>
  <c r="B32" i="15" s="1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H34" i="15"/>
  <c r="D34" i="15" s="1"/>
  <c r="B34" i="15" s="1"/>
  <c r="H33" i="15"/>
  <c r="D33" i="15" s="1"/>
  <c r="B33" i="15" s="1"/>
  <c r="H32" i="15"/>
  <c r="H31" i="15"/>
  <c r="D31" i="15" s="1"/>
  <c r="B31" i="15" s="1"/>
  <c r="H30" i="15"/>
  <c r="D30" i="15" s="1"/>
  <c r="B30" i="15" s="1"/>
  <c r="H29" i="15"/>
  <c r="D29" i="15" s="1"/>
  <c r="B29" i="15" s="1"/>
  <c r="H28" i="15"/>
  <c r="D28" i="15" s="1"/>
  <c r="B28" i="15" s="1"/>
  <c r="H27" i="15"/>
  <c r="D27" i="15" s="1"/>
  <c r="B27" i="15" s="1"/>
  <c r="H26" i="15"/>
  <c r="D26" i="15" s="1"/>
  <c r="B26" i="15" s="1"/>
  <c r="H25" i="15"/>
  <c r="D25" i="15" s="1"/>
  <c r="B25" i="15" s="1"/>
  <c r="H24" i="15"/>
  <c r="H23" i="15"/>
  <c r="D23" i="15" s="1"/>
  <c r="B23" i="15" s="1"/>
  <c r="H22" i="15"/>
  <c r="D22" i="15" s="1"/>
  <c r="B22" i="15" s="1"/>
  <c r="H21" i="15"/>
  <c r="D21" i="15" s="1"/>
  <c r="B21" i="15" s="1"/>
  <c r="H20" i="15"/>
  <c r="D20" i="15" s="1"/>
  <c r="B20" i="15" s="1"/>
  <c r="H19" i="15"/>
  <c r="D19" i="15" s="1"/>
  <c r="B19" i="15" s="1"/>
  <c r="H18" i="15"/>
  <c r="D18" i="15" s="1"/>
  <c r="B18" i="15" s="1"/>
  <c r="H17" i="15"/>
  <c r="D17" i="15" s="1"/>
  <c r="B17" i="15" s="1"/>
  <c r="H16" i="15"/>
  <c r="H15" i="15"/>
  <c r="D15" i="15" s="1"/>
  <c r="B15" i="15" s="1"/>
  <c r="H14" i="15"/>
  <c r="D14" i="15" s="1"/>
  <c r="B14" i="15" s="1"/>
  <c r="V1" i="15"/>
  <c r="T1" i="15" s="1"/>
  <c r="O1" i="15"/>
  <c r="P1" i="15" s="1"/>
  <c r="H1" i="15"/>
  <c r="D16" i="15" l="1"/>
  <c r="B16" i="15" s="1"/>
  <c r="D24" i="15"/>
  <c r="B24" i="15" s="1"/>
  <c r="Q1" i="15"/>
  <c r="R1" i="15" s="1"/>
  <c r="V640" i="1" l="1"/>
  <c r="V708" i="1"/>
  <c r="V794" i="1" l="1"/>
  <c r="R794" i="1" l="1"/>
  <c r="H794" i="1"/>
  <c r="S794" i="1" l="1"/>
  <c r="T794" i="1" s="1"/>
  <c r="V796" i="1" l="1"/>
  <c r="Z817" i="1" l="1"/>
  <c r="Y817" i="1" s="1"/>
  <c r="R817" i="1"/>
  <c r="U817" i="1" s="1"/>
  <c r="V817" i="1" s="1"/>
  <c r="H817" i="1"/>
  <c r="Z816" i="1"/>
  <c r="R816" i="1"/>
  <c r="H816" i="1"/>
  <c r="Z815" i="1"/>
  <c r="W815" i="1" s="1"/>
  <c r="R815" i="1"/>
  <c r="H815" i="1"/>
  <c r="Z814" i="1"/>
  <c r="Y814" i="1" s="1"/>
  <c r="R814" i="1"/>
  <c r="H814" i="1"/>
  <c r="Z813" i="1"/>
  <c r="Y813" i="1" s="1"/>
  <c r="R813" i="1"/>
  <c r="H813" i="1"/>
  <c r="Z812" i="1"/>
  <c r="Y812" i="1" s="1"/>
  <c r="R812" i="1"/>
  <c r="P812" i="1"/>
  <c r="H812" i="1"/>
  <c r="Z811" i="1"/>
  <c r="AI811" i="1" s="1"/>
  <c r="R811" i="1"/>
  <c r="U811" i="1" s="1"/>
  <c r="V811" i="1" s="1"/>
  <c r="H811" i="1"/>
  <c r="Z810" i="1"/>
  <c r="AI810" i="1" s="1"/>
  <c r="R810" i="1"/>
  <c r="U810" i="1" s="1"/>
  <c r="V810" i="1" s="1"/>
  <c r="P810" i="1"/>
  <c r="H810" i="1"/>
  <c r="Z809" i="1"/>
  <c r="Y809" i="1" s="1"/>
  <c r="R809" i="1"/>
  <c r="H809" i="1"/>
  <c r="Z808" i="1"/>
  <c r="Y808" i="1" s="1"/>
  <c r="R808" i="1"/>
  <c r="P808" i="1"/>
  <c r="H808" i="1"/>
  <c r="Z807" i="1"/>
  <c r="AI807" i="1" s="1"/>
  <c r="R807" i="1"/>
  <c r="U807" i="1" s="1"/>
  <c r="V807" i="1" s="1"/>
  <c r="H807" i="1"/>
  <c r="R796" i="1"/>
  <c r="H796" i="1"/>
  <c r="V795" i="1"/>
  <c r="H795" i="1"/>
  <c r="V793" i="1"/>
  <c r="H793" i="1"/>
  <c r="V792" i="1"/>
  <c r="R792" i="1"/>
  <c r="H792" i="1"/>
  <c r="V791" i="1"/>
  <c r="R791" i="1"/>
  <c r="H791" i="1"/>
  <c r="V790" i="1"/>
  <c r="R790" i="1"/>
  <c r="H790" i="1"/>
  <c r="V789" i="1"/>
  <c r="H789" i="1"/>
  <c r="V788" i="1"/>
  <c r="H788" i="1"/>
  <c r="V787" i="1"/>
  <c r="H787" i="1"/>
  <c r="V786" i="1"/>
  <c r="R786" i="1"/>
  <c r="H786" i="1"/>
  <c r="V785" i="1"/>
  <c r="H785" i="1"/>
  <c r="V784" i="1"/>
  <c r="H784" i="1"/>
  <c r="V783" i="1"/>
  <c r="R783" i="1"/>
  <c r="H783" i="1"/>
  <c r="V782" i="1"/>
  <c r="R782" i="1"/>
  <c r="V781" i="1"/>
  <c r="H781" i="1"/>
  <c r="V780" i="1"/>
  <c r="H780" i="1"/>
  <c r="V779" i="1"/>
  <c r="R779" i="1"/>
  <c r="H779" i="1"/>
  <c r="V778" i="1"/>
  <c r="R778" i="1"/>
  <c r="H778" i="1"/>
  <c r="V777" i="1"/>
  <c r="H777" i="1"/>
  <c r="V776" i="1"/>
  <c r="R776" i="1"/>
  <c r="H776" i="1"/>
  <c r="V775" i="1"/>
  <c r="R775" i="1"/>
  <c r="H775" i="1"/>
  <c r="V774" i="1"/>
  <c r="R774" i="1"/>
  <c r="H774" i="1"/>
  <c r="V773" i="1"/>
  <c r="R773" i="1"/>
  <c r="H773" i="1"/>
  <c r="V772" i="1"/>
  <c r="H772" i="1"/>
  <c r="V771" i="1"/>
  <c r="R771" i="1"/>
  <c r="H771" i="1"/>
  <c r="V770" i="1"/>
  <c r="R770" i="1"/>
  <c r="H770" i="1"/>
  <c r="V769" i="1"/>
  <c r="R769" i="1"/>
  <c r="H769" i="1"/>
  <c r="V768" i="1"/>
  <c r="R768" i="1"/>
  <c r="H768" i="1"/>
  <c r="V767" i="1"/>
  <c r="R767" i="1"/>
  <c r="H767" i="1"/>
  <c r="V766" i="1"/>
  <c r="R766" i="1"/>
  <c r="H766" i="1"/>
  <c r="V765" i="1"/>
  <c r="R765" i="1"/>
  <c r="H765" i="1"/>
  <c r="V764" i="1"/>
  <c r="H764" i="1"/>
  <c r="V763" i="1"/>
  <c r="H763" i="1"/>
  <c r="V762" i="1"/>
  <c r="R762" i="1"/>
  <c r="H762" i="1"/>
  <c r="V761" i="1"/>
  <c r="R761" i="1"/>
  <c r="H761" i="1"/>
  <c r="V760" i="1"/>
  <c r="H760" i="1"/>
  <c r="V759" i="1"/>
  <c r="R759" i="1"/>
  <c r="H759" i="1"/>
  <c r="V758" i="1"/>
  <c r="R758" i="1"/>
  <c r="H758" i="1"/>
  <c r="V757" i="1"/>
  <c r="R757" i="1"/>
  <c r="H757" i="1"/>
  <c r="V756" i="1"/>
  <c r="H756" i="1"/>
  <c r="V755" i="1"/>
  <c r="H755" i="1"/>
  <c r="V754" i="1"/>
  <c r="H754" i="1"/>
  <c r="V753" i="1"/>
  <c r="R753" i="1"/>
  <c r="H753" i="1"/>
  <c r="V752" i="1"/>
  <c r="R752" i="1"/>
  <c r="H752" i="1"/>
  <c r="V751" i="1"/>
  <c r="R751" i="1"/>
  <c r="H751" i="1"/>
  <c r="V750" i="1"/>
  <c r="R750" i="1"/>
  <c r="H750" i="1"/>
  <c r="V749" i="1"/>
  <c r="R749" i="1"/>
  <c r="H749" i="1"/>
  <c r="V748" i="1"/>
  <c r="H748" i="1"/>
  <c r="V747" i="1"/>
  <c r="R747" i="1"/>
  <c r="H747" i="1"/>
  <c r="V746" i="1"/>
  <c r="H746" i="1"/>
  <c r="V745" i="1"/>
  <c r="R745" i="1"/>
  <c r="H745" i="1"/>
  <c r="V744" i="1"/>
  <c r="H744" i="1"/>
  <c r="V743" i="1"/>
  <c r="H743" i="1"/>
  <c r="V742" i="1"/>
  <c r="R742" i="1"/>
  <c r="H742" i="1"/>
  <c r="V741" i="1"/>
  <c r="R741" i="1"/>
  <c r="H741" i="1"/>
  <c r="V740" i="1"/>
  <c r="H740" i="1"/>
  <c r="V739" i="1"/>
  <c r="R739" i="1"/>
  <c r="H739" i="1"/>
  <c r="V738" i="1"/>
  <c r="R738" i="1"/>
  <c r="H738" i="1"/>
  <c r="V737" i="1"/>
  <c r="R737" i="1"/>
  <c r="H737" i="1"/>
  <c r="V736" i="1"/>
  <c r="R736" i="1"/>
  <c r="H736" i="1"/>
  <c r="V735" i="1"/>
  <c r="H735" i="1"/>
  <c r="V734" i="1"/>
  <c r="H734" i="1"/>
  <c r="V733" i="1"/>
  <c r="R733" i="1"/>
  <c r="H733" i="1"/>
  <c r="V732" i="1"/>
  <c r="R732" i="1"/>
  <c r="H732" i="1"/>
  <c r="V731" i="1"/>
  <c r="H731" i="1"/>
  <c r="V730" i="1"/>
  <c r="R730" i="1"/>
  <c r="H730" i="1"/>
  <c r="V729" i="1"/>
  <c r="R729" i="1"/>
  <c r="H729" i="1"/>
  <c r="V728" i="1"/>
  <c r="R728" i="1"/>
  <c r="H728" i="1"/>
  <c r="V727" i="1"/>
  <c r="H727" i="1"/>
  <c r="V726" i="1"/>
  <c r="H726" i="1"/>
  <c r="V725" i="1"/>
  <c r="R725" i="1"/>
  <c r="H725" i="1"/>
  <c r="V724" i="1"/>
  <c r="R724" i="1"/>
  <c r="H724" i="1"/>
  <c r="R723" i="1"/>
  <c r="H723" i="1"/>
  <c r="V722" i="1"/>
  <c r="H722" i="1"/>
  <c r="V721" i="1"/>
  <c r="R721" i="1"/>
  <c r="H721" i="1"/>
  <c r="V720" i="1"/>
  <c r="R720" i="1"/>
  <c r="H720" i="1"/>
  <c r="V719" i="1"/>
  <c r="R719" i="1"/>
  <c r="H719" i="1"/>
  <c r="V718" i="1"/>
  <c r="H718" i="1"/>
  <c r="V717" i="1"/>
  <c r="H717" i="1"/>
  <c r="V716" i="1"/>
  <c r="R716" i="1"/>
  <c r="H716" i="1"/>
  <c r="V715" i="1"/>
  <c r="R715" i="1"/>
  <c r="H715" i="1"/>
  <c r="V714" i="1"/>
  <c r="R714" i="1"/>
  <c r="H714" i="1"/>
  <c r="V713" i="1"/>
  <c r="R713" i="1"/>
  <c r="H713" i="1"/>
  <c r="V712" i="1"/>
  <c r="R712" i="1"/>
  <c r="H712" i="1"/>
  <c r="V711" i="1"/>
  <c r="H711" i="1"/>
  <c r="V710" i="1"/>
  <c r="R710" i="1"/>
  <c r="H710" i="1"/>
  <c r="V709" i="1"/>
  <c r="R709" i="1"/>
  <c r="H709" i="1"/>
  <c r="H708" i="1"/>
  <c r="V707" i="1"/>
  <c r="R707" i="1"/>
  <c r="H707" i="1"/>
  <c r="V706" i="1"/>
  <c r="R706" i="1"/>
  <c r="H706" i="1"/>
  <c r="V705" i="1"/>
  <c r="H705" i="1"/>
  <c r="V704" i="1"/>
  <c r="R704" i="1"/>
  <c r="H704" i="1"/>
  <c r="V703" i="1"/>
  <c r="H703" i="1"/>
  <c r="V702" i="1"/>
  <c r="R702" i="1"/>
  <c r="H702" i="1"/>
  <c r="V701" i="1"/>
  <c r="R701" i="1"/>
  <c r="H701" i="1"/>
  <c r="V700" i="1"/>
  <c r="R700" i="1"/>
  <c r="H700" i="1"/>
  <c r="V699" i="1"/>
  <c r="H699" i="1"/>
  <c r="V698" i="1"/>
  <c r="R698" i="1"/>
  <c r="H698" i="1"/>
  <c r="V697" i="1"/>
  <c r="R697" i="1"/>
  <c r="H697" i="1"/>
  <c r="V696" i="1"/>
  <c r="R696" i="1"/>
  <c r="H696" i="1"/>
  <c r="V695" i="1"/>
  <c r="R695" i="1"/>
  <c r="H695" i="1"/>
  <c r="V694" i="1"/>
  <c r="R694" i="1"/>
  <c r="H694" i="1"/>
  <c r="V693" i="1"/>
  <c r="R693" i="1"/>
  <c r="H693" i="1"/>
  <c r="V692" i="1"/>
  <c r="H692" i="1"/>
  <c r="V691" i="1"/>
  <c r="R691" i="1"/>
  <c r="H691" i="1"/>
  <c r="V690" i="1"/>
  <c r="R690" i="1"/>
  <c r="H690" i="1"/>
  <c r="V689" i="1"/>
  <c r="R689" i="1"/>
  <c r="H689" i="1"/>
  <c r="V688" i="1"/>
  <c r="H688" i="1"/>
  <c r="V687" i="1"/>
  <c r="R687" i="1"/>
  <c r="H687" i="1"/>
  <c r="V686" i="1"/>
  <c r="H686" i="1"/>
  <c r="V685" i="1"/>
  <c r="R685" i="1"/>
  <c r="H685" i="1"/>
  <c r="V684" i="1"/>
  <c r="R684" i="1"/>
  <c r="H684" i="1"/>
  <c r="V683" i="1"/>
  <c r="R683" i="1"/>
  <c r="H683" i="1"/>
  <c r="V682" i="1"/>
  <c r="R682" i="1"/>
  <c r="H682" i="1"/>
  <c r="V681" i="1"/>
  <c r="R681" i="1"/>
  <c r="H681" i="1"/>
  <c r="V680" i="1"/>
  <c r="R680" i="1"/>
  <c r="H680" i="1"/>
  <c r="V679" i="1"/>
  <c r="H679" i="1"/>
  <c r="V678" i="1"/>
  <c r="R678" i="1"/>
  <c r="H678" i="1"/>
  <c r="V677" i="1"/>
  <c r="R677" i="1"/>
  <c r="H677" i="1"/>
  <c r="V676" i="1"/>
  <c r="R676" i="1"/>
  <c r="H676" i="1"/>
  <c r="V675" i="1"/>
  <c r="H675" i="1"/>
  <c r="V674" i="1"/>
  <c r="H674" i="1"/>
  <c r="V673" i="1"/>
  <c r="R673" i="1"/>
  <c r="H673" i="1"/>
  <c r="V672" i="1"/>
  <c r="R672" i="1"/>
  <c r="H672" i="1"/>
  <c r="V671" i="1"/>
  <c r="H671" i="1"/>
  <c r="V670" i="1"/>
  <c r="R670" i="1"/>
  <c r="H670" i="1"/>
  <c r="V669" i="1"/>
  <c r="R669" i="1"/>
  <c r="H669" i="1"/>
  <c r="V668" i="1"/>
  <c r="R668" i="1"/>
  <c r="H668" i="1"/>
  <c r="V667" i="1"/>
  <c r="R667" i="1"/>
  <c r="H667" i="1"/>
  <c r="V666" i="1"/>
  <c r="R666" i="1"/>
  <c r="H666" i="1"/>
  <c r="V665" i="1"/>
  <c r="R665" i="1"/>
  <c r="H665" i="1"/>
  <c r="V664" i="1"/>
  <c r="R664" i="1"/>
  <c r="H664" i="1"/>
  <c r="V663" i="1"/>
  <c r="R663" i="1"/>
  <c r="H663" i="1"/>
  <c r="V662" i="1"/>
  <c r="R662" i="1"/>
  <c r="H662" i="1"/>
  <c r="V661" i="1"/>
  <c r="R661" i="1"/>
  <c r="H661" i="1"/>
  <c r="V660" i="1"/>
  <c r="R660" i="1"/>
  <c r="H660" i="1"/>
  <c r="V659" i="1"/>
  <c r="R659" i="1"/>
  <c r="H659" i="1"/>
  <c r="V658" i="1"/>
  <c r="H658" i="1"/>
  <c r="V657" i="1"/>
  <c r="R657" i="1"/>
  <c r="H657" i="1"/>
  <c r="V656" i="1"/>
  <c r="R656" i="1"/>
  <c r="H656" i="1"/>
  <c r="V655" i="1"/>
  <c r="R655" i="1"/>
  <c r="H655" i="1"/>
  <c r="V654" i="1"/>
  <c r="H654" i="1"/>
  <c r="V653" i="1"/>
  <c r="R653" i="1"/>
  <c r="H653" i="1"/>
  <c r="V652" i="1"/>
  <c r="R652" i="1"/>
  <c r="H652" i="1"/>
  <c r="V651" i="1"/>
  <c r="R651" i="1"/>
  <c r="H651" i="1"/>
  <c r="V650" i="1"/>
  <c r="R650" i="1"/>
  <c r="H650" i="1"/>
  <c r="V649" i="1"/>
  <c r="H649" i="1"/>
  <c r="V648" i="1"/>
  <c r="R648" i="1"/>
  <c r="H648" i="1"/>
  <c r="V647" i="1"/>
  <c r="H647" i="1"/>
  <c r="R646" i="1"/>
  <c r="H646" i="1"/>
  <c r="AC645" i="1"/>
  <c r="V645" i="1"/>
  <c r="R645" i="1"/>
  <c r="H645" i="1"/>
  <c r="V644" i="1"/>
  <c r="H644" i="1"/>
  <c r="V643" i="1"/>
  <c r="R643" i="1"/>
  <c r="H643" i="1"/>
  <c r="V642" i="1"/>
  <c r="R642" i="1"/>
  <c r="H642" i="1"/>
  <c r="V641" i="1"/>
  <c r="R641" i="1"/>
  <c r="H641" i="1"/>
  <c r="H640" i="1"/>
  <c r="V639" i="1"/>
  <c r="R639" i="1"/>
  <c r="H639" i="1"/>
  <c r="V638" i="1"/>
  <c r="R638" i="1"/>
  <c r="H638" i="1"/>
  <c r="V637" i="1"/>
  <c r="R637" i="1"/>
  <c r="H637" i="1"/>
  <c r="V636" i="1"/>
  <c r="H636" i="1"/>
  <c r="V635" i="1"/>
  <c r="H635" i="1"/>
  <c r="H634" i="1"/>
  <c r="R634" i="1"/>
  <c r="V634" i="1"/>
  <c r="S816" i="1" l="1"/>
  <c r="U816" i="1"/>
  <c r="V816" i="1" s="1"/>
  <c r="S813" i="1"/>
  <c r="T813" i="1" s="1"/>
  <c r="U813" i="1"/>
  <c r="V813" i="1" s="1"/>
  <c r="S808" i="1"/>
  <c r="T808" i="1" s="1"/>
  <c r="U808" i="1"/>
  <c r="V808" i="1" s="1"/>
  <c r="S815" i="1"/>
  <c r="T815" i="1" s="1"/>
  <c r="U815" i="1"/>
  <c r="V815" i="1" s="1"/>
  <c r="S809" i="1"/>
  <c r="T809" i="1" s="1"/>
  <c r="U809" i="1"/>
  <c r="V809" i="1" s="1"/>
  <c r="S812" i="1"/>
  <c r="T812" i="1" s="1"/>
  <c r="U812" i="1"/>
  <c r="V812" i="1" s="1"/>
  <c r="S814" i="1"/>
  <c r="T814" i="1" s="1"/>
  <c r="U814" i="1"/>
  <c r="V814" i="1" s="1"/>
  <c r="R636" i="1"/>
  <c r="S636" i="1" s="1"/>
  <c r="T636" i="1" s="1"/>
  <c r="R647" i="1"/>
  <c r="S647" i="1" s="1"/>
  <c r="T647" i="1" s="1"/>
  <c r="R671" i="1"/>
  <c r="S671" i="1" s="1"/>
  <c r="T671" i="1" s="1"/>
  <c r="R679" i="1"/>
  <c r="S679" i="1" s="1"/>
  <c r="T679" i="1" s="1"/>
  <c r="R722" i="1"/>
  <c r="S722" i="1" s="1"/>
  <c r="T722" i="1" s="1"/>
  <c r="R781" i="1"/>
  <c r="S781" i="1" s="1"/>
  <c r="T781" i="1" s="1"/>
  <c r="R784" i="1"/>
  <c r="S784" i="1" s="1"/>
  <c r="T784" i="1" s="1"/>
  <c r="R658" i="1"/>
  <c r="S658" i="1" s="1"/>
  <c r="T658" i="1" s="1"/>
  <c r="R674" i="1"/>
  <c r="S674" i="1" s="1"/>
  <c r="T674" i="1" s="1"/>
  <c r="R717" i="1"/>
  <c r="S717" i="1" s="1"/>
  <c r="T717" i="1" s="1"/>
  <c r="R744" i="1"/>
  <c r="R760" i="1"/>
  <c r="S760" i="1" s="1"/>
  <c r="T760" i="1" s="1"/>
  <c r="R787" i="1"/>
  <c r="S787" i="1" s="1"/>
  <c r="T787" i="1" s="1"/>
  <c r="R731" i="1"/>
  <c r="S731" i="1" s="1"/>
  <c r="T731" i="1" s="1"/>
  <c r="R755" i="1"/>
  <c r="S755" i="1" s="1"/>
  <c r="T755" i="1" s="1"/>
  <c r="R763" i="1"/>
  <c r="S763" i="1" s="1"/>
  <c r="T763" i="1" s="1"/>
  <c r="R688" i="1"/>
  <c r="S688" i="1" s="1"/>
  <c r="T688" i="1" s="1"/>
  <c r="R726" i="1"/>
  <c r="S726" i="1" s="1"/>
  <c r="T726" i="1" s="1"/>
  <c r="R734" i="1"/>
  <c r="S734" i="1" s="1"/>
  <c r="T734" i="1" s="1"/>
  <c r="R785" i="1"/>
  <c r="R675" i="1"/>
  <c r="S675" i="1" s="1"/>
  <c r="T675" i="1" s="1"/>
  <c r="R699" i="1"/>
  <c r="S699" i="1" s="1"/>
  <c r="T699" i="1" s="1"/>
  <c r="R718" i="1"/>
  <c r="S718" i="1" s="1"/>
  <c r="R777" i="1"/>
  <c r="S777" i="1" s="1"/>
  <c r="T777" i="1" s="1"/>
  <c r="R788" i="1"/>
  <c r="S788" i="1" s="1"/>
  <c r="T788" i="1" s="1"/>
  <c r="R635" i="1"/>
  <c r="S635" i="1" s="1"/>
  <c r="T635" i="1" s="1"/>
  <c r="R654" i="1"/>
  <c r="S654" i="1" s="1"/>
  <c r="T654" i="1" s="1"/>
  <c r="R686" i="1"/>
  <c r="S686" i="1" s="1"/>
  <c r="T686" i="1" s="1"/>
  <c r="R740" i="1"/>
  <c r="S740" i="1" s="1"/>
  <c r="T740" i="1" s="1"/>
  <c r="R748" i="1"/>
  <c r="S748" i="1" s="1"/>
  <c r="T748" i="1" s="1"/>
  <c r="R756" i="1"/>
  <c r="S756" i="1" s="1"/>
  <c r="T756" i="1" s="1"/>
  <c r="R764" i="1"/>
  <c r="S764" i="1" s="1"/>
  <c r="T764" i="1" s="1"/>
  <c r="R772" i="1"/>
  <c r="S772" i="1" s="1"/>
  <c r="T772" i="1" s="1"/>
  <c r="R780" i="1"/>
  <c r="S780" i="1" s="1"/>
  <c r="R649" i="1"/>
  <c r="S649" i="1" s="1"/>
  <c r="T649" i="1" s="1"/>
  <c r="R705" i="1"/>
  <c r="S705" i="1" s="1"/>
  <c r="T705" i="1" s="1"/>
  <c r="R727" i="1"/>
  <c r="S727" i="1" s="1"/>
  <c r="T727" i="1" s="1"/>
  <c r="R735" i="1"/>
  <c r="S735" i="1" s="1"/>
  <c r="T735" i="1" s="1"/>
  <c r="R743" i="1"/>
  <c r="S743" i="1" s="1"/>
  <c r="T743" i="1" s="1"/>
  <c r="R795" i="1"/>
  <c r="S795" i="1" s="1"/>
  <c r="T795" i="1" s="1"/>
  <c r="R640" i="1"/>
  <c r="S640" i="1" s="1"/>
  <c r="T640" i="1" s="1"/>
  <c r="R644" i="1"/>
  <c r="S644" i="1" s="1"/>
  <c r="T644" i="1" s="1"/>
  <c r="R692" i="1"/>
  <c r="S692" i="1" s="1"/>
  <c r="T692" i="1" s="1"/>
  <c r="R708" i="1"/>
  <c r="S708" i="1" s="1"/>
  <c r="T708" i="1" s="1"/>
  <c r="R711" i="1"/>
  <c r="S711" i="1" s="1"/>
  <c r="T711" i="1" s="1"/>
  <c r="R746" i="1"/>
  <c r="S746" i="1" s="1"/>
  <c r="T746" i="1" s="1"/>
  <c r="R754" i="1"/>
  <c r="S754" i="1" s="1"/>
  <c r="T754" i="1" s="1"/>
  <c r="R789" i="1"/>
  <c r="S789" i="1" s="1"/>
  <c r="T789" i="1" s="1"/>
  <c r="AI812" i="1"/>
  <c r="W813" i="1"/>
  <c r="S667" i="1"/>
  <c r="T667" i="1" s="1"/>
  <c r="Y810" i="1"/>
  <c r="W812" i="1"/>
  <c r="S709" i="1"/>
  <c r="T709" i="1" s="1"/>
  <c r="S783" i="1"/>
  <c r="T783" i="1" s="1"/>
  <c r="S759" i="1"/>
  <c r="T759" i="1" s="1"/>
  <c r="S773" i="1"/>
  <c r="T773" i="1" s="1"/>
  <c r="S650" i="1"/>
  <c r="T650" i="1" s="1"/>
  <c r="S730" i="1"/>
  <c r="T730" i="1" s="1"/>
  <c r="S752" i="1"/>
  <c r="T752" i="1" s="1"/>
  <c r="S768" i="1"/>
  <c r="T768" i="1" s="1"/>
  <c r="S683" i="1"/>
  <c r="T683" i="1" s="1"/>
  <c r="W814" i="1"/>
  <c r="T816" i="1"/>
  <c r="S811" i="1"/>
  <c r="T811" i="1" s="1"/>
  <c r="S700" i="1"/>
  <c r="T700" i="1" s="1"/>
  <c r="S810" i="1"/>
  <c r="T810" i="1" s="1"/>
  <c r="S807" i="1"/>
  <c r="T807" i="1" s="1"/>
  <c r="W811" i="1"/>
  <c r="W810" i="1"/>
  <c r="Y811" i="1"/>
  <c r="S689" i="1"/>
  <c r="T689" i="1" s="1"/>
  <c r="S707" i="1"/>
  <c r="T707" i="1" s="1"/>
  <c r="S665" i="1"/>
  <c r="T665" i="1" s="1"/>
  <c r="S677" i="1"/>
  <c r="T677" i="1" s="1"/>
  <c r="S716" i="1"/>
  <c r="T716" i="1" s="1"/>
  <c r="S741" i="1"/>
  <c r="T741" i="1" s="1"/>
  <c r="S745" i="1"/>
  <c r="T745" i="1" s="1"/>
  <c r="S779" i="1"/>
  <c r="T779" i="1" s="1"/>
  <c r="S655" i="1"/>
  <c r="T655" i="1" s="1"/>
  <c r="S762" i="1"/>
  <c r="T762" i="1" s="1"/>
  <c r="S690" i="1"/>
  <c r="T690" i="1" s="1"/>
  <c r="S729" i="1"/>
  <c r="T729" i="1" s="1"/>
  <c r="S733" i="1"/>
  <c r="T733" i="1" s="1"/>
  <c r="S750" i="1"/>
  <c r="T750" i="1" s="1"/>
  <c r="S775" i="1"/>
  <c r="T775" i="1" s="1"/>
  <c r="S648" i="1"/>
  <c r="T648" i="1" s="1"/>
  <c r="S657" i="1"/>
  <c r="T657" i="1" s="1"/>
  <c r="S728" i="1"/>
  <c r="T728" i="1" s="1"/>
  <c r="S749" i="1"/>
  <c r="T749" i="1" s="1"/>
  <c r="S766" i="1"/>
  <c r="T766" i="1" s="1"/>
  <c r="S673" i="1"/>
  <c r="T673" i="1" s="1"/>
  <c r="T703" i="1"/>
  <c r="S638" i="1"/>
  <c r="T638" i="1" s="1"/>
  <c r="S758" i="1"/>
  <c r="T758" i="1" s="1"/>
  <c r="S651" i="1"/>
  <c r="T651" i="1" s="1"/>
  <c r="S680" i="1"/>
  <c r="T680" i="1" s="1"/>
  <c r="S725" i="1"/>
  <c r="T725" i="1" s="1"/>
  <c r="S742" i="1"/>
  <c r="T742" i="1" s="1"/>
  <c r="S656" i="1"/>
  <c r="T656" i="1" s="1"/>
  <c r="S706" i="1"/>
  <c r="T706" i="1" s="1"/>
  <c r="S710" i="1"/>
  <c r="T710" i="1" s="1"/>
  <c r="S765" i="1"/>
  <c r="T765" i="1" s="1"/>
  <c r="S643" i="1"/>
  <c r="T643" i="1" s="1"/>
  <c r="S664" i="1"/>
  <c r="T664" i="1" s="1"/>
  <c r="S672" i="1"/>
  <c r="T672" i="1" s="1"/>
  <c r="S676" i="1"/>
  <c r="T676" i="1" s="1"/>
  <c r="S695" i="1"/>
  <c r="T695" i="1" s="1"/>
  <c r="S715" i="1"/>
  <c r="T715" i="1" s="1"/>
  <c r="S723" i="1"/>
  <c r="T723" i="1" s="1"/>
  <c r="S660" i="1"/>
  <c r="T660" i="1" s="1"/>
  <c r="S724" i="1"/>
  <c r="S637" i="1"/>
  <c r="T637" i="1" s="1"/>
  <c r="S652" i="1"/>
  <c r="T652" i="1" s="1"/>
  <c r="S681" i="1"/>
  <c r="T681" i="1" s="1"/>
  <c r="S698" i="1"/>
  <c r="T698" i="1" s="1"/>
  <c r="S757" i="1"/>
  <c r="T757" i="1" s="1"/>
  <c r="S646" i="1"/>
  <c r="T646" i="1" s="1"/>
  <c r="S668" i="1"/>
  <c r="T668" i="1" s="1"/>
  <c r="S719" i="1"/>
  <c r="T719" i="1" s="1"/>
  <c r="S769" i="1"/>
  <c r="T769" i="1" s="1"/>
  <c r="S685" i="1"/>
  <c r="T685" i="1" s="1"/>
  <c r="S682" i="1"/>
  <c r="T682" i="1" s="1"/>
  <c r="S701" i="1"/>
  <c r="T701" i="1" s="1"/>
  <c r="S791" i="1"/>
  <c r="T791" i="1" s="1"/>
  <c r="S662" i="1"/>
  <c r="T662" i="1" s="1"/>
  <c r="S691" i="1"/>
  <c r="T691" i="1" s="1"/>
  <c r="S713" i="1"/>
  <c r="T713" i="1" s="1"/>
  <c r="S751" i="1"/>
  <c r="T751" i="1" s="1"/>
  <c r="S793" i="1"/>
  <c r="T793" i="1" s="1"/>
  <c r="S645" i="1"/>
  <c r="T645" i="1" s="1"/>
  <c r="S659" i="1"/>
  <c r="T659" i="1" s="1"/>
  <c r="S670" i="1"/>
  <c r="T670" i="1" s="1"/>
  <c r="S696" i="1"/>
  <c r="T696" i="1" s="1"/>
  <c r="S704" i="1"/>
  <c r="T704" i="1" s="1"/>
  <c r="S721" i="1"/>
  <c r="T721" i="1" s="1"/>
  <c r="S736" i="1"/>
  <c r="T736" i="1" s="1"/>
  <c r="S739" i="1"/>
  <c r="T739" i="1" s="1"/>
  <c r="S771" i="1"/>
  <c r="T771" i="1" s="1"/>
  <c r="S774" i="1"/>
  <c r="T774" i="1" s="1"/>
  <c r="S786" i="1"/>
  <c r="T786" i="1" s="1"/>
  <c r="Y807" i="1"/>
  <c r="W807" i="1"/>
  <c r="Y815" i="1"/>
  <c r="Y816" i="1"/>
  <c r="W816" i="1"/>
  <c r="S693" i="1"/>
  <c r="T693" i="1" s="1"/>
  <c r="S790" i="1"/>
  <c r="T790" i="1" s="1"/>
  <c r="S642" i="1"/>
  <c r="T642" i="1" s="1"/>
  <c r="S653" i="1"/>
  <c r="T653" i="1" s="1"/>
  <c r="S661" i="1"/>
  <c r="T661" i="1" s="1"/>
  <c r="S669" i="1"/>
  <c r="T669" i="1" s="1"/>
  <c r="S678" i="1"/>
  <c r="T678" i="1" s="1"/>
  <c r="S687" i="1"/>
  <c r="T687" i="1" s="1"/>
  <c r="S712" i="1"/>
  <c r="T712" i="1" s="1"/>
  <c r="S720" i="1"/>
  <c r="T720" i="1" s="1"/>
  <c r="S738" i="1"/>
  <c r="T738" i="1" s="1"/>
  <c r="S747" i="1"/>
  <c r="T747" i="1" s="1"/>
  <c r="S770" i="1"/>
  <c r="T770" i="1" s="1"/>
  <c r="S776" i="1"/>
  <c r="T776" i="1" s="1"/>
  <c r="S796" i="1"/>
  <c r="T796" i="1" s="1"/>
  <c r="W809" i="1"/>
  <c r="AI809" i="1"/>
  <c r="S641" i="1"/>
  <c r="T641" i="1" s="1"/>
  <c r="S737" i="1"/>
  <c r="T737" i="1" s="1"/>
  <c r="S782" i="1"/>
  <c r="T782" i="1" s="1"/>
  <c r="S694" i="1"/>
  <c r="T694" i="1" s="1"/>
  <c r="W808" i="1"/>
  <c r="AI808" i="1"/>
  <c r="S753" i="1"/>
  <c r="T753" i="1" s="1"/>
  <c r="S639" i="1"/>
  <c r="T639" i="1" s="1"/>
  <c r="S663" i="1"/>
  <c r="T663" i="1" s="1"/>
  <c r="S666" i="1"/>
  <c r="T666" i="1" s="1"/>
  <c r="S714" i="1"/>
  <c r="T714" i="1" s="1"/>
  <c r="S732" i="1"/>
  <c r="T732" i="1" s="1"/>
  <c r="S761" i="1"/>
  <c r="T761" i="1" s="1"/>
  <c r="S767" i="1"/>
  <c r="T767" i="1" s="1"/>
  <c r="S778" i="1"/>
  <c r="T778" i="1" s="1"/>
  <c r="S792" i="1"/>
  <c r="T792" i="1" s="1"/>
  <c r="S684" i="1"/>
  <c r="T684" i="1" s="1"/>
  <c r="S697" i="1"/>
  <c r="T697" i="1" s="1"/>
  <c r="S702" i="1"/>
  <c r="T702" i="1" s="1"/>
  <c r="S817" i="1"/>
  <c r="T817" i="1" s="1"/>
  <c r="W817" i="1"/>
  <c r="S634" i="1"/>
  <c r="T634" i="1" s="1"/>
  <c r="T718" i="1" l="1"/>
  <c r="S785" i="1"/>
  <c r="T785" i="1" s="1"/>
  <c r="S744" i="1"/>
  <c r="T744" i="1" s="1"/>
  <c r="T780" i="1"/>
  <c r="S71" i="1"/>
  <c r="R19" i="1" l="1"/>
  <c r="S19" i="1" s="1"/>
  <c r="T19" i="1" l="1"/>
  <c r="V370" i="1" l="1"/>
  <c r="R50" i="1"/>
  <c r="S50" i="1" s="1"/>
  <c r="H50" i="1"/>
  <c r="T50" i="1" l="1"/>
  <c r="V552" i="1" l="1"/>
  <c r="V546" i="1" l="1"/>
  <c r="V545" i="1"/>
  <c r="V549" i="1"/>
  <c r="V580" i="1"/>
  <c r="V555" i="1" l="1"/>
  <c r="V578" i="1" l="1"/>
  <c r="V309" i="1"/>
  <c r="R131" i="1"/>
  <c r="S131" i="1" s="1"/>
  <c r="H131" i="1"/>
  <c r="T131" i="1" l="1"/>
  <c r="J1048568" i="1" l="1"/>
  <c r="K1048569" i="1" s="1"/>
  <c r="V610" i="1" l="1"/>
  <c r="V633" i="1" l="1"/>
  <c r="V632" i="1"/>
  <c r="V630" i="1"/>
  <c r="V629" i="1"/>
  <c r="V628" i="1"/>
  <c r="V627" i="1"/>
  <c r="V626" i="1"/>
  <c r="V625" i="1"/>
  <c r="V624" i="1"/>
  <c r="V621" i="1"/>
  <c r="V618" i="1"/>
  <c r="V617" i="1"/>
  <c r="V615" i="1"/>
  <c r="V613" i="1"/>
  <c r="V611" i="1"/>
  <c r="V602" i="1"/>
  <c r="V600" i="1"/>
  <c r="V599" i="1"/>
  <c r="V598" i="1"/>
  <c r="V597" i="1"/>
  <c r="V596" i="1"/>
  <c r="V595" i="1"/>
  <c r="V593" i="1"/>
  <c r="V592" i="1"/>
  <c r="V591" i="1"/>
  <c r="V590" i="1"/>
  <c r="V586" i="1"/>
  <c r="V585" i="1"/>
  <c r="V584" i="1"/>
  <c r="V583" i="1"/>
  <c r="V582" i="1"/>
  <c r="V581" i="1"/>
  <c r="V579" i="1"/>
  <c r="V577" i="1"/>
  <c r="V576" i="1"/>
  <c r="V575" i="1"/>
  <c r="V574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4" i="1"/>
  <c r="V553" i="1"/>
  <c r="V551" i="1"/>
  <c r="V550" i="1"/>
  <c r="V548" i="1"/>
  <c r="V547" i="1"/>
  <c r="V544" i="1"/>
  <c r="V543" i="1"/>
  <c r="V542" i="1"/>
  <c r="V541" i="1"/>
  <c r="V540" i="1"/>
  <c r="V539" i="1"/>
  <c r="V538" i="1"/>
  <c r="V535" i="1"/>
  <c r="V531" i="1"/>
  <c r="V530" i="1"/>
  <c r="V529" i="1"/>
  <c r="V528" i="1"/>
  <c r="V527" i="1"/>
  <c r="V526" i="1"/>
  <c r="V525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7" i="1"/>
  <c r="V506" i="1"/>
  <c r="V505" i="1"/>
  <c r="V504" i="1"/>
  <c r="V503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3" i="1"/>
  <c r="V472" i="1"/>
  <c r="V471" i="1"/>
  <c r="V470" i="1"/>
  <c r="V468" i="1"/>
  <c r="V467" i="1"/>
  <c r="V466" i="1"/>
  <c r="V465" i="1"/>
  <c r="V464" i="1"/>
  <c r="V463" i="1"/>
  <c r="V462" i="1"/>
  <c r="V461" i="1"/>
  <c r="V460" i="1"/>
  <c r="V459" i="1"/>
  <c r="V457" i="1"/>
  <c r="V456" i="1"/>
  <c r="V455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8" i="1"/>
  <c r="V407" i="1"/>
  <c r="V406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0" i="1"/>
  <c r="V389" i="1"/>
  <c r="V388" i="1"/>
  <c r="V387" i="1"/>
  <c r="V386" i="1"/>
  <c r="V385" i="1"/>
  <c r="V383" i="1"/>
  <c r="V381" i="1"/>
  <c r="V380" i="1"/>
  <c r="V377" i="1"/>
  <c r="V376" i="1"/>
  <c r="V374" i="1"/>
  <c r="V373" i="1"/>
  <c r="V372" i="1"/>
  <c r="V371" i="1"/>
  <c r="V369" i="1"/>
  <c r="V368" i="1"/>
  <c r="V365" i="1"/>
  <c r="V364" i="1"/>
  <c r="V363" i="1"/>
  <c r="V362" i="1"/>
  <c r="V361" i="1"/>
  <c r="V360" i="1"/>
  <c r="V358" i="1"/>
  <c r="V357" i="1"/>
  <c r="V356" i="1"/>
  <c r="V355" i="1"/>
  <c r="V354" i="1"/>
  <c r="V353" i="1"/>
  <c r="V352" i="1"/>
  <c r="V351" i="1"/>
  <c r="V350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3" i="1"/>
  <c r="V332" i="1"/>
  <c r="V331" i="1"/>
  <c r="V330" i="1"/>
  <c r="V329" i="1"/>
  <c r="V328" i="1"/>
  <c r="V327" i="1"/>
  <c r="V326" i="1"/>
  <c r="V325" i="1"/>
  <c r="V322" i="1"/>
  <c r="V321" i="1"/>
  <c r="V320" i="1"/>
  <c r="V319" i="1"/>
  <c r="V317" i="1"/>
  <c r="V316" i="1"/>
  <c r="V315" i="1"/>
  <c r="V313" i="1"/>
  <c r="V312" i="1"/>
  <c r="V311" i="1"/>
  <c r="V310" i="1"/>
  <c r="V308" i="1"/>
  <c r="V307" i="1"/>
  <c r="V306" i="1"/>
  <c r="V305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48" i="1"/>
  <c r="V247" i="1"/>
  <c r="V246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1" i="1"/>
  <c r="R390" i="1"/>
  <c r="R389" i="1"/>
  <c r="R388" i="1"/>
  <c r="R387" i="1"/>
  <c r="R386" i="1"/>
  <c r="R385" i="1"/>
  <c r="R384" i="1"/>
  <c r="S384" i="1" s="1"/>
  <c r="R383" i="1"/>
  <c r="R382" i="1"/>
  <c r="R381" i="1"/>
  <c r="R379" i="1"/>
  <c r="R378" i="1"/>
  <c r="R377" i="1"/>
  <c r="R376" i="1"/>
  <c r="R375" i="1"/>
  <c r="R374" i="1"/>
  <c r="R373" i="1"/>
  <c r="R372" i="1"/>
  <c r="R371" i="1"/>
  <c r="R370" i="1"/>
  <c r="R369" i="1"/>
  <c r="R367" i="1"/>
  <c r="R366" i="1"/>
  <c r="R365" i="1"/>
  <c r="R364" i="1"/>
  <c r="R363" i="1"/>
  <c r="R362" i="1"/>
  <c r="R361" i="1"/>
  <c r="R359" i="1"/>
  <c r="R358" i="1"/>
  <c r="R357" i="1"/>
  <c r="R356" i="1"/>
  <c r="R355" i="1"/>
  <c r="R354" i="1"/>
  <c r="R353" i="1"/>
  <c r="R351" i="1"/>
  <c r="R350" i="1"/>
  <c r="R349" i="1"/>
  <c r="R348" i="1"/>
  <c r="R347" i="1"/>
  <c r="R346" i="1"/>
  <c r="R345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7" i="1"/>
  <c r="R326" i="1"/>
  <c r="R325" i="1"/>
  <c r="R324" i="1"/>
  <c r="R323" i="1"/>
  <c r="R322" i="1"/>
  <c r="R321" i="1"/>
  <c r="R320" i="1"/>
  <c r="R319" i="1"/>
  <c r="R318" i="1"/>
  <c r="R317" i="1"/>
  <c r="R315" i="1"/>
  <c r="R314" i="1"/>
  <c r="R311" i="1"/>
  <c r="R310" i="1"/>
  <c r="R309" i="1"/>
  <c r="R308" i="1"/>
  <c r="R307" i="1"/>
  <c r="R306" i="1"/>
  <c r="R305" i="1"/>
  <c r="R303" i="1"/>
  <c r="R302" i="1"/>
  <c r="R301" i="1"/>
  <c r="R300" i="1"/>
  <c r="R299" i="1"/>
  <c r="R298" i="1"/>
  <c r="R297" i="1"/>
  <c r="R295" i="1"/>
  <c r="R294" i="1"/>
  <c r="R293" i="1"/>
  <c r="R292" i="1"/>
  <c r="R291" i="1"/>
  <c r="R290" i="1"/>
  <c r="R289" i="1"/>
  <c r="R287" i="1"/>
  <c r="R286" i="1"/>
  <c r="R285" i="1"/>
  <c r="R283" i="1"/>
  <c r="R282" i="1"/>
  <c r="R281" i="1"/>
  <c r="R279" i="1"/>
  <c r="R278" i="1"/>
  <c r="R277" i="1"/>
  <c r="R276" i="1"/>
  <c r="R275" i="1"/>
  <c r="R274" i="1"/>
  <c r="R273" i="1"/>
  <c r="R271" i="1"/>
  <c r="R270" i="1"/>
  <c r="R269" i="1"/>
  <c r="R268" i="1"/>
  <c r="R267" i="1"/>
  <c r="R266" i="1"/>
  <c r="R265" i="1"/>
  <c r="R263" i="1"/>
  <c r="R262" i="1"/>
  <c r="R261" i="1"/>
  <c r="R259" i="1"/>
  <c r="R258" i="1"/>
  <c r="R257" i="1"/>
  <c r="R256" i="1"/>
  <c r="R255" i="1"/>
  <c r="R254" i="1"/>
  <c r="R253" i="1"/>
  <c r="R252" i="1"/>
  <c r="R251" i="1"/>
  <c r="R250" i="1"/>
  <c r="R248" i="1"/>
  <c r="R247" i="1"/>
  <c r="R246" i="1"/>
  <c r="R249" i="1"/>
  <c r="V314" i="1"/>
  <c r="V304" i="1"/>
  <c r="V251" i="1"/>
  <c r="X249" i="1"/>
  <c r="V249" i="1" s="1"/>
  <c r="V250" i="1"/>
  <c r="R87" i="1"/>
  <c r="S87" i="1" s="1"/>
  <c r="R76" i="1"/>
  <c r="S76" i="1" s="1"/>
  <c r="R24" i="1"/>
  <c r="R9" i="1"/>
  <c r="S9" i="1" s="1"/>
  <c r="R42" i="1"/>
  <c r="S42" i="1" s="1"/>
  <c r="R23" i="1"/>
  <c r="R12" i="1"/>
  <c r="S12" i="1" s="1"/>
  <c r="R8" i="1"/>
  <c r="S8" i="1" s="1"/>
  <c r="R123" i="1"/>
  <c r="S123" i="1" s="1"/>
  <c r="R59" i="1"/>
  <c r="S59" i="1" s="1"/>
  <c r="R56" i="1"/>
  <c r="S56" i="1" s="1"/>
  <c r="R55" i="1"/>
  <c r="S55" i="1" s="1"/>
  <c r="R45" i="1"/>
  <c r="S45" i="1" s="1"/>
  <c r="R39" i="1"/>
  <c r="S39" i="1" s="1"/>
  <c r="R43" i="1"/>
  <c r="S43" i="1" s="1"/>
  <c r="R158" i="1"/>
  <c r="S158" i="1" s="1"/>
  <c r="R152" i="1"/>
  <c r="S152" i="1" s="1"/>
  <c r="R190" i="1"/>
  <c r="S190" i="1" s="1"/>
  <c r="R188" i="1"/>
  <c r="S188" i="1" s="1"/>
  <c r="R236" i="1"/>
  <c r="S236" i="1" s="1"/>
  <c r="R232" i="1"/>
  <c r="R207" i="1"/>
  <c r="S207" i="1" s="1"/>
  <c r="R208" i="1"/>
  <c r="S208" i="1" s="1"/>
  <c r="R202" i="1"/>
  <c r="S202" i="1" s="1"/>
  <c r="R240" i="1"/>
  <c r="S240" i="1" s="1"/>
  <c r="R238" i="1"/>
  <c r="S238" i="1" s="1"/>
  <c r="R204" i="1"/>
  <c r="S204" i="1" s="1"/>
  <c r="R206" i="1"/>
  <c r="S206" i="1" s="1"/>
  <c r="R227" i="1"/>
  <c r="S227" i="1" s="1"/>
  <c r="R226" i="1"/>
  <c r="R225" i="1"/>
  <c r="S225" i="1" s="1"/>
  <c r="R223" i="1"/>
  <c r="S223" i="1" s="1"/>
  <c r="R209" i="1"/>
  <c r="S209" i="1" s="1"/>
  <c r="R140" i="1"/>
  <c r="R192" i="1"/>
  <c r="S192" i="1" s="1"/>
  <c r="R187" i="1"/>
  <c r="S187" i="1" s="1"/>
  <c r="R184" i="1"/>
  <c r="S184" i="1" s="1"/>
  <c r="R13" i="1"/>
  <c r="S13" i="1" s="1"/>
  <c r="R7" i="1"/>
  <c r="S7" i="1" s="1"/>
  <c r="R6" i="1"/>
  <c r="S6" i="1" s="1"/>
  <c r="R174" i="1"/>
  <c r="S174" i="1" s="1"/>
  <c r="R169" i="1"/>
  <c r="S169" i="1" s="1"/>
  <c r="R167" i="1"/>
  <c r="R121" i="1"/>
  <c r="S121" i="1" s="1"/>
  <c r="R69" i="1"/>
  <c r="R175" i="1"/>
  <c r="S175" i="1" s="1"/>
  <c r="R157" i="1"/>
  <c r="S157" i="1" s="1"/>
  <c r="R155" i="1"/>
  <c r="S155" i="1" s="1"/>
  <c r="R156" i="1"/>
  <c r="S156" i="1" s="1"/>
  <c r="R4" i="1"/>
  <c r="R137" i="1"/>
  <c r="S137" i="1" s="1"/>
  <c r="R136" i="1"/>
  <c r="R150" i="1"/>
  <c r="S150" i="1" s="1"/>
  <c r="R148" i="1"/>
  <c r="S148" i="1" s="1"/>
  <c r="R147" i="1"/>
  <c r="S147" i="1" s="1"/>
  <c r="R117" i="1"/>
  <c r="S117" i="1" s="1"/>
  <c r="R114" i="1"/>
  <c r="S114" i="1" s="1"/>
  <c r="R113" i="1"/>
  <c r="S113" i="1" s="1"/>
  <c r="R112" i="1"/>
  <c r="R109" i="1"/>
  <c r="S109" i="1" s="1"/>
  <c r="R107" i="1"/>
  <c r="S107" i="1" s="1"/>
  <c r="R105" i="1"/>
  <c r="S105" i="1" s="1"/>
  <c r="R74" i="1"/>
  <c r="R73" i="1"/>
  <c r="S73" i="1" s="1"/>
  <c r="R21" i="1"/>
  <c r="R72" i="1"/>
  <c r="S72" i="1" s="1"/>
  <c r="R70" i="1"/>
  <c r="S70" i="1" s="1"/>
  <c r="R67" i="1"/>
  <c r="R66" i="1"/>
  <c r="S66" i="1" s="1"/>
  <c r="R97" i="1"/>
  <c r="S97" i="1" s="1"/>
  <c r="R144" i="1"/>
  <c r="S144" i="1" s="1"/>
  <c r="R96" i="1"/>
  <c r="R92" i="1"/>
  <c r="S92" i="1" s="1"/>
  <c r="R91" i="1"/>
  <c r="S91" i="1" s="1"/>
  <c r="R120" i="1"/>
  <c r="S120" i="1" s="1"/>
  <c r="R79" i="1"/>
  <c r="S79" i="1" s="1"/>
  <c r="R212" i="1"/>
  <c r="S212" i="1" s="1"/>
  <c r="R211" i="1"/>
  <c r="S211" i="1" s="1"/>
  <c r="R199" i="1"/>
  <c r="R141" i="1"/>
  <c r="S141" i="1" s="1"/>
  <c r="R244" i="1"/>
  <c r="S244" i="1" s="1"/>
  <c r="R134" i="1"/>
  <c r="S134" i="1" s="1"/>
  <c r="R296" i="1" l="1"/>
  <c r="S296" i="1" s="1"/>
  <c r="T296" i="1" s="1"/>
  <c r="R312" i="1"/>
  <c r="S312" i="1" s="1"/>
  <c r="T312" i="1" s="1"/>
  <c r="R328" i="1"/>
  <c r="S328" i="1" s="1"/>
  <c r="T328" i="1" s="1"/>
  <c r="R360" i="1"/>
  <c r="S360" i="1" s="1"/>
  <c r="T360" i="1" s="1"/>
  <c r="R272" i="1"/>
  <c r="S272" i="1" s="1"/>
  <c r="T272" i="1" s="1"/>
  <c r="R264" i="1"/>
  <c r="S264" i="1" s="1"/>
  <c r="T264" i="1" s="1"/>
  <c r="R280" i="1"/>
  <c r="S280" i="1" s="1"/>
  <c r="T280" i="1" s="1"/>
  <c r="R344" i="1"/>
  <c r="S344" i="1" s="1"/>
  <c r="T344" i="1" s="1"/>
  <c r="R368" i="1"/>
  <c r="S368" i="1" s="1"/>
  <c r="R392" i="1"/>
  <c r="S392" i="1" s="1"/>
  <c r="T392" i="1" s="1"/>
  <c r="R288" i="1"/>
  <c r="S288" i="1" s="1"/>
  <c r="T288" i="1" s="1"/>
  <c r="R304" i="1"/>
  <c r="S304" i="1" s="1"/>
  <c r="T304" i="1" s="1"/>
  <c r="R352" i="1"/>
  <c r="S352" i="1" s="1"/>
  <c r="T352" i="1" s="1"/>
  <c r="R260" i="1"/>
  <c r="S260" i="1" s="1"/>
  <c r="T260" i="1" s="1"/>
  <c r="R284" i="1"/>
  <c r="S284" i="1" s="1"/>
  <c r="T284" i="1" s="1"/>
  <c r="R316" i="1"/>
  <c r="S316" i="1" s="1"/>
  <c r="T316" i="1" s="1"/>
  <c r="R380" i="1"/>
  <c r="S380" i="1" s="1"/>
  <c r="T380" i="1" s="1"/>
  <c r="R412" i="1"/>
  <c r="S412" i="1" s="1"/>
  <c r="T412" i="1" s="1"/>
  <c r="R38" i="1"/>
  <c r="S38" i="1" s="1"/>
  <c r="T38" i="1" s="1"/>
  <c r="S21" i="1"/>
  <c r="T21" i="1" s="1"/>
  <c r="S604" i="1"/>
  <c r="T604" i="1" s="1"/>
  <c r="S313" i="1"/>
  <c r="T313" i="1" s="1"/>
  <c r="S417" i="1"/>
  <c r="T417" i="1" s="1"/>
  <c r="S449" i="1"/>
  <c r="T449" i="1" s="1"/>
  <c r="S481" i="1"/>
  <c r="T481" i="1" s="1"/>
  <c r="S513" i="1"/>
  <c r="T513" i="1" s="1"/>
  <c r="S545" i="1"/>
  <c r="T545" i="1" s="1"/>
  <c r="S247" i="1"/>
  <c r="T247" i="1" s="1"/>
  <c r="S367" i="1"/>
  <c r="T367" i="1" s="1"/>
  <c r="S112" i="1"/>
  <c r="T112" i="1" s="1"/>
  <c r="S136" i="1"/>
  <c r="T136" i="1" s="1"/>
  <c r="S69" i="1"/>
  <c r="T69" i="1" s="1"/>
  <c r="S399" i="1"/>
  <c r="T399" i="1" s="1"/>
  <c r="S199" i="1"/>
  <c r="T199" i="1" s="1"/>
  <c r="S96" i="1"/>
  <c r="T96" i="1" s="1"/>
  <c r="S23" i="1"/>
  <c r="T23" i="1" s="1"/>
  <c r="S24" i="1"/>
  <c r="T24" i="1" s="1"/>
  <c r="S460" i="1"/>
  <c r="T460" i="1" s="1"/>
  <c r="S540" i="1"/>
  <c r="T540" i="1" s="1"/>
  <c r="S335" i="1"/>
  <c r="T335" i="1" s="1"/>
  <c r="S628" i="1"/>
  <c r="T628" i="1" s="1"/>
  <c r="S67" i="1"/>
  <c r="T67" i="1" s="1"/>
  <c r="S74" i="1"/>
  <c r="T74" i="1" s="1"/>
  <c r="S4" i="1"/>
  <c r="T4" i="1" s="1"/>
  <c r="S167" i="1"/>
  <c r="T167" i="1" s="1"/>
  <c r="S140" i="1"/>
  <c r="T140" i="1" s="1"/>
  <c r="S226" i="1"/>
  <c r="T226" i="1" s="1"/>
  <c r="S405" i="1"/>
  <c r="T405" i="1" s="1"/>
  <c r="S376" i="1"/>
  <c r="T376" i="1" s="1"/>
  <c r="S232" i="1"/>
  <c r="T232" i="1" s="1"/>
  <c r="S249" i="1"/>
  <c r="T249" i="1" s="1"/>
  <c r="S262" i="1"/>
  <c r="T262" i="1" s="1"/>
  <c r="S270" i="1"/>
  <c r="T270" i="1" s="1"/>
  <c r="S278" i="1"/>
  <c r="T278" i="1" s="1"/>
  <c r="S302" i="1"/>
  <c r="T302" i="1" s="1"/>
  <c r="S326" i="1"/>
  <c r="T326" i="1" s="1"/>
  <c r="S334" i="1"/>
  <c r="T334" i="1" s="1"/>
  <c r="S342" i="1"/>
  <c r="T342" i="1" s="1"/>
  <c r="S366" i="1"/>
  <c r="T366" i="1" s="1"/>
  <c r="S390" i="1"/>
  <c r="T390" i="1" s="1"/>
  <c r="S398" i="1"/>
  <c r="T398" i="1" s="1"/>
  <c r="S406" i="1"/>
  <c r="T406" i="1" s="1"/>
  <c r="S422" i="1"/>
  <c r="T422" i="1" s="1"/>
  <c r="S438" i="1"/>
  <c r="T438" i="1" s="1"/>
  <c r="S454" i="1"/>
  <c r="T454" i="1" s="1"/>
  <c r="S486" i="1"/>
  <c r="T486" i="1" s="1"/>
  <c r="S502" i="1"/>
  <c r="T502" i="1" s="1"/>
  <c r="S518" i="1"/>
  <c r="T518" i="1" s="1"/>
  <c r="S534" i="1"/>
  <c r="T534" i="1" s="1"/>
  <c r="S550" i="1"/>
  <c r="T550" i="1" s="1"/>
  <c r="S566" i="1"/>
  <c r="T566" i="1" s="1"/>
  <c r="S586" i="1"/>
  <c r="T586" i="1" s="1"/>
  <c r="S594" i="1"/>
  <c r="T594" i="1" s="1"/>
  <c r="S602" i="1"/>
  <c r="T602" i="1" s="1"/>
  <c r="S626" i="1"/>
  <c r="T626" i="1" s="1"/>
  <c r="T123" i="1"/>
  <c r="T8" i="1"/>
  <c r="T72" i="1"/>
  <c r="T114" i="1"/>
  <c r="T202" i="1"/>
  <c r="T158" i="1"/>
  <c r="T208" i="1"/>
  <c r="T150" i="1"/>
  <c r="T120" i="1"/>
  <c r="T105" i="1"/>
  <c r="T147" i="1"/>
  <c r="T109" i="1"/>
  <c r="T157" i="1"/>
  <c r="T188" i="1"/>
  <c r="T117" i="1"/>
  <c r="T42" i="1"/>
  <c r="T174" i="1"/>
  <c r="T236" i="1"/>
  <c r="T45" i="1"/>
  <c r="T144" i="1"/>
  <c r="T12" i="1"/>
  <c r="T87" i="1"/>
  <c r="T244" i="1"/>
  <c r="T212" i="1"/>
  <c r="T92" i="1"/>
  <c r="T97" i="1"/>
  <c r="T207" i="1"/>
  <c r="T43" i="1"/>
  <c r="T55" i="1"/>
  <c r="T156" i="1"/>
  <c r="T187" i="1"/>
  <c r="T190" i="1"/>
  <c r="T211" i="1"/>
  <c r="T107" i="1"/>
  <c r="T137" i="1"/>
  <c r="T6" i="1"/>
  <c r="T223" i="1"/>
  <c r="T76" i="1"/>
  <c r="T141" i="1"/>
  <c r="T79" i="1"/>
  <c r="T169" i="1"/>
  <c r="T184" i="1"/>
  <c r="T192" i="1"/>
  <c r="T227" i="1"/>
  <c r="T238" i="1"/>
  <c r="T134" i="1"/>
  <c r="T66" i="1"/>
  <c r="T7" i="1"/>
  <c r="T209" i="1"/>
  <c r="T225" i="1"/>
  <c r="T152" i="1"/>
  <c r="T59" i="1"/>
  <c r="T91" i="1"/>
  <c r="T113" i="1"/>
  <c r="T148" i="1"/>
  <c r="T121" i="1"/>
  <c r="T204" i="1"/>
  <c r="T9" i="1"/>
  <c r="T73" i="1"/>
  <c r="T206" i="1"/>
  <c r="T240" i="1"/>
  <c r="T56" i="1"/>
  <c r="T70" i="1"/>
  <c r="T155" i="1"/>
  <c r="T13" i="1"/>
  <c r="T39" i="1"/>
  <c r="R101" i="1"/>
  <c r="S101" i="1" s="1"/>
  <c r="R116" i="1"/>
  <c r="S116" i="1" s="1"/>
  <c r="R146" i="1"/>
  <c r="S146" i="1" s="1"/>
  <c r="R182" i="1"/>
  <c r="S182" i="1" s="1"/>
  <c r="R173" i="1"/>
  <c r="S173" i="1" s="1"/>
  <c r="R14" i="1"/>
  <c r="S14" i="1" s="1"/>
  <c r="R139" i="1"/>
  <c r="S139" i="1" s="1"/>
  <c r="R215" i="1"/>
  <c r="S215" i="1" s="1"/>
  <c r="R242" i="1"/>
  <c r="S242" i="1" s="1"/>
  <c r="R48" i="1"/>
  <c r="R125" i="1"/>
  <c r="S125" i="1" s="1"/>
  <c r="R34" i="1"/>
  <c r="R196" i="1"/>
  <c r="S196" i="1" s="1"/>
  <c r="R214" i="1"/>
  <c r="S214" i="1" s="1"/>
  <c r="R243" i="1"/>
  <c r="S243" i="1" s="1"/>
  <c r="R47" i="1"/>
  <c r="S47" i="1" s="1"/>
  <c r="R124" i="1"/>
  <c r="S124" i="1" s="1"/>
  <c r="R32" i="1"/>
  <c r="S32" i="1" s="1"/>
  <c r="R83" i="1"/>
  <c r="S83" i="1" s="1"/>
  <c r="R159" i="1"/>
  <c r="S159" i="1" s="1"/>
  <c r="S474" i="1"/>
  <c r="S506" i="1"/>
  <c r="S522" i="1"/>
  <c r="S538" i="1"/>
  <c r="S554" i="1"/>
  <c r="S458" i="1"/>
  <c r="R180" i="1"/>
  <c r="S180" i="1" s="1"/>
  <c r="R40" i="1"/>
  <c r="S40" i="1" s="1"/>
  <c r="R126" i="1"/>
  <c r="S126" i="1" s="1"/>
  <c r="R231" i="1"/>
  <c r="S231" i="1" s="1"/>
  <c r="R181" i="1"/>
  <c r="S181" i="1" s="1"/>
  <c r="R90" i="1"/>
  <c r="S90" i="1" s="1"/>
  <c r="R143" i="1"/>
  <c r="S143" i="1" s="1"/>
  <c r="R65" i="1"/>
  <c r="S65" i="1" s="1"/>
  <c r="R104" i="1"/>
  <c r="S104" i="1" s="1"/>
  <c r="R111" i="1"/>
  <c r="S111" i="1" s="1"/>
  <c r="R133" i="1"/>
  <c r="S133" i="1" s="1"/>
  <c r="R135" i="1"/>
  <c r="S135" i="1" s="1"/>
  <c r="R153" i="1"/>
  <c r="S153" i="1" s="1"/>
  <c r="R171" i="1"/>
  <c r="S171" i="1" s="1"/>
  <c r="R176" i="1"/>
  <c r="S176" i="1" s="1"/>
  <c r="R30" i="1"/>
  <c r="S30" i="1" s="1"/>
  <c r="R186" i="1"/>
  <c r="S186" i="1" s="1"/>
  <c r="R222" i="1"/>
  <c r="S222" i="1" s="1"/>
  <c r="R58" i="1"/>
  <c r="S58" i="1" s="1"/>
  <c r="R33" i="1"/>
  <c r="S33" i="1" s="1"/>
  <c r="R198" i="1"/>
  <c r="S198" i="1" s="1"/>
  <c r="R229" i="1"/>
  <c r="S229" i="1" s="1"/>
  <c r="R80" i="1"/>
  <c r="S80" i="1" s="1"/>
  <c r="R86" i="1"/>
  <c r="S86" i="1" s="1"/>
  <c r="R22" i="1"/>
  <c r="S22" i="1" s="1"/>
  <c r="R98" i="1"/>
  <c r="S98" i="1" s="1"/>
  <c r="R17" i="1"/>
  <c r="S17" i="1" s="1"/>
  <c r="R108" i="1"/>
  <c r="S108" i="1" s="1"/>
  <c r="R163" i="1"/>
  <c r="S163" i="1" s="1"/>
  <c r="R166" i="1"/>
  <c r="S166" i="1" s="1"/>
  <c r="R172" i="1"/>
  <c r="S172" i="1" s="1"/>
  <c r="R11" i="1"/>
  <c r="S11" i="1" s="1"/>
  <c r="R195" i="1"/>
  <c r="S195" i="1" s="1"/>
  <c r="R213" i="1"/>
  <c r="S213" i="1" s="1"/>
  <c r="R219" i="1"/>
  <c r="S219" i="1" s="1"/>
  <c r="R233" i="1"/>
  <c r="S233" i="1" s="1"/>
  <c r="R62" i="1"/>
  <c r="S62" i="1" s="1"/>
  <c r="R16" i="1"/>
  <c r="S16" i="1" s="1"/>
  <c r="R129" i="1"/>
  <c r="S129" i="1" s="1"/>
  <c r="R237" i="1"/>
  <c r="S237" i="1" s="1"/>
  <c r="R82" i="1"/>
  <c r="S82" i="1" s="1"/>
  <c r="R145" i="1"/>
  <c r="S145" i="1" s="1"/>
  <c r="S463" i="1"/>
  <c r="S479" i="1"/>
  <c r="S495" i="1"/>
  <c r="S511" i="1"/>
  <c r="S527" i="1"/>
  <c r="S543" i="1"/>
  <c r="S559" i="1"/>
  <c r="R88" i="1"/>
  <c r="S88" i="1" s="1"/>
  <c r="R103" i="1"/>
  <c r="S103" i="1" s="1"/>
  <c r="R149" i="1"/>
  <c r="S149" i="1" s="1"/>
  <c r="R28" i="1"/>
  <c r="S28" i="1" s="1"/>
  <c r="R185" i="1"/>
  <c r="S185" i="1" s="1"/>
  <c r="R220" i="1"/>
  <c r="S220" i="1" s="1"/>
  <c r="R205" i="1"/>
  <c r="S205" i="1" s="1"/>
  <c r="R31" i="1"/>
  <c r="S31" i="1" s="1"/>
  <c r="R122" i="1"/>
  <c r="S122" i="1" s="1"/>
  <c r="R228" i="1"/>
  <c r="S228" i="1" s="1"/>
  <c r="S256" i="1"/>
  <c r="S320" i="1"/>
  <c r="S408" i="1"/>
  <c r="S416" i="1"/>
  <c r="S424" i="1"/>
  <c r="S432" i="1"/>
  <c r="S440" i="1"/>
  <c r="S448" i="1"/>
  <c r="S336" i="1"/>
  <c r="S400" i="1"/>
  <c r="S490" i="1"/>
  <c r="R110" i="1"/>
  <c r="S110" i="1" s="1"/>
  <c r="R177" i="1"/>
  <c r="S177" i="1" s="1"/>
  <c r="R216" i="1"/>
  <c r="S216" i="1" s="1"/>
  <c r="R203" i="1"/>
  <c r="S203" i="1" s="1"/>
  <c r="R36" i="1"/>
  <c r="S36" i="1" s="1"/>
  <c r="R178" i="1"/>
  <c r="S178" i="1" s="1"/>
  <c r="R26" i="1"/>
  <c r="S26" i="1" s="1"/>
  <c r="R189" i="1"/>
  <c r="S189" i="1" s="1"/>
  <c r="R200" i="1"/>
  <c r="S200" i="1" s="1"/>
  <c r="R15" i="1"/>
  <c r="S15" i="1" s="1"/>
  <c r="R127" i="1"/>
  <c r="S127" i="1" s="1"/>
  <c r="R168" i="1"/>
  <c r="S168" i="1" s="1"/>
  <c r="R235" i="1"/>
  <c r="S235" i="1" s="1"/>
  <c r="R191" i="1"/>
  <c r="S191" i="1" s="1"/>
  <c r="R218" i="1"/>
  <c r="S218" i="1" s="1"/>
  <c r="R241" i="1"/>
  <c r="S241" i="1" s="1"/>
  <c r="R35" i="1"/>
  <c r="S35" i="1" s="1"/>
  <c r="R128" i="1"/>
  <c r="S128" i="1" s="1"/>
  <c r="R77" i="1"/>
  <c r="S77" i="1" s="1"/>
  <c r="R89" i="1"/>
  <c r="S89" i="1" s="1"/>
  <c r="S252" i="1"/>
  <c r="S276" i="1"/>
  <c r="S292" i="1"/>
  <c r="S300" i="1"/>
  <c r="S308" i="1"/>
  <c r="S324" i="1"/>
  <c r="S332" i="1"/>
  <c r="S340" i="1"/>
  <c r="S348" i="1"/>
  <c r="S364" i="1"/>
  <c r="S372" i="1"/>
  <c r="S388" i="1"/>
  <c r="S396" i="1"/>
  <c r="S404" i="1"/>
  <c r="S420" i="1"/>
  <c r="S428" i="1"/>
  <c r="S444" i="1"/>
  <c r="S356" i="1"/>
  <c r="R95" i="1"/>
  <c r="S95" i="1" s="1"/>
  <c r="R54" i="1"/>
  <c r="S54" i="1" s="1"/>
  <c r="R25" i="1"/>
  <c r="S25" i="1" s="1"/>
  <c r="R197" i="1"/>
  <c r="S197" i="1" s="1"/>
  <c r="R224" i="1"/>
  <c r="S224" i="1" s="1"/>
  <c r="R132" i="1"/>
  <c r="S132" i="1" s="1"/>
  <c r="R63" i="1"/>
  <c r="S63" i="1" s="1"/>
  <c r="R85" i="1"/>
  <c r="S85" i="1" s="1"/>
  <c r="R162" i="1"/>
  <c r="S162" i="1" s="1"/>
  <c r="R93" i="1"/>
  <c r="S93" i="1" s="1"/>
  <c r="R68" i="1"/>
  <c r="S68" i="1" s="1"/>
  <c r="R119" i="1"/>
  <c r="S119" i="1" s="1"/>
  <c r="R20" i="1"/>
  <c r="S20" i="1" s="1"/>
  <c r="R106" i="1"/>
  <c r="S106" i="1" s="1"/>
  <c r="R115" i="1"/>
  <c r="S115" i="1" s="1"/>
  <c r="R151" i="1"/>
  <c r="S151" i="1" s="1"/>
  <c r="R138" i="1"/>
  <c r="S138" i="1" s="1"/>
  <c r="R221" i="1"/>
  <c r="S221" i="1" s="1"/>
  <c r="R27" i="1"/>
  <c r="S27" i="1" s="1"/>
  <c r="R78" i="1"/>
  <c r="S78" i="1" s="1"/>
  <c r="R94" i="1"/>
  <c r="S94" i="1" s="1"/>
  <c r="S436" i="1"/>
  <c r="R64" i="1"/>
  <c r="S64" i="1" s="1"/>
  <c r="R179" i="1"/>
  <c r="S179" i="1" s="1"/>
  <c r="R52" i="1"/>
  <c r="S52" i="1" s="1"/>
  <c r="R142" i="1"/>
  <c r="S142" i="1" s="1"/>
  <c r="R84" i="1"/>
  <c r="S84" i="1" s="1"/>
  <c r="R18" i="1"/>
  <c r="S18" i="1" s="1"/>
  <c r="R102" i="1"/>
  <c r="S102" i="1" s="1"/>
  <c r="R100" i="1"/>
  <c r="S100" i="1" s="1"/>
  <c r="R75" i="1"/>
  <c r="S75" i="1" s="1"/>
  <c r="R118" i="1"/>
  <c r="S118" i="1" s="1"/>
  <c r="R194" i="1"/>
  <c r="S194" i="1" s="1"/>
  <c r="R5" i="1"/>
  <c r="S5" i="1" s="1"/>
  <c r="R165" i="1"/>
  <c r="S165" i="1" s="1"/>
  <c r="R170" i="1"/>
  <c r="S170" i="1" s="1"/>
  <c r="R10" i="1"/>
  <c r="S10" i="1" s="1"/>
  <c r="R183" i="1"/>
  <c r="S183" i="1" s="1"/>
  <c r="R193" i="1"/>
  <c r="S193" i="1" s="1"/>
  <c r="R210" i="1"/>
  <c r="S210" i="1" s="1"/>
  <c r="R217" i="1"/>
  <c r="S217" i="1" s="1"/>
  <c r="R201" i="1"/>
  <c r="S201" i="1" s="1"/>
  <c r="R230" i="1"/>
  <c r="S230" i="1" s="1"/>
  <c r="R164" i="1"/>
  <c r="S164" i="1" s="1"/>
  <c r="R154" i="1"/>
  <c r="S154" i="1" s="1"/>
  <c r="R41" i="1"/>
  <c r="S41" i="1" s="1"/>
  <c r="R130" i="1"/>
  <c r="S130" i="1" s="1"/>
  <c r="R29" i="1"/>
  <c r="S29" i="1" s="1"/>
  <c r="R234" i="1"/>
  <c r="S234" i="1" s="1"/>
  <c r="R81" i="1"/>
  <c r="S81" i="1" s="1"/>
  <c r="R99" i="1"/>
  <c r="S99" i="1" s="1"/>
  <c r="S268" i="1"/>
  <c r="S34" i="1" l="1"/>
  <c r="V34" i="1"/>
  <c r="U34" i="1"/>
  <c r="T368" i="1"/>
  <c r="S608" i="1"/>
  <c r="T608" i="1" s="1"/>
  <c r="S246" i="1"/>
  <c r="T246" i="1" s="1"/>
  <c r="S425" i="1"/>
  <c r="T425" i="1" s="1"/>
  <c r="S426" i="1"/>
  <c r="T426" i="1" s="1"/>
  <c r="S609" i="1"/>
  <c r="T609" i="1" s="1"/>
  <c r="S501" i="1"/>
  <c r="T501" i="1" s="1"/>
  <c r="S298" i="1"/>
  <c r="T298" i="1" s="1"/>
  <c r="S576" i="1"/>
  <c r="T576" i="1" s="1"/>
  <c r="S475" i="1"/>
  <c r="T475" i="1" s="1"/>
  <c r="S347" i="1"/>
  <c r="T347" i="1" s="1"/>
  <c r="S362" i="1"/>
  <c r="T362" i="1" s="1"/>
  <c r="S480" i="1"/>
  <c r="T480" i="1" s="1"/>
  <c r="S587" i="1"/>
  <c r="T587" i="1" s="1"/>
  <c r="S303" i="1"/>
  <c r="T303" i="1" s="1"/>
  <c r="S358" i="1"/>
  <c r="T358" i="1" s="1"/>
  <c r="S577" i="1"/>
  <c r="T577" i="1" s="1"/>
  <c r="S493" i="1"/>
  <c r="T493" i="1" s="1"/>
  <c r="S397" i="1"/>
  <c r="T397" i="1" s="1"/>
  <c r="S630" i="1"/>
  <c r="T630" i="1" s="1"/>
  <c r="S266" i="1"/>
  <c r="T266" i="1" s="1"/>
  <c r="S564" i="1"/>
  <c r="T564" i="1" s="1"/>
  <c r="S476" i="1"/>
  <c r="T476" i="1" s="1"/>
  <c r="S531" i="1"/>
  <c r="T531" i="1" s="1"/>
  <c r="S467" i="1"/>
  <c r="T467" i="1" s="1"/>
  <c r="S403" i="1"/>
  <c r="T403" i="1" s="1"/>
  <c r="S339" i="1"/>
  <c r="T339" i="1" s="1"/>
  <c r="S275" i="1"/>
  <c r="T275" i="1" s="1"/>
  <c r="S322" i="1"/>
  <c r="T322" i="1" s="1"/>
  <c r="S612" i="1"/>
  <c r="T612" i="1" s="1"/>
  <c r="S536" i="1"/>
  <c r="T536" i="1" s="1"/>
  <c r="S472" i="1"/>
  <c r="T472" i="1" s="1"/>
  <c r="S579" i="1"/>
  <c r="T579" i="1" s="1"/>
  <c r="S447" i="1"/>
  <c r="T447" i="1" s="1"/>
  <c r="S375" i="1"/>
  <c r="T375" i="1" s="1"/>
  <c r="S295" i="1"/>
  <c r="T295" i="1" s="1"/>
  <c r="S569" i="1"/>
  <c r="T569" i="1" s="1"/>
  <c r="S489" i="1"/>
  <c r="T489" i="1" s="1"/>
  <c r="S401" i="1"/>
  <c r="T401" i="1" s="1"/>
  <c r="S337" i="1"/>
  <c r="T337" i="1" s="1"/>
  <c r="S265" i="1"/>
  <c r="T265" i="1" s="1"/>
  <c r="S373" i="1"/>
  <c r="T373" i="1" s="1"/>
  <c r="S601" i="1"/>
  <c r="T601" i="1" s="1"/>
  <c r="S325" i="1"/>
  <c r="T325" i="1" s="1"/>
  <c r="S546" i="1"/>
  <c r="T546" i="1" s="1"/>
  <c r="S562" i="1"/>
  <c r="T562" i="1" s="1"/>
  <c r="S354" i="1"/>
  <c r="T354" i="1" s="1"/>
  <c r="S378" i="1"/>
  <c r="T378" i="1" s="1"/>
  <c r="S526" i="1"/>
  <c r="T526" i="1" s="1"/>
  <c r="S281" i="1"/>
  <c r="T281" i="1" s="1"/>
  <c r="S510" i="1"/>
  <c r="T510" i="1" s="1"/>
  <c r="S413" i="1"/>
  <c r="T413" i="1" s="1"/>
  <c r="S484" i="1"/>
  <c r="T484" i="1" s="1"/>
  <c r="S539" i="1"/>
  <c r="T539" i="1" s="1"/>
  <c r="S283" i="1"/>
  <c r="T283" i="1" s="1"/>
  <c r="S620" i="1"/>
  <c r="T620" i="1" s="1"/>
  <c r="S519" i="1"/>
  <c r="T519" i="1" s="1"/>
  <c r="S409" i="1"/>
  <c r="T409" i="1" s="1"/>
  <c r="S582" i="1"/>
  <c r="T582" i="1" s="1"/>
  <c r="S581" i="1"/>
  <c r="T581" i="1" s="1"/>
  <c r="S599" i="1"/>
  <c r="T599" i="1" s="1"/>
  <c r="S591" i="1"/>
  <c r="T591" i="1" s="1"/>
  <c r="S618" i="1"/>
  <c r="T618" i="1" s="1"/>
  <c r="S478" i="1"/>
  <c r="T478" i="1" s="1"/>
  <c r="S350" i="1"/>
  <c r="T350" i="1" s="1"/>
  <c r="S389" i="1"/>
  <c r="T389" i="1" s="1"/>
  <c r="S565" i="1"/>
  <c r="T565" i="1" s="1"/>
  <c r="S477" i="1"/>
  <c r="T477" i="1" s="1"/>
  <c r="S333" i="1"/>
  <c r="T333" i="1" s="1"/>
  <c r="S614" i="1"/>
  <c r="T614" i="1" s="1"/>
  <c r="S556" i="1"/>
  <c r="T556" i="1" s="1"/>
  <c r="S468" i="1"/>
  <c r="T468" i="1" s="1"/>
  <c r="S381" i="1"/>
  <c r="T381" i="1" s="1"/>
  <c r="S523" i="1"/>
  <c r="T523" i="1" s="1"/>
  <c r="S459" i="1"/>
  <c r="T459" i="1" s="1"/>
  <c r="S395" i="1"/>
  <c r="T395" i="1" s="1"/>
  <c r="S331" i="1"/>
  <c r="T331" i="1" s="1"/>
  <c r="S267" i="1"/>
  <c r="T267" i="1" s="1"/>
  <c r="S306" i="1"/>
  <c r="T306" i="1" s="1"/>
  <c r="S596" i="1"/>
  <c r="T596" i="1" s="1"/>
  <c r="S528" i="1"/>
  <c r="T528" i="1" s="1"/>
  <c r="S464" i="1"/>
  <c r="T464" i="1" s="1"/>
  <c r="S567" i="1"/>
  <c r="T567" i="1" s="1"/>
  <c r="S503" i="1"/>
  <c r="T503" i="1" s="1"/>
  <c r="S439" i="1"/>
  <c r="T439" i="1" s="1"/>
  <c r="S359" i="1"/>
  <c r="T359" i="1" s="1"/>
  <c r="S287" i="1"/>
  <c r="T287" i="1" s="1"/>
  <c r="S561" i="1"/>
  <c r="T561" i="1" s="1"/>
  <c r="S473" i="1"/>
  <c r="T473" i="1" s="1"/>
  <c r="S393" i="1"/>
  <c r="T393" i="1" s="1"/>
  <c r="S329" i="1"/>
  <c r="T329" i="1" s="1"/>
  <c r="S257" i="1"/>
  <c r="T257" i="1" s="1"/>
  <c r="S365" i="1"/>
  <c r="T365" i="1" s="1"/>
  <c r="S549" i="1"/>
  <c r="T549" i="1" s="1"/>
  <c r="S301" i="1"/>
  <c r="T301" i="1" s="1"/>
  <c r="S514" i="1"/>
  <c r="T514" i="1" s="1"/>
  <c r="S274" i="1"/>
  <c r="T274" i="1" s="1"/>
  <c r="S338" i="1"/>
  <c r="T338" i="1" s="1"/>
  <c r="S330" i="1"/>
  <c r="T330" i="1" s="1"/>
  <c r="S492" i="1"/>
  <c r="T492" i="1" s="1"/>
  <c r="S419" i="1"/>
  <c r="T419" i="1" s="1"/>
  <c r="S597" i="1"/>
  <c r="T597" i="1" s="1"/>
  <c r="S290" i="1"/>
  <c r="T290" i="1" s="1"/>
  <c r="S621" i="1"/>
  <c r="T621" i="1" s="1"/>
  <c r="S585" i="1"/>
  <c r="T585" i="1" s="1"/>
  <c r="S589" i="1"/>
  <c r="T589" i="1" s="1"/>
  <c r="S273" i="1"/>
  <c r="T273" i="1" s="1"/>
  <c r="S410" i="1"/>
  <c r="T410" i="1" s="1"/>
  <c r="S494" i="1"/>
  <c r="T494" i="1" s="1"/>
  <c r="S610" i="1"/>
  <c r="T610" i="1" s="1"/>
  <c r="S462" i="1"/>
  <c r="T462" i="1" s="1"/>
  <c r="S318" i="1"/>
  <c r="T318" i="1" s="1"/>
  <c r="S357" i="1"/>
  <c r="T357" i="1" s="1"/>
  <c r="S557" i="1"/>
  <c r="T557" i="1" s="1"/>
  <c r="S469" i="1"/>
  <c r="T469" i="1" s="1"/>
  <c r="S269" i="1"/>
  <c r="T269" i="1" s="1"/>
  <c r="S598" i="1"/>
  <c r="T598" i="1" s="1"/>
  <c r="S548" i="1"/>
  <c r="T548" i="1" s="1"/>
  <c r="S452" i="1"/>
  <c r="T452" i="1" s="1"/>
  <c r="S583" i="1"/>
  <c r="T583" i="1" s="1"/>
  <c r="S515" i="1"/>
  <c r="T515" i="1" s="1"/>
  <c r="S451" i="1"/>
  <c r="T451" i="1" s="1"/>
  <c r="S387" i="1"/>
  <c r="T387" i="1" s="1"/>
  <c r="S323" i="1"/>
  <c r="T323" i="1" s="1"/>
  <c r="S259" i="1"/>
  <c r="T259" i="1" s="1"/>
  <c r="S258" i="1"/>
  <c r="T258" i="1" s="1"/>
  <c r="S588" i="1"/>
  <c r="T588" i="1" s="1"/>
  <c r="S520" i="1"/>
  <c r="T520" i="1" s="1"/>
  <c r="S456" i="1"/>
  <c r="T456" i="1" s="1"/>
  <c r="S627" i="1"/>
  <c r="T627" i="1" s="1"/>
  <c r="S431" i="1"/>
  <c r="T431" i="1" s="1"/>
  <c r="S351" i="1"/>
  <c r="T351" i="1" s="1"/>
  <c r="S279" i="1"/>
  <c r="T279" i="1" s="1"/>
  <c r="S553" i="1"/>
  <c r="T553" i="1" s="1"/>
  <c r="S465" i="1"/>
  <c r="T465" i="1" s="1"/>
  <c r="S385" i="1"/>
  <c r="T385" i="1" s="1"/>
  <c r="S321" i="1"/>
  <c r="T321" i="1" s="1"/>
  <c r="S248" i="1"/>
  <c r="T248" i="1" s="1"/>
  <c r="S317" i="1"/>
  <c r="T317" i="1" s="1"/>
  <c r="S533" i="1"/>
  <c r="T533" i="1" s="1"/>
  <c r="S285" i="1"/>
  <c r="T285" i="1" s="1"/>
  <c r="S250" i="1"/>
  <c r="T250" i="1" s="1"/>
  <c r="S314" i="1"/>
  <c r="T314" i="1" s="1"/>
  <c r="S421" i="1"/>
  <c r="T421" i="1" s="1"/>
  <c r="S470" i="1"/>
  <c r="T470" i="1" s="1"/>
  <c r="S483" i="1"/>
  <c r="T483" i="1" s="1"/>
  <c r="S291" i="1"/>
  <c r="T291" i="1" s="1"/>
  <c r="S488" i="1"/>
  <c r="T488" i="1" s="1"/>
  <c r="S595" i="1"/>
  <c r="T595" i="1" s="1"/>
  <c r="S311" i="1"/>
  <c r="T311" i="1" s="1"/>
  <c r="S353" i="1"/>
  <c r="T353" i="1" s="1"/>
  <c r="S466" i="1"/>
  <c r="T466" i="1" s="1"/>
  <c r="S607" i="1"/>
  <c r="T607" i="1" s="1"/>
  <c r="S374" i="1"/>
  <c r="T374" i="1" s="1"/>
  <c r="S544" i="1"/>
  <c r="T544" i="1" s="1"/>
  <c r="S383" i="1"/>
  <c r="T383" i="1" s="1"/>
  <c r="S497" i="1"/>
  <c r="T497" i="1" s="1"/>
  <c r="S341" i="1"/>
  <c r="T341" i="1" s="1"/>
  <c r="S402" i="1"/>
  <c r="T402" i="1" s="1"/>
  <c r="S446" i="1"/>
  <c r="T446" i="1" s="1"/>
  <c r="S293" i="1"/>
  <c r="T293" i="1" s="1"/>
  <c r="S633" i="1"/>
  <c r="T633" i="1" s="1"/>
  <c r="S541" i="1"/>
  <c r="T541" i="1" s="1"/>
  <c r="S453" i="1"/>
  <c r="T453" i="1" s="1"/>
  <c r="S261" i="1"/>
  <c r="T261" i="1" s="1"/>
  <c r="S394" i="1"/>
  <c r="T394" i="1" s="1"/>
  <c r="S524" i="1"/>
  <c r="T524" i="1" s="1"/>
  <c r="S575" i="1"/>
  <c r="T575" i="1" s="1"/>
  <c r="S507" i="1"/>
  <c r="T507" i="1" s="1"/>
  <c r="S443" i="1"/>
  <c r="T443" i="1" s="1"/>
  <c r="S379" i="1"/>
  <c r="T379" i="1" s="1"/>
  <c r="S315" i="1"/>
  <c r="T315" i="1" s="1"/>
  <c r="S251" i="1"/>
  <c r="T251" i="1" s="1"/>
  <c r="S580" i="1"/>
  <c r="T580" i="1" s="1"/>
  <c r="S512" i="1"/>
  <c r="T512" i="1" s="1"/>
  <c r="S619" i="1"/>
  <c r="T619" i="1" s="1"/>
  <c r="S551" i="1"/>
  <c r="T551" i="1" s="1"/>
  <c r="S487" i="1"/>
  <c r="T487" i="1" s="1"/>
  <c r="S423" i="1"/>
  <c r="T423" i="1" s="1"/>
  <c r="S343" i="1"/>
  <c r="T343" i="1" s="1"/>
  <c r="S271" i="1"/>
  <c r="T271" i="1" s="1"/>
  <c r="S629" i="1"/>
  <c r="T629" i="1" s="1"/>
  <c r="S537" i="1"/>
  <c r="T537" i="1" s="1"/>
  <c r="S457" i="1"/>
  <c r="T457" i="1" s="1"/>
  <c r="S377" i="1"/>
  <c r="T377" i="1" s="1"/>
  <c r="S305" i="1"/>
  <c r="T305" i="1" s="1"/>
  <c r="S309" i="1"/>
  <c r="T309" i="1" s="1"/>
  <c r="S485" i="1"/>
  <c r="T485" i="1" s="1"/>
  <c r="S253" i="1"/>
  <c r="T253" i="1" s="1"/>
  <c r="S434" i="1"/>
  <c r="T434" i="1" s="1"/>
  <c r="S632" i="1"/>
  <c r="T632" i="1" s="1"/>
  <c r="S530" i="1"/>
  <c r="T530" i="1" s="1"/>
  <c r="S282" i="1"/>
  <c r="T282" i="1" s="1"/>
  <c r="S382" i="1"/>
  <c r="T382" i="1" s="1"/>
  <c r="S509" i="1"/>
  <c r="T509" i="1" s="1"/>
  <c r="S355" i="1"/>
  <c r="T355" i="1" s="1"/>
  <c r="S349" i="1"/>
  <c r="T349" i="1" s="1"/>
  <c r="S345" i="1"/>
  <c r="T345" i="1" s="1"/>
  <c r="S442" i="1"/>
  <c r="T442" i="1" s="1"/>
  <c r="S578" i="1"/>
  <c r="T578" i="1" s="1"/>
  <c r="S310" i="1"/>
  <c r="T310" i="1" s="1"/>
  <c r="S631" i="1"/>
  <c r="T631" i="1" s="1"/>
  <c r="S532" i="1"/>
  <c r="T532" i="1" s="1"/>
  <c r="S558" i="1"/>
  <c r="T558" i="1" s="1"/>
  <c r="S430" i="1"/>
  <c r="T430" i="1" s="1"/>
  <c r="S294" i="1"/>
  <c r="T294" i="1" s="1"/>
  <c r="S625" i="1"/>
  <c r="T625" i="1" s="1"/>
  <c r="S525" i="1"/>
  <c r="T525" i="1" s="1"/>
  <c r="S437" i="1"/>
  <c r="T437" i="1" s="1"/>
  <c r="S386" i="1"/>
  <c r="T386" i="1" s="1"/>
  <c r="S624" i="1"/>
  <c r="T624" i="1" s="1"/>
  <c r="S516" i="1"/>
  <c r="T516" i="1" s="1"/>
  <c r="S563" i="1"/>
  <c r="T563" i="1" s="1"/>
  <c r="S499" i="1"/>
  <c r="T499" i="1" s="1"/>
  <c r="S435" i="1"/>
  <c r="T435" i="1" s="1"/>
  <c r="S371" i="1"/>
  <c r="T371" i="1" s="1"/>
  <c r="S307" i="1"/>
  <c r="T307" i="1" s="1"/>
  <c r="S622" i="1"/>
  <c r="T622" i="1" s="1"/>
  <c r="S568" i="1"/>
  <c r="T568" i="1" s="1"/>
  <c r="S504" i="1"/>
  <c r="T504" i="1" s="1"/>
  <c r="S611" i="1"/>
  <c r="T611" i="1" s="1"/>
  <c r="S415" i="1"/>
  <c r="T415" i="1" s="1"/>
  <c r="S327" i="1"/>
  <c r="T327" i="1" s="1"/>
  <c r="S263" i="1"/>
  <c r="T263" i="1" s="1"/>
  <c r="S613" i="1"/>
  <c r="T613" i="1" s="1"/>
  <c r="S529" i="1"/>
  <c r="T529" i="1" s="1"/>
  <c r="S441" i="1"/>
  <c r="T441" i="1" s="1"/>
  <c r="S369" i="1"/>
  <c r="T369" i="1" s="1"/>
  <c r="S297" i="1"/>
  <c r="T297" i="1" s="1"/>
  <c r="S277" i="1"/>
  <c r="T277" i="1" s="1"/>
  <c r="S461" i="1"/>
  <c r="T461" i="1" s="1"/>
  <c r="S418" i="1"/>
  <c r="T418" i="1" s="1"/>
  <c r="S600" i="1"/>
  <c r="T600" i="1" s="1"/>
  <c r="S498" i="1"/>
  <c r="T498" i="1" s="1"/>
  <c r="S615" i="1"/>
  <c r="T615" i="1" s="1"/>
  <c r="S254" i="1"/>
  <c r="T254" i="1" s="1"/>
  <c r="S593" i="1"/>
  <c r="T593" i="1" s="1"/>
  <c r="S547" i="1"/>
  <c r="T547" i="1" s="1"/>
  <c r="S590" i="1"/>
  <c r="T590" i="1" s="1"/>
  <c r="S552" i="1"/>
  <c r="T552" i="1" s="1"/>
  <c r="S391" i="1"/>
  <c r="T391" i="1" s="1"/>
  <c r="S505" i="1"/>
  <c r="T505" i="1" s="1"/>
  <c r="S450" i="1"/>
  <c r="T450" i="1" s="1"/>
  <c r="S584" i="1"/>
  <c r="T584" i="1" s="1"/>
  <c r="S411" i="1"/>
  <c r="T411" i="1" s="1"/>
  <c r="S455" i="1"/>
  <c r="T455" i="1" s="1"/>
  <c r="S574" i="1"/>
  <c r="T574" i="1" s="1"/>
  <c r="S623" i="1"/>
  <c r="T623" i="1" s="1"/>
  <c r="S542" i="1"/>
  <c r="T542" i="1" s="1"/>
  <c r="S414" i="1"/>
  <c r="T414" i="1" s="1"/>
  <c r="S286" i="1"/>
  <c r="T286" i="1" s="1"/>
  <c r="S617" i="1"/>
  <c r="T617" i="1" s="1"/>
  <c r="S517" i="1"/>
  <c r="T517" i="1" s="1"/>
  <c r="S429" i="1"/>
  <c r="T429" i="1" s="1"/>
  <c r="S370" i="1"/>
  <c r="T370" i="1" s="1"/>
  <c r="S508" i="1"/>
  <c r="T508" i="1" s="1"/>
  <c r="S616" i="1"/>
  <c r="T616" i="1" s="1"/>
  <c r="S500" i="1"/>
  <c r="T500" i="1" s="1"/>
  <c r="S555" i="1"/>
  <c r="T555" i="1" s="1"/>
  <c r="S491" i="1"/>
  <c r="T491" i="1" s="1"/>
  <c r="S427" i="1"/>
  <c r="T427" i="1" s="1"/>
  <c r="S363" i="1"/>
  <c r="T363" i="1" s="1"/>
  <c r="S299" i="1"/>
  <c r="T299" i="1" s="1"/>
  <c r="S606" i="1"/>
  <c r="T606" i="1" s="1"/>
  <c r="S560" i="1"/>
  <c r="T560" i="1" s="1"/>
  <c r="S496" i="1"/>
  <c r="T496" i="1" s="1"/>
  <c r="S603" i="1"/>
  <c r="T603" i="1" s="1"/>
  <c r="S535" i="1"/>
  <c r="T535" i="1" s="1"/>
  <c r="S471" i="1"/>
  <c r="T471" i="1" s="1"/>
  <c r="S407" i="1"/>
  <c r="T407" i="1" s="1"/>
  <c r="S319" i="1"/>
  <c r="T319" i="1" s="1"/>
  <c r="S255" i="1"/>
  <c r="T255" i="1" s="1"/>
  <c r="S605" i="1"/>
  <c r="T605" i="1" s="1"/>
  <c r="S521" i="1"/>
  <c r="T521" i="1" s="1"/>
  <c r="S433" i="1"/>
  <c r="T433" i="1" s="1"/>
  <c r="S361" i="1"/>
  <c r="T361" i="1" s="1"/>
  <c r="S289" i="1"/>
  <c r="T289" i="1" s="1"/>
  <c r="S445" i="1"/>
  <c r="T445" i="1" s="1"/>
  <c r="S346" i="1"/>
  <c r="T346" i="1" s="1"/>
  <c r="S592" i="1"/>
  <c r="T592" i="1" s="1"/>
  <c r="S482" i="1"/>
  <c r="T482" i="1" s="1"/>
  <c r="T179" i="1"/>
  <c r="T276" i="1"/>
  <c r="T490" i="1"/>
  <c r="T559" i="1"/>
  <c r="T172" i="1"/>
  <c r="T30" i="1"/>
  <c r="T458" i="1"/>
  <c r="T214" i="1"/>
  <c r="T48" i="1"/>
  <c r="T193" i="1"/>
  <c r="T75" i="1"/>
  <c r="T178" i="1"/>
  <c r="T242" i="1"/>
  <c r="T183" i="1"/>
  <c r="T94" i="1"/>
  <c r="T224" i="1"/>
  <c r="T127" i="1"/>
  <c r="T36" i="1"/>
  <c r="T543" i="1"/>
  <c r="T90" i="1"/>
  <c r="T215" i="1"/>
  <c r="T268" i="1"/>
  <c r="T154" i="1"/>
  <c r="T10" i="1"/>
  <c r="T102" i="1"/>
  <c r="T78" i="1"/>
  <c r="T119" i="1"/>
  <c r="T197" i="1"/>
  <c r="T420" i="1"/>
  <c r="T332" i="1"/>
  <c r="T77" i="1"/>
  <c r="T15" i="1"/>
  <c r="T203" i="1"/>
  <c r="T432" i="1"/>
  <c r="T122" i="1"/>
  <c r="T88" i="1"/>
  <c r="T233" i="1"/>
  <c r="T108" i="1"/>
  <c r="T198" i="1"/>
  <c r="T153" i="1"/>
  <c r="T181" i="1"/>
  <c r="T474" i="1"/>
  <c r="T83" i="1"/>
  <c r="T139" i="1"/>
  <c r="T129" i="1"/>
  <c r="T538" i="1"/>
  <c r="T132" i="1"/>
  <c r="T252" i="1"/>
  <c r="T166" i="1"/>
  <c r="T164" i="1"/>
  <c r="T170" i="1"/>
  <c r="T18" i="1"/>
  <c r="T27" i="1"/>
  <c r="T68" i="1"/>
  <c r="T25" i="1"/>
  <c r="T404" i="1"/>
  <c r="T324" i="1"/>
  <c r="T128" i="1"/>
  <c r="T200" i="1"/>
  <c r="T216" i="1"/>
  <c r="T424" i="1"/>
  <c r="T31" i="1"/>
  <c r="T527" i="1"/>
  <c r="T463" i="1"/>
  <c r="T219" i="1"/>
  <c r="T17" i="1"/>
  <c r="T33" i="1"/>
  <c r="T135" i="1"/>
  <c r="T40" i="1"/>
  <c r="T32" i="1"/>
  <c r="T14" i="1"/>
  <c r="T118" i="1"/>
  <c r="T63" i="1"/>
  <c r="T364" i="1"/>
  <c r="T28" i="1"/>
  <c r="T130" i="1"/>
  <c r="T444" i="1"/>
  <c r="T400" i="1"/>
  <c r="T448" i="1"/>
  <c r="T143" i="1"/>
  <c r="T100" i="1"/>
  <c r="T336" i="1"/>
  <c r="T440" i="1"/>
  <c r="T103" i="1"/>
  <c r="T171" i="1"/>
  <c r="T231" i="1"/>
  <c r="T99" i="1"/>
  <c r="T230" i="1"/>
  <c r="T165" i="1"/>
  <c r="T84" i="1"/>
  <c r="T221" i="1"/>
  <c r="T93" i="1"/>
  <c r="T356" i="1"/>
  <c r="T396" i="1"/>
  <c r="T308" i="1"/>
  <c r="T35" i="1"/>
  <c r="T235" i="1"/>
  <c r="T189" i="1"/>
  <c r="T177" i="1"/>
  <c r="T416" i="1"/>
  <c r="T205" i="1"/>
  <c r="T145" i="1"/>
  <c r="T213" i="1"/>
  <c r="T98" i="1"/>
  <c r="T58" i="1"/>
  <c r="T133" i="1"/>
  <c r="T180" i="1"/>
  <c r="T124" i="1"/>
  <c r="T173" i="1"/>
  <c r="T29" i="1"/>
  <c r="T320" i="1"/>
  <c r="T65" i="1"/>
  <c r="T116" i="1"/>
  <c r="T64" i="1"/>
  <c r="T348" i="1"/>
  <c r="T256" i="1"/>
  <c r="T149" i="1"/>
  <c r="T176" i="1"/>
  <c r="T522" i="1"/>
  <c r="T196" i="1"/>
  <c r="T340" i="1"/>
  <c r="T89" i="1"/>
  <c r="T228" i="1"/>
  <c r="T479" i="1"/>
  <c r="T62" i="1"/>
  <c r="T159" i="1"/>
  <c r="T81" i="1"/>
  <c r="T201" i="1"/>
  <c r="T5" i="1"/>
  <c r="T142" i="1"/>
  <c r="T436" i="1"/>
  <c r="T138" i="1"/>
  <c r="T162" i="1"/>
  <c r="T388" i="1"/>
  <c r="T300" i="1"/>
  <c r="T241" i="1"/>
  <c r="T168" i="1"/>
  <c r="T26" i="1"/>
  <c r="T408" i="1"/>
  <c r="T220" i="1"/>
  <c r="T511" i="1"/>
  <c r="T82" i="1"/>
  <c r="T195" i="1"/>
  <c r="T22" i="1"/>
  <c r="T222" i="1"/>
  <c r="T111" i="1"/>
  <c r="T47" i="1"/>
  <c r="T34" i="1"/>
  <c r="T182" i="1"/>
  <c r="T210" i="1"/>
  <c r="T115" i="1"/>
  <c r="T95" i="1"/>
  <c r="T191" i="1"/>
  <c r="T495" i="1"/>
  <c r="T160" i="1"/>
  <c r="T106" i="1"/>
  <c r="T16" i="1"/>
  <c r="T80" i="1"/>
  <c r="T101" i="1"/>
  <c r="T41" i="1"/>
  <c r="T20" i="1"/>
  <c r="T428" i="1"/>
  <c r="T163" i="1"/>
  <c r="T229" i="1"/>
  <c r="T506" i="1"/>
  <c r="T234" i="1"/>
  <c r="T217" i="1"/>
  <c r="T194" i="1"/>
  <c r="T52" i="1"/>
  <c r="T151" i="1"/>
  <c r="T85" i="1"/>
  <c r="T54" i="1"/>
  <c r="T372" i="1"/>
  <c r="T292" i="1"/>
  <c r="T218" i="1"/>
  <c r="T110" i="1"/>
  <c r="T384" i="1"/>
  <c r="T185" i="1"/>
  <c r="T237" i="1"/>
  <c r="T11" i="1"/>
  <c r="T86" i="1"/>
  <c r="T186" i="1"/>
  <c r="T104" i="1"/>
  <c r="T554" i="1"/>
  <c r="T243" i="1"/>
  <c r="T125" i="1"/>
  <c r="T146" i="1"/>
  <c r="V619" i="1" l="1"/>
  <c r="V367" i="1" l="1"/>
  <c r="H6" i="1" l="1"/>
  <c r="H122" i="1" l="1"/>
  <c r="BE238" i="1" l="1"/>
  <c r="H181" i="12"/>
  <c r="H48" i="12"/>
  <c r="H58" i="12"/>
  <c r="H53" i="12"/>
  <c r="H64" i="12"/>
  <c r="H230" i="12"/>
  <c r="H211" i="12"/>
  <c r="H210" i="12"/>
  <c r="H83" i="12"/>
  <c r="H82" i="12"/>
  <c r="H35" i="12"/>
  <c r="H76" i="12"/>
  <c r="H27" i="12"/>
  <c r="H66" i="12"/>
  <c r="H287" i="12"/>
  <c r="H302" i="12"/>
  <c r="H301" i="12"/>
  <c r="H321" i="12"/>
  <c r="H288" i="12"/>
  <c r="H84" i="12"/>
  <c r="H318" i="12"/>
  <c r="H281" i="12"/>
  <c r="H280" i="12"/>
  <c r="H317" i="12"/>
  <c r="H323" i="12"/>
  <c r="H320" i="12"/>
  <c r="H279" i="12"/>
  <c r="H65" i="12"/>
  <c r="H319" i="12"/>
  <c r="H278" i="12"/>
  <c r="H277" i="12"/>
  <c r="H276" i="12"/>
  <c r="H213" i="12"/>
  <c r="H47" i="12"/>
  <c r="H41" i="12"/>
  <c r="H46" i="12"/>
  <c r="H52" i="12"/>
  <c r="H51" i="12"/>
  <c r="H63" i="12"/>
  <c r="H61" i="12"/>
  <c r="H39" i="12"/>
  <c r="H229" i="12"/>
  <c r="H228" i="12"/>
  <c r="H236" i="12"/>
  <c r="H300" i="12"/>
  <c r="H57" i="12"/>
  <c r="H299" i="12"/>
  <c r="H34" i="12"/>
  <c r="H36" i="12"/>
  <c r="H81" i="12"/>
  <c r="H60" i="12"/>
  <c r="H172" i="12"/>
  <c r="H227" i="12"/>
  <c r="H198" i="12"/>
  <c r="H67" i="12"/>
  <c r="H241" i="12"/>
  <c r="H240" i="12"/>
  <c r="H235" i="12"/>
  <c r="H226" i="12"/>
  <c r="H225" i="12"/>
  <c r="H224" i="12"/>
  <c r="H168" i="12"/>
  <c r="H167" i="12"/>
  <c r="H166" i="12"/>
  <c r="H176" i="12"/>
  <c r="H141" i="12"/>
  <c r="H189" i="12"/>
  <c r="H188" i="12"/>
  <c r="H187" i="12"/>
  <c r="H171" i="12"/>
  <c r="H208" i="12"/>
  <c r="H197" i="12"/>
  <c r="H86" i="12"/>
  <c r="H133" i="12"/>
  <c r="H286" i="12"/>
  <c r="H26" i="12"/>
  <c r="H38" i="12"/>
  <c r="H80" i="12"/>
  <c r="H218" i="12"/>
  <c r="H215" i="12"/>
  <c r="H303" i="12"/>
  <c r="H291" i="12"/>
  <c r="H165" i="12"/>
  <c r="H75" i="12"/>
  <c r="H164" i="12"/>
  <c r="H140" i="12"/>
  <c r="H199" i="12"/>
  <c r="H196" i="12"/>
  <c r="H59" i="12"/>
  <c r="H132" i="12"/>
  <c r="H175" i="12"/>
  <c r="H126" i="12"/>
  <c r="H298" i="12"/>
  <c r="H312" i="12"/>
  <c r="H124" i="12"/>
  <c r="H314" i="12"/>
  <c r="H56" i="12"/>
  <c r="H174" i="12"/>
  <c r="H25" i="12"/>
  <c r="H214" i="12"/>
  <c r="H74" i="12"/>
  <c r="H73" i="12"/>
  <c r="H72" i="12"/>
  <c r="H157" i="12"/>
  <c r="H310" i="12"/>
  <c r="H315" i="12"/>
  <c r="H272" i="12"/>
  <c r="H156" i="12"/>
  <c r="H311" i="12"/>
  <c r="H271" i="12"/>
  <c r="H270" i="12"/>
  <c r="H269" i="12"/>
  <c r="H268" i="12"/>
  <c r="H267" i="12"/>
  <c r="H313" i="12"/>
  <c r="H266" i="12"/>
  <c r="H265" i="12"/>
  <c r="H264" i="12"/>
  <c r="H37" i="12"/>
  <c r="H273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" i="12"/>
  <c r="H249" i="12"/>
  <c r="H248" i="12"/>
  <c r="H247" i="12"/>
  <c r="H246" i="12"/>
  <c r="H245" i="12"/>
  <c r="H244" i="12"/>
  <c r="H243" i="12"/>
  <c r="H131" i="12"/>
  <c r="H234" i="12"/>
  <c r="H62" i="12"/>
  <c r="H79" i="12"/>
  <c r="H78" i="12"/>
  <c r="H71" i="12"/>
  <c r="H77" i="12"/>
  <c r="H239" i="12"/>
  <c r="H238" i="12"/>
  <c r="H50" i="12"/>
  <c r="H139" i="12"/>
  <c r="H138" i="12"/>
  <c r="H134" i="12"/>
  <c r="H45" i="12"/>
  <c r="H130" i="12"/>
  <c r="H186" i="12"/>
  <c r="H185" i="12"/>
  <c r="H184" i="12"/>
  <c r="H195" i="12"/>
  <c r="H183" i="12"/>
  <c r="H182" i="12"/>
  <c r="H85" i="12"/>
  <c r="H178" i="12"/>
  <c r="H163" i="12"/>
  <c r="H173" i="12"/>
  <c r="H148" i="12"/>
  <c r="H212" i="12"/>
  <c r="H162" i="12"/>
  <c r="H161" i="12"/>
  <c r="H203" i="12"/>
  <c r="H202" i="12"/>
  <c r="H201" i="12"/>
  <c r="H32" i="12"/>
  <c r="H31" i="12"/>
  <c r="H200" i="12"/>
  <c r="H30" i="12"/>
  <c r="H29" i="12"/>
  <c r="H151" i="12"/>
  <c r="H191" i="12"/>
  <c r="H129" i="12"/>
  <c r="H170" i="12"/>
  <c r="H293" i="12"/>
  <c r="H290" i="12"/>
  <c r="H128" i="12"/>
  <c r="H125" i="12"/>
  <c r="H147" i="12"/>
  <c r="H194" i="12"/>
  <c r="H150" i="12"/>
  <c r="H146" i="12"/>
  <c r="H190" i="12"/>
  <c r="H160" i="12"/>
  <c r="H169" i="12"/>
  <c r="H44" i="12"/>
  <c r="H155" i="12"/>
  <c r="H152" i="12"/>
  <c r="H106" i="12"/>
  <c r="H105" i="12"/>
  <c r="H137" i="12"/>
  <c r="H136" i="12"/>
  <c r="H222" i="12"/>
  <c r="H223" i="12"/>
  <c r="H237" i="12"/>
  <c r="H221" i="12"/>
  <c r="H220" i="12"/>
  <c r="H322" i="12"/>
  <c r="H145" i="12"/>
  <c r="H193" i="12"/>
  <c r="H33" i="12"/>
  <c r="H316" i="12"/>
  <c r="H324" i="12"/>
  <c r="H104" i="12"/>
  <c r="H325" i="12"/>
  <c r="H103" i="12"/>
  <c r="H102" i="12"/>
  <c r="H101" i="12"/>
  <c r="H100" i="12"/>
  <c r="H99" i="12"/>
  <c r="H98" i="12"/>
  <c r="H97" i="12"/>
  <c r="H219" i="12"/>
  <c r="H96" i="12"/>
  <c r="H95" i="12"/>
  <c r="H284" i="12"/>
  <c r="H94" i="12"/>
  <c r="H308" i="12"/>
  <c r="H93" i="12"/>
  <c r="H307" i="12"/>
  <c r="H88" i="12"/>
  <c r="H306" i="12"/>
  <c r="H305" i="12"/>
  <c r="H296" i="12"/>
  <c r="H92" i="12"/>
  <c r="H304" i="12"/>
  <c r="H91" i="12"/>
  <c r="H90" i="12"/>
  <c r="H143" i="12"/>
  <c r="H149" i="12"/>
  <c r="H154" i="12"/>
  <c r="H144" i="12"/>
  <c r="H142" i="12"/>
  <c r="H153" i="12"/>
  <c r="H49" i="12"/>
  <c r="H43" i="12"/>
  <c r="H179" i="12"/>
  <c r="H217" i="12"/>
  <c r="H232" i="12"/>
  <c r="H231" i="12"/>
  <c r="H70" i="12"/>
  <c r="H216" i="12"/>
  <c r="H177" i="12"/>
  <c r="H180" i="12"/>
  <c r="H68" i="12"/>
  <c r="H42" i="12"/>
  <c r="H40" i="12"/>
  <c r="H295" i="12"/>
  <c r="H294" i="12"/>
  <c r="H283" i="12"/>
  <c r="H292" i="12"/>
  <c r="H289" i="12"/>
  <c r="H282" i="12"/>
  <c r="H275" i="12"/>
  <c r="H274" i="12"/>
  <c r="H233" i="12"/>
  <c r="H89" i="12"/>
  <c r="H87" i="12"/>
  <c r="H209" i="12"/>
  <c r="H55" i="12"/>
  <c r="H54" i="12"/>
  <c r="H69" i="12"/>
  <c r="H192" i="12"/>
  <c r="H159" i="12"/>
  <c r="H158" i="12"/>
  <c r="H135" i="12"/>
  <c r="H127" i="12"/>
  <c r="H28" i="12"/>
  <c r="H11" i="12"/>
  <c r="H6" i="12"/>
  <c r="H122" i="12"/>
  <c r="H10" i="12"/>
  <c r="H7" i="12"/>
  <c r="H8" i="12"/>
  <c r="H117" i="12"/>
  <c r="H116" i="12"/>
  <c r="H110" i="12"/>
  <c r="H121" i="12"/>
  <c r="H120" i="12"/>
  <c r="H115" i="12"/>
  <c r="H5" i="12"/>
  <c r="H119" i="12"/>
  <c r="H114" i="12"/>
  <c r="H118" i="12"/>
  <c r="H14" i="12"/>
  <c r="H13" i="12"/>
  <c r="H113" i="12"/>
  <c r="H112" i="12"/>
  <c r="H111" i="12"/>
  <c r="H21" i="12"/>
  <c r="H109" i="12"/>
  <c r="H12" i="12"/>
  <c r="H4" i="12"/>
  <c r="H206" i="12"/>
  <c r="H3" i="12"/>
  <c r="H205" i="12"/>
  <c r="H20" i="12"/>
  <c r="H19" i="12"/>
  <c r="H18" i="12"/>
  <c r="H22" i="12"/>
  <c r="H9" i="12"/>
  <c r="H17" i="12"/>
  <c r="H16" i="12"/>
  <c r="H15" i="12"/>
  <c r="H2" i="12"/>
  <c r="H108" i="12"/>
  <c r="V536" i="1" l="1"/>
  <c r="V534" i="1" l="1"/>
  <c r="V366" i="1"/>
  <c r="BE14" i="1" l="1"/>
  <c r="BE190" i="1" l="1"/>
  <c r="V594" i="1"/>
  <c r="V454" i="1" l="1"/>
  <c r="BE206" i="1" l="1"/>
  <c r="BA3" i="9" l="1"/>
  <c r="AZ3" i="9"/>
  <c r="V612" i="1" l="1"/>
  <c r="V384" i="1"/>
  <c r="V409" i="1" l="1"/>
  <c r="V405" i="1"/>
  <c r="BE204" i="1"/>
  <c r="BB27" i="9"/>
  <c r="BB23" i="9"/>
  <c r="V391" i="1" l="1"/>
  <c r="BA14" i="11"/>
  <c r="AZ14" i="11"/>
  <c r="H14" i="11"/>
  <c r="BA13" i="11"/>
  <c r="AZ13" i="11"/>
  <c r="H13" i="11"/>
  <c r="BA12" i="11"/>
  <c r="AZ12" i="11"/>
  <c r="H12" i="11"/>
  <c r="BA11" i="11"/>
  <c r="AZ11" i="11"/>
  <c r="H11" i="11"/>
  <c r="BA10" i="11"/>
  <c r="AZ10" i="11"/>
  <c r="H10" i="11"/>
  <c r="BA9" i="11"/>
  <c r="AZ9" i="11"/>
  <c r="H9" i="11"/>
  <c r="BA8" i="11"/>
  <c r="AZ8" i="11"/>
  <c r="H8" i="11"/>
  <c r="BA7" i="11"/>
  <c r="AZ7" i="11"/>
  <c r="H7" i="11"/>
  <c r="BA6" i="11"/>
  <c r="AZ6" i="11"/>
  <c r="H6" i="11"/>
  <c r="BA5" i="11"/>
  <c r="AZ5" i="11"/>
  <c r="H5" i="11"/>
  <c r="BA4" i="11"/>
  <c r="AZ4" i="11"/>
  <c r="H4" i="11"/>
  <c r="BA3" i="11"/>
  <c r="AZ3" i="11"/>
  <c r="H3" i="11"/>
  <c r="BA2" i="11"/>
  <c r="AZ2" i="11"/>
  <c r="H2" i="11"/>
  <c r="AC251" i="1" l="1"/>
  <c r="BE42" i="1"/>
  <c r="BE202" i="1"/>
  <c r="BA8" i="9" l="1"/>
  <c r="BA7" i="9"/>
  <c r="BA6" i="9"/>
  <c r="BA5" i="9"/>
  <c r="BA4" i="9"/>
  <c r="BA27" i="9"/>
  <c r="BA33" i="9"/>
  <c r="BA32" i="9"/>
  <c r="BA31" i="9"/>
  <c r="BA30" i="9"/>
  <c r="BA29" i="9"/>
  <c r="BA28" i="9"/>
  <c r="BA26" i="9"/>
  <c r="BA25" i="9"/>
  <c r="BA24" i="9"/>
  <c r="BA23" i="9"/>
  <c r="BA22" i="9"/>
  <c r="BA21" i="9"/>
  <c r="BA19" i="9"/>
  <c r="BA18" i="9"/>
  <c r="BA17" i="9"/>
  <c r="BA16" i="9"/>
  <c r="BA15" i="9"/>
  <c r="BA14" i="9"/>
  <c r="BA13" i="9"/>
  <c r="BA12" i="9"/>
  <c r="BA11" i="9"/>
  <c r="BA10" i="9"/>
  <c r="BA2" i="9"/>
  <c r="AZ33" i="9"/>
  <c r="AZ32" i="9"/>
  <c r="AZ31" i="9"/>
  <c r="AZ30" i="9"/>
  <c r="AZ29" i="9"/>
  <c r="AZ28" i="9"/>
  <c r="AZ26" i="9"/>
  <c r="AZ25" i="9"/>
  <c r="AZ24" i="9"/>
  <c r="AZ23" i="9"/>
  <c r="AZ22" i="9"/>
  <c r="AZ21" i="9"/>
  <c r="AZ19" i="9"/>
  <c r="AZ18" i="9"/>
  <c r="AZ17" i="9"/>
  <c r="AZ16" i="9"/>
  <c r="AZ15" i="9"/>
  <c r="AZ14" i="9"/>
  <c r="AZ13" i="9"/>
  <c r="AZ12" i="9"/>
  <c r="AZ11" i="9"/>
  <c r="AZ10" i="9"/>
  <c r="AZ8" i="9"/>
  <c r="AZ7" i="9"/>
  <c r="AZ6" i="9"/>
  <c r="AZ5" i="9"/>
  <c r="AZ4" i="9"/>
  <c r="AZ27" i="9"/>
  <c r="AZ2" i="9"/>
  <c r="H4" i="9"/>
  <c r="H22" i="9"/>
  <c r="H13" i="9"/>
  <c r="H12" i="9"/>
  <c r="H21" i="9"/>
  <c r="H32" i="9"/>
  <c r="H30" i="9"/>
  <c r="H33" i="9"/>
  <c r="H29" i="9"/>
  <c r="H2" i="9"/>
  <c r="H14" i="9"/>
  <c r="H25" i="9"/>
  <c r="H26" i="9"/>
  <c r="H28" i="9"/>
  <c r="H15" i="9"/>
  <c r="H11" i="9"/>
  <c r="H23" i="9"/>
  <c r="H16" i="9"/>
  <c r="H31" i="9"/>
  <c r="H18" i="9"/>
  <c r="H27" i="9"/>
  <c r="H19" i="9"/>
  <c r="H17" i="9"/>
  <c r="H24" i="9"/>
  <c r="H6" i="9"/>
  <c r="H5" i="9"/>
  <c r="H8" i="9"/>
  <c r="H7" i="9"/>
  <c r="H10" i="9"/>
  <c r="H2" i="8"/>
  <c r="H3" i="8"/>
  <c r="V587" i="1" l="1"/>
  <c r="V588" i="1" l="1"/>
  <c r="V614" i="1" l="1"/>
  <c r="V589" i="1"/>
  <c r="H159" i="1" l="1"/>
  <c r="H145" i="1"/>
  <c r="H99" i="1"/>
  <c r="H94" i="1"/>
  <c r="H89" i="1"/>
  <c r="H87" i="1"/>
  <c r="H85" i="1"/>
  <c r="H80" i="1"/>
  <c r="H83" i="1"/>
  <c r="H82" i="1"/>
  <c r="H81" i="1"/>
  <c r="H78" i="1"/>
  <c r="H77" i="1"/>
  <c r="H76" i="1"/>
  <c r="O8" i="3" l="1"/>
  <c r="O6" i="3"/>
  <c r="O4" i="3"/>
  <c r="O3" i="3"/>
  <c r="N4" i="3"/>
  <c r="N8" i="3"/>
  <c r="V631" i="1" l="1"/>
  <c r="V382" i="1" l="1"/>
  <c r="H239" i="1" l="1"/>
  <c r="H454" i="1" l="1"/>
  <c r="H305" i="1"/>
  <c r="H35" i="1"/>
  <c r="H207" i="1"/>
  <c r="H208" i="1"/>
  <c r="H205" i="1"/>
  <c r="H20" i="1"/>
  <c r="V607" i="1"/>
  <c r="V608" i="1"/>
  <c r="V605" i="1"/>
  <c r="V609" i="1"/>
  <c r="V604" i="1"/>
  <c r="V601" i="1"/>
  <c r="V606" i="1" l="1"/>
  <c r="V603" i="1"/>
  <c r="V474" i="1" l="1"/>
  <c r="X1" i="1"/>
  <c r="Z1" i="1"/>
  <c r="V502" i="1" l="1"/>
  <c r="AJ1" i="1" l="1"/>
  <c r="AH1" i="1"/>
  <c r="H229" i="1"/>
  <c r="H228" i="1"/>
  <c r="H237" i="1"/>
  <c r="H234" i="1"/>
  <c r="H231" i="1"/>
  <c r="AK1" i="1" l="1"/>
  <c r="V379" i="1" l="1"/>
  <c r="V378" i="1"/>
  <c r="V469" i="1" l="1"/>
  <c r="V375" i="1"/>
  <c r="V349" i="1" l="1"/>
  <c r="V324" i="1" l="1"/>
  <c r="V537" i="1" l="1"/>
  <c r="V334" i="1"/>
  <c r="V623" i="1"/>
  <c r="V622" i="1"/>
  <c r="V620" i="1"/>
  <c r="V616" i="1"/>
  <c r="V533" i="1"/>
  <c r="V532" i="1"/>
  <c r="V524" i="1"/>
  <c r="V508" i="1"/>
  <c r="V458" i="1"/>
  <c r="V432" i="1"/>
  <c r="V359" i="1"/>
  <c r="V335" i="1"/>
  <c r="V323" i="1"/>
  <c r="H304" i="1"/>
  <c r="AD1" i="1" l="1"/>
  <c r="H24" i="1"/>
  <c r="H9" i="1"/>
  <c r="H42" i="1"/>
  <c r="H34" i="1"/>
  <c r="H32" i="1"/>
  <c r="H14" i="1"/>
  <c r="H29" i="1"/>
  <c r="H27" i="1"/>
  <c r="H23" i="1"/>
  <c r="H12" i="1"/>
  <c r="H8" i="1"/>
  <c r="H198" i="1"/>
  <c r="H129" i="1"/>
  <c r="H130" i="1"/>
  <c r="H126" i="1"/>
  <c r="H128" i="1"/>
  <c r="H127" i="1"/>
  <c r="H123" i="1"/>
  <c r="H125" i="1"/>
  <c r="H124" i="1"/>
  <c r="H59" i="1"/>
  <c r="H56" i="1"/>
  <c r="H52" i="1"/>
  <c r="H55" i="1"/>
  <c r="H15" i="1"/>
  <c r="H63" i="1"/>
  <c r="H48" i="1"/>
  <c r="H47" i="1"/>
  <c r="H45" i="1"/>
  <c r="H41" i="1"/>
  <c r="H40" i="1"/>
  <c r="H39" i="1"/>
  <c r="H38" i="1"/>
  <c r="H36" i="1"/>
  <c r="H33" i="1"/>
  <c r="H31" i="1"/>
  <c r="H16" i="1"/>
  <c r="H154" i="1"/>
  <c r="H180" i="1"/>
  <c r="H43" i="1"/>
  <c r="H158" i="1"/>
  <c r="H132" i="1"/>
  <c r="H58" i="1"/>
  <c r="H54" i="1"/>
  <c r="H62" i="1"/>
  <c r="H164" i="1"/>
  <c r="H152" i="1"/>
  <c r="H190" i="1"/>
  <c r="H188" i="1"/>
  <c r="H236" i="1"/>
  <c r="H235" i="1"/>
  <c r="H233" i="1"/>
  <c r="H230" i="1"/>
  <c r="H232" i="1"/>
  <c r="H202" i="1"/>
  <c r="H242" i="1"/>
  <c r="H243" i="1"/>
  <c r="H240" i="1"/>
  <c r="H238" i="1"/>
  <c r="H241" i="1"/>
  <c r="H204" i="1"/>
  <c r="H203" i="1"/>
  <c r="H206" i="1"/>
  <c r="H173" i="1"/>
  <c r="H201" i="1"/>
  <c r="H227" i="1"/>
  <c r="H226" i="1"/>
  <c r="H225" i="1"/>
  <c r="H224" i="1"/>
  <c r="H222" i="1"/>
  <c r="H220" i="1"/>
  <c r="H219" i="1"/>
  <c r="H217" i="1"/>
  <c r="H221" i="1"/>
  <c r="H218" i="1"/>
  <c r="H223" i="1"/>
  <c r="H216" i="1"/>
  <c r="H215" i="1"/>
  <c r="H214" i="1"/>
  <c r="H213" i="1"/>
  <c r="H210" i="1"/>
  <c r="H209" i="1"/>
  <c r="H140" i="1"/>
  <c r="H200" i="1"/>
  <c r="H197" i="1"/>
  <c r="H139" i="1"/>
  <c r="H196" i="1"/>
  <c r="H195" i="1"/>
  <c r="H193" i="1"/>
  <c r="H192" i="1"/>
  <c r="H633" i="1"/>
  <c r="H632" i="1"/>
  <c r="H631" i="1"/>
  <c r="H191" i="1"/>
  <c r="H630" i="1"/>
  <c r="H189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187" i="1"/>
  <c r="H186" i="1"/>
  <c r="H185" i="1"/>
  <c r="H182" i="1"/>
  <c r="H595" i="1"/>
  <c r="H183" i="1"/>
  <c r="H184" i="1"/>
  <c r="H594" i="1"/>
  <c r="H593" i="1"/>
  <c r="H179" i="1"/>
  <c r="H592" i="1"/>
  <c r="H591" i="1"/>
  <c r="H590" i="1"/>
  <c r="H589" i="1"/>
  <c r="H588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69" i="1"/>
  <c r="H568" i="1"/>
  <c r="H26" i="1"/>
  <c r="H25" i="1"/>
  <c r="H30" i="1"/>
  <c r="H28" i="1"/>
  <c r="H11" i="1"/>
  <c r="H10" i="1"/>
  <c r="H13" i="1"/>
  <c r="H567" i="1"/>
  <c r="H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177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176" i="1"/>
  <c r="H174" i="1"/>
  <c r="H513" i="1"/>
  <c r="H512" i="1"/>
  <c r="H511" i="1"/>
  <c r="H172" i="1"/>
  <c r="H170" i="1"/>
  <c r="H510" i="1"/>
  <c r="H169" i="1"/>
  <c r="H509" i="1"/>
  <c r="H167" i="1"/>
  <c r="H508" i="1"/>
  <c r="H507" i="1"/>
  <c r="H121" i="1"/>
  <c r="H69" i="1"/>
  <c r="H171" i="1"/>
  <c r="H168" i="1"/>
  <c r="H166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165" i="1"/>
  <c r="H488" i="1"/>
  <c r="H175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157" i="1"/>
  <c r="H155" i="1"/>
  <c r="H471" i="1"/>
  <c r="H156" i="1"/>
  <c r="H470" i="1"/>
  <c r="H469" i="1"/>
  <c r="H153" i="1"/>
  <c r="H468" i="1"/>
  <c r="H467" i="1"/>
  <c r="H466" i="1"/>
  <c r="H465" i="1"/>
  <c r="H464" i="1"/>
  <c r="H463" i="1"/>
  <c r="H462" i="1"/>
  <c r="H461" i="1"/>
  <c r="H460" i="1"/>
  <c r="H149" i="1"/>
  <c r="H459" i="1"/>
  <c r="H458" i="1"/>
  <c r="H457" i="1"/>
  <c r="H456" i="1"/>
  <c r="H455" i="1"/>
  <c r="H453" i="1"/>
  <c r="H452" i="1"/>
  <c r="H146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5" i="1"/>
  <c r="H432" i="1"/>
  <c r="H431" i="1"/>
  <c r="H430" i="1"/>
  <c r="H429" i="1"/>
  <c r="H428" i="1"/>
  <c r="H427" i="1"/>
  <c r="H426" i="1"/>
  <c r="H138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4" i="1"/>
  <c r="H392" i="1"/>
  <c r="H137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136" i="1"/>
  <c r="H368" i="1"/>
  <c r="H367" i="1"/>
  <c r="H366" i="1"/>
  <c r="H135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162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163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194" i="1"/>
  <c r="H309" i="1"/>
  <c r="H308" i="1"/>
  <c r="H307" i="1"/>
  <c r="H306" i="1"/>
  <c r="H151" i="1"/>
  <c r="H150" i="1"/>
  <c r="H303" i="1"/>
  <c r="H302" i="1"/>
  <c r="H148" i="1"/>
  <c r="H147" i="1"/>
  <c r="H133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117" i="1"/>
  <c r="H116" i="1"/>
  <c r="H118" i="1"/>
  <c r="H115" i="1"/>
  <c r="H114" i="1"/>
  <c r="H113" i="1"/>
  <c r="H112" i="1"/>
  <c r="H111" i="1"/>
  <c r="H110" i="1"/>
  <c r="H108" i="1"/>
  <c r="H106" i="1"/>
  <c r="H109" i="1"/>
  <c r="H107" i="1"/>
  <c r="H105" i="1"/>
  <c r="H104" i="1"/>
  <c r="H103" i="1"/>
  <c r="H101" i="1"/>
  <c r="H100" i="1"/>
  <c r="H74" i="1"/>
  <c r="H73" i="1"/>
  <c r="H21" i="1"/>
  <c r="H72" i="1"/>
  <c r="H19" i="1"/>
  <c r="H17" i="1"/>
  <c r="H71" i="1"/>
  <c r="H119" i="1"/>
  <c r="H70" i="1"/>
  <c r="H67" i="1"/>
  <c r="H66" i="1"/>
  <c r="H283" i="1"/>
  <c r="H282" i="1"/>
  <c r="H65" i="1"/>
  <c r="H64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98" i="1"/>
  <c r="H102" i="1"/>
  <c r="H68" i="1"/>
  <c r="H97" i="1"/>
  <c r="H144" i="1"/>
  <c r="H96" i="1"/>
  <c r="H143" i="1"/>
  <c r="H95" i="1"/>
  <c r="H22" i="1"/>
  <c r="H18" i="1"/>
  <c r="H93" i="1"/>
  <c r="H92" i="1"/>
  <c r="H91" i="1"/>
  <c r="H120" i="1"/>
  <c r="H90" i="1"/>
  <c r="H88" i="1"/>
  <c r="H178" i="1"/>
  <c r="H86" i="1"/>
  <c r="H84" i="1"/>
  <c r="H79" i="1"/>
  <c r="H254" i="1"/>
  <c r="H253" i="1"/>
  <c r="H252" i="1"/>
  <c r="H251" i="1"/>
  <c r="H250" i="1"/>
  <c r="H249" i="1"/>
  <c r="H212" i="1"/>
  <c r="H211" i="1"/>
  <c r="H248" i="1"/>
  <c r="H199" i="1"/>
  <c r="H181" i="1"/>
  <c r="H247" i="1"/>
  <c r="H161" i="1"/>
  <c r="H160" i="1"/>
  <c r="H246" i="1"/>
  <c r="H142" i="1"/>
  <c r="H141" i="1"/>
  <c r="H244" i="1"/>
  <c r="H1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Tamaki</author>
  </authors>
  <commentList>
    <comment ref="B5" authorId="0" shapeId="0" xr:uid="{75250529-FDB2-4E6F-BA7C-61AA2A9B6000}">
      <text>
        <r>
          <rPr>
            <b/>
            <sz val="9"/>
            <color indexed="81"/>
            <rFont val="Tahoma"/>
            <family val="2"/>
          </rPr>
          <t>Tomas Tamaki:</t>
        </r>
        <r>
          <rPr>
            <sz val="9"/>
            <color indexed="81"/>
            <rFont val="Tahoma"/>
            <family val="2"/>
          </rPr>
          <t xml:space="preserve">
Dato a colocar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tc={7111B9B4-8B76-46B6-971C-1DB1AD92C524}</author>
    <author>tc={B4F94039-2689-46DF-8D5C-87777FCF8FA3}</author>
    <author>tc={D88A2846-7F55-44EB-AF69-CA5624862E35}</author>
    <author>Tomas Tamaki</author>
  </authors>
  <commentList>
    <comment ref="P8" authorId="0" shapeId="0" xr:uid="{7111B9B4-8B76-46B6-971C-1DB1AD92C5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de 20 a 90 cajas el 15/8/2024
</t>
      </text>
    </comment>
    <comment ref="P12" authorId="1" shapeId="0" xr:uid="{B4F94039-2689-46DF-8D5C-87777FCF8F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de 20 a 70 el 15/8/24
</t>
      </text>
    </comment>
    <comment ref="P32" authorId="2" shapeId="0" xr:uid="{D88A2846-7F55-44EB-AF69-CA5624862E35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Cambiado de 50 a 45 el 12/7/24 Por Tomás</t>
      </text>
    </comment>
    <comment ref="G830" authorId="3" shapeId="0" xr:uid="{E21E5FC3-02F1-4F00-87EF-4A83C85974EB}">
      <text>
        <r>
          <rPr>
            <b/>
            <sz val="9"/>
            <color indexed="81"/>
            <rFont val="Tahoma"/>
            <family val="2"/>
          </rPr>
          <t>Tomas Tamaki:</t>
        </r>
        <r>
          <rPr>
            <sz val="9"/>
            <color indexed="81"/>
            <rFont val="Tahoma"/>
            <family val="2"/>
          </rPr>
          <t xml:space="preserve">
A revisar
Era 0,021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tc={F4A44260-4C7B-4472-B5AE-1F3D87FC1B64}</author>
    <author>tc={D1F7CDD5-21B3-459D-95A3-756DD5609044}</author>
    <author>tc={27EC3DA1-1A38-4DE8-83D2-51EE43528EED}</author>
    <author>Tomas Tamaki</author>
  </authors>
  <commentList>
    <comment ref="P8" authorId="0" shapeId="0" xr:uid="{F4A44260-4C7B-4472-B5AE-1F3D87FC1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de 20 a 90 cajas el 15/8/2024
</t>
      </text>
    </comment>
    <comment ref="P12" authorId="1" shapeId="0" xr:uid="{D1F7CDD5-21B3-459D-95A3-756DD5609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de 20 a 70 el 15/8/24
</t>
      </text>
    </comment>
    <comment ref="P32" authorId="2" shapeId="0" xr:uid="{27EC3DA1-1A38-4DE8-83D2-51EE43528EED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Cambiado de 50 a 45 el 12/7/24 Por Tomás</t>
      </text>
    </comment>
    <comment ref="G837" authorId="3" shapeId="0" xr:uid="{C8F52ED2-F01C-4D0E-AD70-0845E190AD9B}">
      <text>
        <r>
          <rPr>
            <b/>
            <sz val="9"/>
            <color indexed="81"/>
            <rFont val="Tahoma"/>
            <family val="2"/>
          </rPr>
          <t>Tomas Tamaki:</t>
        </r>
        <r>
          <rPr>
            <sz val="9"/>
            <color indexed="81"/>
            <rFont val="Tahoma"/>
            <family val="2"/>
          </rPr>
          <t xml:space="preserve">
A revisar
Era 0,021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tc={FDB2D5AE-98C3-4BC0-9606-9639175D0D49}</author>
    <author>tc={D1811572-3029-4228-B1A9-9B5E10B668EB}</author>
  </authors>
  <commentList>
    <comment ref="N12" authorId="0" shapeId="0" xr:uid="{FDB2D5AE-98C3-4BC0-9606-9639175D0D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Cambiado de 50 a 45 el 12/7/24 Por Tomás</t>
      </text>
    </comment>
    <comment ref="B27" authorId="1" shapeId="0" xr:uid="{D1811572-3029-4228-B1A9-9B5E10B668EB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de reducir el ciclo de esta máquina, el 25 oz tarda la mitad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tc={0A9950C3-A6B6-41B8-8DDE-3D987EF1F0FF}</author>
  </authors>
  <commentList>
    <comment ref="B8" authorId="0" shapeId="0" xr:uid="{0A9950C3-A6B6-41B8-8DDE-3D987EF1F0FF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de reducir el ciclo de esta máquina, el 25 oz tarda la mitad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tc={F58F709C-BEE4-49A7-B57A-F17C450DB690}</author>
  </authors>
  <commentList>
    <comment ref="B2" authorId="0" shapeId="0" xr:uid="{F58F709C-BEE4-49A7-B57A-F17C450DB690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de reducir el ciclo de esta máquina, el 25 oz tarda la mitad</t>
      </text>
    </comment>
  </commentList>
</comments>
</file>

<file path=xl/sharedStrings.xml><?xml version="1.0" encoding="utf-8"?>
<sst xmlns="http://schemas.openxmlformats.org/spreadsheetml/2006/main" count="15879" uniqueCount="1489">
  <si>
    <t>Venta Normal</t>
  </si>
  <si>
    <t>Semiautomaticas</t>
  </si>
  <si>
    <t>12 VELAS DE NOCHE</t>
  </si>
  <si>
    <t>PAI</t>
  </si>
  <si>
    <t>PAI BLANCO 650 x 200</t>
  </si>
  <si>
    <t>CAJA Nº 3</t>
  </si>
  <si>
    <t>BOLSAS DE 120 X 80</t>
  </si>
  <si>
    <t>Christian</t>
  </si>
  <si>
    <t>Ciclo por golpe</t>
  </si>
  <si>
    <t>Cantidad de ´plancha por vez</t>
  </si>
  <si>
    <t>ciclo por plancha</t>
  </si>
  <si>
    <t>Seg/hora</t>
  </si>
  <si>
    <t>Min/seg</t>
  </si>
  <si>
    <t>Horas efectivas disponibles</t>
  </si>
  <si>
    <t>Cavidades</t>
  </si>
  <si>
    <t>Un x cajas</t>
  </si>
  <si>
    <t>META</t>
  </si>
  <si>
    <t>OEE 80% ( En 6 horas)</t>
  </si>
  <si>
    <t>Meta</t>
  </si>
  <si>
    <t>SEMI - TOTAL</t>
  </si>
  <si>
    <t>REG</t>
  </si>
  <si>
    <t>GN</t>
  </si>
  <si>
    <t>Con mi pad no lo hace</t>
  </si>
  <si>
    <t>Semiautomáticas</t>
  </si>
  <si>
    <t>Estado</t>
  </si>
  <si>
    <t>Maquina</t>
  </si>
  <si>
    <t>ARTICULO</t>
  </si>
  <si>
    <t>UN por CAJA</t>
  </si>
  <si>
    <t>PESO BR.</t>
  </si>
  <si>
    <t>PESO NET.</t>
  </si>
  <si>
    <t>% SCRAP</t>
  </si>
  <si>
    <t>MATERIAL</t>
  </si>
  <si>
    <t>MATERIAL DETALLE</t>
  </si>
  <si>
    <t>CAJAS</t>
  </si>
  <si>
    <t>BOLSA</t>
  </si>
  <si>
    <t>Paquete por Caja</t>
  </si>
  <si>
    <t>Unidades por Paquete</t>
  </si>
  <si>
    <t>CAV</t>
  </si>
  <si>
    <t>CICLO Master Darta</t>
  </si>
  <si>
    <t>Cajas en 8 Horas</t>
  </si>
  <si>
    <t>Cajas x hora</t>
  </si>
  <si>
    <t>Turnos para fabricar 1000 cajas</t>
  </si>
  <si>
    <t>Cajas que se fabricarían con las planchas</t>
  </si>
  <si>
    <t>Seg/ciclo</t>
  </si>
  <si>
    <t>FECHA</t>
  </si>
  <si>
    <t>Registrado por</t>
  </si>
  <si>
    <t>MAQ</t>
  </si>
  <si>
    <t>Calentamiento</t>
  </si>
  <si>
    <t>Ventilador de calor</t>
  </si>
  <si>
    <t>Fomación</t>
  </si>
  <si>
    <t>Ventilador de forma</t>
  </si>
  <si>
    <t>intervalo de corte</t>
  </si>
  <si>
    <t>Retraso de expulsión</t>
  </si>
  <si>
    <t>Expulsión</t>
  </si>
  <si>
    <t>Transporte</t>
  </si>
  <si>
    <t>Retraso de cierre</t>
  </si>
  <si>
    <t>Promedio de ciclo</t>
  </si>
  <si>
    <t>Molde</t>
  </si>
  <si>
    <t>Zona1</t>
  </si>
  <si>
    <t>Zona2</t>
  </si>
  <si>
    <t>Zona3</t>
  </si>
  <si>
    <t>Precalentador</t>
  </si>
  <si>
    <t>Presión de calentamiento</t>
  </si>
  <si>
    <t>Presión de formación</t>
  </si>
  <si>
    <t>Presión de expusión</t>
  </si>
  <si>
    <t>Velocidad</t>
  </si>
  <si>
    <t>Recorrido</t>
  </si>
  <si>
    <t>Modo</t>
  </si>
  <si>
    <t>Acel/ Desacel</t>
  </si>
  <si>
    <t>Velocidad del paso</t>
  </si>
  <si>
    <t>Zona4</t>
  </si>
  <si>
    <t>Zona5</t>
  </si>
  <si>
    <t>AP-12</t>
  </si>
  <si>
    <t>PET</t>
  </si>
  <si>
    <t>PET CRISTAL 580 x 250</t>
  </si>
  <si>
    <t>CAJA Nº 4/1 SIN LOGO</t>
  </si>
  <si>
    <t>BOLSAS DE 120 X 125</t>
  </si>
  <si>
    <t>6 paq de 174 + 1 paq de 156 unid</t>
  </si>
  <si>
    <t>Normal</t>
  </si>
  <si>
    <t>AP-6</t>
  </si>
  <si>
    <t>PET CRISTAL 520 x 220</t>
  </si>
  <si>
    <t>ART. 1445</t>
  </si>
  <si>
    <t>PVC</t>
  </si>
  <si>
    <t>PVC CRISTAL 500 x 300</t>
  </si>
  <si>
    <t>Discontinuado</t>
  </si>
  <si>
    <t>ART. 1445 OPS</t>
  </si>
  <si>
    <t>OPS</t>
  </si>
  <si>
    <t>UNICLEAR CRISTAL OPS 480 x 400</t>
  </si>
  <si>
    <t>ART. 1510</t>
  </si>
  <si>
    <t>PVC CRISTAL 460 x 300</t>
  </si>
  <si>
    <t>CAJA Nº 2</t>
  </si>
  <si>
    <t>ART. 1510 NEGRO</t>
  </si>
  <si>
    <t>PAI NEGRO 460 x 350</t>
  </si>
  <si>
    <t>ART. 1510 OPS</t>
  </si>
  <si>
    <t>UNICLEAR CRISTAL OPS 460 x 300</t>
  </si>
  <si>
    <t>CAJA Nº 12</t>
  </si>
  <si>
    <t>BOLSAS DE 120 X 110</t>
  </si>
  <si>
    <t>ART. 1510 PAI NEGRO</t>
  </si>
  <si>
    <t>HIPST</t>
  </si>
  <si>
    <t>PAI NEGRO 600 x 350</t>
  </si>
  <si>
    <t>ART. 1550</t>
  </si>
  <si>
    <t>PVC CRISTAL 460 x 400</t>
  </si>
  <si>
    <t>7'</t>
  </si>
  <si>
    <t>ART. 1550 OPS</t>
  </si>
  <si>
    <t>DEXTON PS 825EH</t>
  </si>
  <si>
    <t>CAJA Nº 4/1</t>
  </si>
  <si>
    <t>ART. 1560</t>
  </si>
  <si>
    <t>PVC CRISTAL 575 x 250</t>
  </si>
  <si>
    <t>20/3/2024 / 22/7/24</t>
  </si>
  <si>
    <t>13/15</t>
  </si>
  <si>
    <t>1 / 1,5</t>
  </si>
  <si>
    <t>0,1 / 0,2</t>
  </si>
  <si>
    <t>1,1 /1,3</t>
  </si>
  <si>
    <t>0,8 / 1,00</t>
  </si>
  <si>
    <t>0,2 / 0,18</t>
  </si>
  <si>
    <t>0,22 / 0,15</t>
  </si>
  <si>
    <t>0,4 / 0,45</t>
  </si>
  <si>
    <t>0,3 /0,2</t>
  </si>
  <si>
    <t>4,5 / 5,6</t>
  </si>
  <si>
    <t>59 / 62</t>
  </si>
  <si>
    <t>104 / 103</t>
  </si>
  <si>
    <t>45 / 38</t>
  </si>
  <si>
    <t>20 / 20</t>
  </si>
  <si>
    <t>40 / 40</t>
  </si>
  <si>
    <t>100 / 100</t>
  </si>
  <si>
    <t>359 / 365</t>
  </si>
  <si>
    <t>700 / 1500</t>
  </si>
  <si>
    <t>10 / 10</t>
  </si>
  <si>
    <t>ART. 1560 - OBSOLETO</t>
  </si>
  <si>
    <t>CAJA Nº 15</t>
  </si>
  <si>
    <t>ART. 1560 PVC (300M)</t>
  </si>
  <si>
    <t>PVC CRISTAL 570 x 300</t>
  </si>
  <si>
    <t>CAJA Nº 16</t>
  </si>
  <si>
    <t>ART. 1610 (200)</t>
  </si>
  <si>
    <t>PVC CRISTAL 520 x 250</t>
  </si>
  <si>
    <t>ART. 1610 OPS</t>
  </si>
  <si>
    <t>UNICLEAR CRISTAL OPS 520 x 250</t>
  </si>
  <si>
    <t>CAJA Nº 14</t>
  </si>
  <si>
    <t>ART. 1690 (200)</t>
  </si>
  <si>
    <t>PVC CRISTAL 520 x 500</t>
  </si>
  <si>
    <t>ART. 1690 BASE</t>
  </si>
  <si>
    <t>ART. 1690 BASE Y TAPA</t>
  </si>
  <si>
    <t>PVC CRISTAL 100 x 10000</t>
  </si>
  <si>
    <t>ART. 1690 OPS</t>
  </si>
  <si>
    <t>UNICLEAR CRISTAL OPS 520 x 600</t>
  </si>
  <si>
    <t>ART. 1810</t>
  </si>
  <si>
    <t>PVC CRISTAL 380 x 300</t>
  </si>
  <si>
    <t>ART. 1810 NEGRO</t>
  </si>
  <si>
    <t>PAI NEGRO 380 x 350</t>
  </si>
  <si>
    <t>ART. 1810 OPS</t>
  </si>
  <si>
    <t>UNICLEAR CRISTAL OPS 455 x 400</t>
  </si>
  <si>
    <t>ART. 1810 PAI NEGRO</t>
  </si>
  <si>
    <t>ART. 1845</t>
  </si>
  <si>
    <t>PVC CRISTAL 380 x 400</t>
  </si>
  <si>
    <t>ART. 1845 OPS</t>
  </si>
  <si>
    <t>UNICLEAR CRISTAL OPS 380 x 400</t>
  </si>
  <si>
    <t>ART. 1860</t>
  </si>
  <si>
    <t>PVC CRISTAL 380 x 450</t>
  </si>
  <si>
    <t>ART. 1860 OPS</t>
  </si>
  <si>
    <t>DEXTON PS945EH</t>
  </si>
  <si>
    <t>ART. 2050</t>
  </si>
  <si>
    <t>PET CRISTAL 460 x 250</t>
  </si>
  <si>
    <t>ART. 2050 (X 300)</t>
  </si>
  <si>
    <t>CAJA Nº 1/2</t>
  </si>
  <si>
    <t>ART. 2060</t>
  </si>
  <si>
    <t>ART. 2060 (X 300)</t>
  </si>
  <si>
    <t>14 / 15</t>
  </si>
  <si>
    <t>ART. 2060 (X 300) (DISCONTINUADO)</t>
  </si>
  <si>
    <t>ART. 2060 MPH</t>
  </si>
  <si>
    <t>PVC CRISTAL 460 x 250</t>
  </si>
  <si>
    <t>ART. 2075</t>
  </si>
  <si>
    <t>PVC CRISTAL 480 x 250</t>
  </si>
  <si>
    <t>ART. 2095</t>
  </si>
  <si>
    <t>ART. 2450</t>
  </si>
  <si>
    <t>PVC CRISTAL 560 x 250</t>
  </si>
  <si>
    <t>CAJA Nº 17</t>
  </si>
  <si>
    <t>ART. 2465</t>
  </si>
  <si>
    <t>PVC CRISTAL 420 x 250</t>
  </si>
  <si>
    <t>ART. 2465 OPS</t>
  </si>
  <si>
    <t>UNICLEAR CRISTAL OPS 460 x 250</t>
  </si>
  <si>
    <t>ART. 2465 PET</t>
  </si>
  <si>
    <t>PET CRISTAL 420 x 250</t>
  </si>
  <si>
    <t>ART. 2475</t>
  </si>
  <si>
    <t>ART. 2475 PET</t>
  </si>
  <si>
    <t>PET CRISTAL 560 x 250</t>
  </si>
  <si>
    <t>ART. 2508</t>
  </si>
  <si>
    <t>PET CRISTAL 560 x 300</t>
  </si>
  <si>
    <t>ART. 2510</t>
  </si>
  <si>
    <t>7,8</t>
  </si>
  <si>
    <t>PVC CRISTAL 560 x 300</t>
  </si>
  <si>
    <t>ART. 3110</t>
  </si>
  <si>
    <t>ART. 3110 CRISTAL (X 150)</t>
  </si>
  <si>
    <t>ART. 3110 CRISTAL (X 180)</t>
  </si>
  <si>
    <t>ART. 3110 NEGRO (X 150)</t>
  </si>
  <si>
    <t>PAI NEGRO 520 x 300</t>
  </si>
  <si>
    <t>ART. 3110 OPS</t>
  </si>
  <si>
    <t>UNICLEAR CRISTAL OPS 540 x 350</t>
  </si>
  <si>
    <t>ART. 3110 PAI NEGRO</t>
  </si>
  <si>
    <t>ART. 3142</t>
  </si>
  <si>
    <t>PVC CRISTAL 520 x 300</t>
  </si>
  <si>
    <t>CAJA Nº 8</t>
  </si>
  <si>
    <t>ART. 3142 ( X180 )</t>
  </si>
  <si>
    <t>ART. 3142 OPS</t>
  </si>
  <si>
    <t>UNICLEAR CRISTAL OPS 540 x 400</t>
  </si>
  <si>
    <t>ART. 3185</t>
  </si>
  <si>
    <t>PVC CRISTAL 520 x 450</t>
  </si>
  <si>
    <t>ART. 3185 (X 150)</t>
  </si>
  <si>
    <t>ART. 3185 / 3110 NEGRO</t>
  </si>
  <si>
    <t>PAI-PVC</t>
  </si>
  <si>
    <r>
      <t>C</t>
    </r>
    <r>
      <rPr>
        <sz val="11"/>
        <color theme="1"/>
        <rFont val="Aptos Narrow"/>
        <family val="2"/>
        <scheme val="minor"/>
      </rPr>
      <t>OMBO</t>
    </r>
  </si>
  <si>
    <t>*</t>
  </si>
  <si>
    <t>ART. 3185 OPS</t>
  </si>
  <si>
    <t>UNICLEAR CRISTAL OPS 540 x 500</t>
  </si>
  <si>
    <t>CAJA Nº 13</t>
  </si>
  <si>
    <t>ART. 3208</t>
  </si>
  <si>
    <t>ART. 6 BASE</t>
  </si>
  <si>
    <t>UNICLEAR CRISTAL OPS 580 x 300</t>
  </si>
  <si>
    <t>ART. 6 TAPA</t>
  </si>
  <si>
    <t>UNICLEAR CRISTAL OPS 580 x 250</t>
  </si>
  <si>
    <t>ART. B 16 NEGRO</t>
  </si>
  <si>
    <t>PAI NEGRO 320 x 400</t>
  </si>
  <si>
    <t>ART. B 16 NEGRO X 160</t>
  </si>
  <si>
    <t>CAJA Nº 4</t>
  </si>
  <si>
    <t>ART. B 21 M</t>
  </si>
  <si>
    <t>ART. B-23 M</t>
  </si>
  <si>
    <t>PAI NEGRO 520 x 400</t>
  </si>
  <si>
    <t>ART. BR 20 NEGRO</t>
  </si>
  <si>
    <t>PAI NEGRO 530 x 350</t>
  </si>
  <si>
    <t>ART. BR 24 NEGRO</t>
  </si>
  <si>
    <t>PAI NEGRO 600 x 400</t>
  </si>
  <si>
    <t>CAJA Nº 7</t>
  </si>
  <si>
    <t>40-60</t>
  </si>
  <si>
    <t>41 / 65</t>
  </si>
  <si>
    <t>5,1 / 8,2</t>
  </si>
  <si>
    <t>24/7/2024 - 22/8/2024</t>
  </si>
  <si>
    <t>17 - 14</t>
  </si>
  <si>
    <t>1,9 - 1,3</t>
  </si>
  <si>
    <t>0,15 - 0,25</t>
  </si>
  <si>
    <t>1,8 - 1</t>
  </si>
  <si>
    <t>1,2 - 0,15</t>
  </si>
  <si>
    <t>0,28 - 0,15</t>
  </si>
  <si>
    <t>0,3 - 0,3</t>
  </si>
  <si>
    <t>0,43 - 0,4</t>
  </si>
  <si>
    <t>0,5 - 0,5</t>
  </si>
  <si>
    <t>7,1 - 4,4</t>
  </si>
  <si>
    <t>41 - 36</t>
  </si>
  <si>
    <t>129 - 138</t>
  </si>
  <si>
    <t>131 - 136</t>
  </si>
  <si>
    <t>135 -139</t>
  </si>
  <si>
    <t>50 - 80</t>
  </si>
  <si>
    <t>? - 20</t>
  </si>
  <si>
    <t>? - 40</t>
  </si>
  <si>
    <t>200 - 70</t>
  </si>
  <si>
    <t>309 - 274</t>
  </si>
  <si>
    <t>? - 1100</t>
  </si>
  <si>
    <t>? - 10</t>
  </si>
  <si>
    <t>ART. BR 26 NEGRO</t>
  </si>
  <si>
    <t>PAI NEGRO 340 x 400</t>
  </si>
  <si>
    <t>CAJA Nº 9</t>
  </si>
  <si>
    <t>ART. BR 29 NEGRO</t>
  </si>
  <si>
    <t>PAI NEGRO 365 x 400</t>
  </si>
  <si>
    <t>CAJA Nº 5</t>
  </si>
  <si>
    <t>ART. BR 29 NEGRO X 160</t>
  </si>
  <si>
    <t>ART. BT 16</t>
  </si>
  <si>
    <t>HIPST-PET</t>
  </si>
  <si>
    <t>PAI/PET 100x10000</t>
  </si>
  <si>
    <t>ART. OP 1445</t>
  </si>
  <si>
    <t>UNICLEAR CRISTAL OPS 480 x 350</t>
  </si>
  <si>
    <t>ART. OP 1510</t>
  </si>
  <si>
    <t>ART. OP 1550</t>
  </si>
  <si>
    <t>UNICLEAR CRISTAL OPS 460 x 400</t>
  </si>
  <si>
    <t>ART. OP 1560</t>
  </si>
  <si>
    <t>UNICLEAR CRISTAL OPS 570 x 300</t>
  </si>
  <si>
    <t>ART. OP 1810</t>
  </si>
  <si>
    <t>UNICLEAR CRISTAL OPS 380 x 300</t>
  </si>
  <si>
    <t>ART. OP 1845</t>
  </si>
  <si>
    <t>ART. OP 1860</t>
  </si>
  <si>
    <t>UNICLEAR CRISTAL OPS 380 x 450</t>
  </si>
  <si>
    <t>ART. OP 2050</t>
  </si>
  <si>
    <t>ART. OP 2060</t>
  </si>
  <si>
    <t>ART. OP 2060 MPH</t>
  </si>
  <si>
    <t>ART. OP 2075</t>
  </si>
  <si>
    <t>UNICLEAR CRISTAL OPS 480 x 250</t>
  </si>
  <si>
    <t>ART. OP 2095</t>
  </si>
  <si>
    <t>ART. OP 2440</t>
  </si>
  <si>
    <t>UNICLEAR CRISTAL OPS 560 x 250</t>
  </si>
  <si>
    <t>ART. OP 2450</t>
  </si>
  <si>
    <t>ART. OP 2465</t>
  </si>
  <si>
    <t>UNICLEAR CRISTAL OPS 420 x 250</t>
  </si>
  <si>
    <t>ART. OP 2475</t>
  </si>
  <si>
    <t>ART. OP 2508</t>
  </si>
  <si>
    <t>UNICLEAR CRISTAL OPS 560 x 300</t>
  </si>
  <si>
    <t>ART. OP 2510</t>
  </si>
  <si>
    <t>ART. OP 3208</t>
  </si>
  <si>
    <t>UNICLEAR CRISTAL OPS 500 x 300</t>
  </si>
  <si>
    <t>ART. OP T 16</t>
  </si>
  <si>
    <t>UNICLEAR CRISTAL OPS 410 x 450</t>
  </si>
  <si>
    <t>ART. OP T 17</t>
  </si>
  <si>
    <t>UNICLEAR CRISTAL OPS 410 x 550</t>
  </si>
  <si>
    <t>ART. OP T 21 M</t>
  </si>
  <si>
    <t>PET CRISTAL 580 x 450</t>
  </si>
  <si>
    <t>ART. OP TR 20 ALTA</t>
  </si>
  <si>
    <t>UNICLEAR CRISTAL OPS 475 x 500</t>
  </si>
  <si>
    <t>ART. OP TR 20 MEDIA FACETADA</t>
  </si>
  <si>
    <t>ART. OP TR 24 ALTA</t>
  </si>
  <si>
    <t>CAJA Nº 6</t>
  </si>
  <si>
    <t>ART. OP TR 24 ALTA FACETADA</t>
  </si>
  <si>
    <t>UNICLEAR CRISTAL OPS 520 x 400</t>
  </si>
  <si>
    <t>ART. OP TR 24 BAJA</t>
  </si>
  <si>
    <t>UNICLEAR CRISTAL OPS 540 x 300</t>
  </si>
  <si>
    <t>ART. OP TR 24 BAJA FACETADA</t>
  </si>
  <si>
    <t>ART. OP TR 24 MEDIA</t>
  </si>
  <si>
    <t>ART. OP TR 24 MEDIA FACETADA</t>
  </si>
  <si>
    <t>UNICLEAR CRISTAL OPS 540 x 450</t>
  </si>
  <si>
    <t>ART. OP TR 26 ALTA</t>
  </si>
  <si>
    <t>UNICLEAR CRISTAL OPS 580 x 400</t>
  </si>
  <si>
    <t>ART. OP TR 26 BAJA</t>
  </si>
  <si>
    <t>UNICLEAR CRISTAL OPS 580 x 350</t>
  </si>
  <si>
    <t>ART. OP TR 26 MEDIA</t>
  </si>
  <si>
    <t>ART. OP TR 29 ALTA</t>
  </si>
  <si>
    <t>UNICLEAR CRISTAL OPS 360 x 500</t>
  </si>
  <si>
    <t>ART. OP TR 29 BAJA</t>
  </si>
  <si>
    <t>UNICLEAR CRISTAL OPS 360 x 400</t>
  </si>
  <si>
    <t>ART. OP TR 29 MEDIA FACETADA</t>
  </si>
  <si>
    <t>UNICLEAR CRISTAL OPS 525 x 350</t>
  </si>
  <si>
    <t>ART. OP TR 29 MEDIA FACETADA X 160</t>
  </si>
  <si>
    <t>UNICLEAR CRISTAL OPS 560 x 400</t>
  </si>
  <si>
    <t>ART. OP TR 29 MEDIA X 160</t>
  </si>
  <si>
    <t>ART. T 16</t>
  </si>
  <si>
    <t>PET CRISTAL 410 x 450</t>
  </si>
  <si>
    <t>ART. T 17</t>
  </si>
  <si>
    <t>PET CRISTAL 410 x 550</t>
  </si>
  <si>
    <t>ART. T-23 M</t>
  </si>
  <si>
    <t>PET CRISTAL 490 x 600</t>
  </si>
  <si>
    <t>ART. TR 20 ALTA</t>
  </si>
  <si>
    <t>PVC CRISTAL 470 x 500</t>
  </si>
  <si>
    <t>ART. TR 24 ALTA</t>
  </si>
  <si>
    <t>PVC CRISTAL 540 x 400</t>
  </si>
  <si>
    <t>ART. TR 24 BAJA</t>
  </si>
  <si>
    <t>PVC CRISTAL 540 x 300</t>
  </si>
  <si>
    <t>ART. TR 24 MEDIA</t>
  </si>
  <si>
    <t>PVC CRISTAL 540 x 350</t>
  </si>
  <si>
    <t>ART. TR 26 ALTA</t>
  </si>
  <si>
    <t>PVC CRISTAL 580 x 400</t>
  </si>
  <si>
    <t>ART. TR 26 BAJA</t>
  </si>
  <si>
    <t>PVC CRISTAL 580 x 300</t>
  </si>
  <si>
    <t>ART. TR 26 MEDIA</t>
  </si>
  <si>
    <t>PVC CRISTAL 580 x 350</t>
  </si>
  <si>
    <t>ART. TR 29 ALTA</t>
  </si>
  <si>
    <t>PVC CRISTAL 360 x 500</t>
  </si>
  <si>
    <t>ART. TR 29 BAJA</t>
  </si>
  <si>
    <t>PVC CRISTAL 360 x 400</t>
  </si>
  <si>
    <t>ART.2508</t>
  </si>
  <si>
    <t>AZUCARADAS OPS</t>
  </si>
  <si>
    <t>AZUCARADAS PVC</t>
  </si>
  <si>
    <t>BANDEJA 4 COMPARTIMENTOS</t>
  </si>
  <si>
    <t>PET CRISTAL 550 x 200</t>
  </si>
  <si>
    <t>CAJA Nº 1</t>
  </si>
  <si>
    <t>3 paquetes de 250 y 1 de 100</t>
  </si>
  <si>
    <t xml:space="preserve">Christian </t>
  </si>
  <si>
    <t>BIZCOCHUELO 3 CAPAS</t>
  </si>
  <si>
    <t>PET CRISTAL 490 x 180</t>
  </si>
  <si>
    <t>BIZCOCHUELO VALENTE</t>
  </si>
  <si>
    <t>UNICLEAR CRISTAL OPS 490 x 300</t>
  </si>
  <si>
    <t>BUDIN VALENTE</t>
  </si>
  <si>
    <t>BUDIN VALENTE PAI NEGRO</t>
  </si>
  <si>
    <t xml:space="preserve">CERICET </t>
  </si>
  <si>
    <t>PET CRISTAL 470 x 300</t>
  </si>
  <si>
    <t>CERICET OPS</t>
  </si>
  <si>
    <t>CODIGO LOINS X 100 GRS.</t>
  </si>
  <si>
    <t>PP</t>
  </si>
  <si>
    <t>PP ROJO 550 x 380</t>
  </si>
  <si>
    <t>CODIGO LOINS X 140 GRS.</t>
  </si>
  <si>
    <t>PP ROJO 580 x 380</t>
  </si>
  <si>
    <t>CUNA 172 GRS. BLANCO</t>
  </si>
  <si>
    <t>PAI BLANCO 550 x 200</t>
  </si>
  <si>
    <t>CUNA 172 GRS. NEGRO</t>
  </si>
  <si>
    <t>PAI NEGRO 550 x 200</t>
  </si>
  <si>
    <t>CUNA 172 GRS. OPS</t>
  </si>
  <si>
    <t>UNICLEAR CRISTAL OPS 550 x 200</t>
  </si>
  <si>
    <t>CUNA PARA GALLETITAS</t>
  </si>
  <si>
    <t>CUNA PARA GALLETITAS MARRON</t>
  </si>
  <si>
    <t>PAI MARRON 550 x 200</t>
  </si>
  <si>
    <t>CUNA PARA GALLETITAS NEGRO</t>
  </si>
  <si>
    <t>23 paq de 168 y 1 paq de 136</t>
  </si>
  <si>
    <t>CUNA POCKET</t>
  </si>
  <si>
    <t>CUNA POCKET MARRON</t>
  </si>
  <si>
    <t>PAI MARRON 550 x 240</t>
  </si>
  <si>
    <t>CUNA POCKET NEGRO</t>
  </si>
  <si>
    <t>PAI NEGRO 550 x 240</t>
  </si>
  <si>
    <t>EMPANADAS X 3 OPS</t>
  </si>
  <si>
    <t>UNICLEAR CRISTAL OPS 490 x 200</t>
  </si>
  <si>
    <t>EMPANADAS X 3 PAI BLANCO</t>
  </si>
  <si>
    <t>PAI BLANCO 600 x 200</t>
  </si>
  <si>
    <t>ENSALADERA BURGER KING TAPA</t>
  </si>
  <si>
    <t>ENSALADERA BURGER KING TAPA (250M)</t>
  </si>
  <si>
    <t>UNICLEAR CRISTAL OPS 490 x 250</t>
  </si>
  <si>
    <t>ENSALADERA LISA BASE</t>
  </si>
  <si>
    <t>PET/PE NEGRO 500 x 450</t>
  </si>
  <si>
    <t>ENSALADERA LISA TAPA</t>
  </si>
  <si>
    <t>ENSALADERA PETALOS BASE OPS</t>
  </si>
  <si>
    <t>UNICLEAR CRISTAL OPS 490 x 350</t>
  </si>
  <si>
    <t>ENSALADERA PETALOS TAPA</t>
  </si>
  <si>
    <t>FRINOVA X 4 PP ROJO</t>
  </si>
  <si>
    <t>UNICLEAR CRISTAL OPS 570 x 500</t>
  </si>
  <si>
    <t>FUTURE SEA FOOD</t>
  </si>
  <si>
    <t>GY-12</t>
  </si>
  <si>
    <t>PET CRISTAL 550 x 350</t>
  </si>
  <si>
    <t>5 x 96 --- 1 x 84</t>
  </si>
  <si>
    <t>HAPPY LOINS 80-120</t>
  </si>
  <si>
    <t>PVC BLANCO 650 x 180</t>
  </si>
  <si>
    <t>KALEU COD. LOINS PAI</t>
  </si>
  <si>
    <t>PAI BLANCO 600 x 400</t>
  </si>
  <si>
    <t>CAJA Nº 4 SIN LOGO</t>
  </si>
  <si>
    <t>KALEU COD. LOINS PP</t>
  </si>
  <si>
    <t>PAI MARRON 580 x 400</t>
  </si>
  <si>
    <t>LARGUITA X 150 NUEVA OPS</t>
  </si>
  <si>
    <t>LARGUITA X 150 NUEVA PAI</t>
  </si>
  <si>
    <t>PAI BLANCO 600 x 300</t>
  </si>
  <si>
    <t>LARGUITA X 150 OPS</t>
  </si>
  <si>
    <t>UNICLEAR CRISTAL OPS 590 x 200</t>
  </si>
  <si>
    <t>LARGUITA X 200 OPS</t>
  </si>
  <si>
    <t>LARGUITA X 200 PAI</t>
  </si>
  <si>
    <t>LARGUITA X 250 OPS</t>
  </si>
  <si>
    <t>LARGUITA X 250 PAI</t>
  </si>
  <si>
    <t>LICORFORT</t>
  </si>
  <si>
    <t>PET CRISTAL 580 x 400</t>
  </si>
  <si>
    <t>LICORFORT OPS</t>
  </si>
  <si>
    <t>UNICLEAR CRISTAL OPS 570 x 400</t>
  </si>
  <si>
    <t>LICORITA</t>
  </si>
  <si>
    <t>LICORITA OPS</t>
  </si>
  <si>
    <t>UNICLEAR CRISTAL OPS 570 x 250</t>
  </si>
  <si>
    <t>MANTECADO X 6 OPS</t>
  </si>
  <si>
    <t>MASCARA COVID-19</t>
  </si>
  <si>
    <t>PET CRISTAL 720 x 300</t>
  </si>
  <si>
    <t>CAJA Nº 10</t>
  </si>
  <si>
    <t>BOLSAS DE 70 X 50</t>
  </si>
  <si>
    <t>MUFFINS X 4</t>
  </si>
  <si>
    <t>MUFFINS X 6</t>
  </si>
  <si>
    <t>NEW SHAPE</t>
  </si>
  <si>
    <t>UNICLEAR CRISTAL OPS 679 x 200</t>
  </si>
  <si>
    <t>PALMERITA X 150 INVERTIDA OPS</t>
  </si>
  <si>
    <t>UNICLEAR CRISTAL OPS 510 x 350</t>
  </si>
  <si>
    <t>PALMERITA X 150 INVERTIDA PAI</t>
  </si>
  <si>
    <t>PAI BLANCO 510 x 350</t>
  </si>
  <si>
    <t>PALMERITA X 150 NUEVA OPS</t>
  </si>
  <si>
    <t>PALMERITA X 150 NUEVA PAI</t>
  </si>
  <si>
    <t>PALMERITA X 150 OPS</t>
  </si>
  <si>
    <t>PALMERITA X 150 PAI</t>
  </si>
  <si>
    <t>PORCION CHICA</t>
  </si>
  <si>
    <t>PORCION CHICA OPS</t>
  </si>
  <si>
    <t>PORCION GRANDE</t>
  </si>
  <si>
    <t>PET CRISTAL 580 x 300</t>
  </si>
  <si>
    <t>PORCION GRANDE OPS</t>
  </si>
  <si>
    <t>POTE PLATO VOLADOR</t>
  </si>
  <si>
    <t>PET/PE</t>
  </si>
  <si>
    <t>PET/PE CRISTAL 570 x 500</t>
  </si>
  <si>
    <t>POTE PLATO VOLADOR CHICO</t>
  </si>
  <si>
    <t>SABORISIMA</t>
  </si>
  <si>
    <t>SABORISIMA OPS</t>
  </si>
  <si>
    <t>SABORISIMA PAI</t>
  </si>
  <si>
    <t>SEMOLADAS X 450 PAI</t>
  </si>
  <si>
    <t>SEPARADOR DE INGREDIENTES</t>
  </si>
  <si>
    <t>3 x 250 + 1 x 100</t>
  </si>
  <si>
    <t>STEAM FRESH</t>
  </si>
  <si>
    <t>SUSHI TAPA GRANDE OPS</t>
  </si>
  <si>
    <t>SUSHI TAPA GRANDE PVC</t>
  </si>
  <si>
    <t>PVC CRISTAL 500 x 350</t>
  </si>
  <si>
    <t>TAPA 25 OZ</t>
  </si>
  <si>
    <t>CAJA SOLUPLEX 101 (25 OZ)</t>
  </si>
  <si>
    <t>TAPA 50 OZ</t>
  </si>
  <si>
    <t>CAJA SOLUPLEX 103 (50 OZ)</t>
  </si>
  <si>
    <t>TAPA 50 OZ HFC</t>
  </si>
  <si>
    <t>TAPA 50 OZ PAI NEGRO</t>
  </si>
  <si>
    <t>PAI NEGRO 560 x 300</t>
  </si>
  <si>
    <t>TAPA 50 OZ PARA DIP</t>
  </si>
  <si>
    <t>CAJA SOLUPLEX 104 (50 OZ P/DIP)</t>
  </si>
  <si>
    <t>TAPA 50 OZ PERTUTTI</t>
  </si>
  <si>
    <t>TAPA EMPANADA OPS</t>
  </si>
  <si>
    <t>TOP 3</t>
  </si>
  <si>
    <t>TRAP BULK</t>
  </si>
  <si>
    <t>TRAP BULK X 140</t>
  </si>
  <si>
    <t>TRAPEZOIDE DESMOLDE KALEU</t>
  </si>
  <si>
    <t>TRAPEZOIDE X 4 KALEU</t>
  </si>
  <si>
    <t>TRAPEZOIDE X 400 GRS.</t>
  </si>
  <si>
    <t>TRIANGULITO X 150 NUEVO OPS</t>
  </si>
  <si>
    <t>TRIANGULITO X 150 NUEVO PAI</t>
  </si>
  <si>
    <t>TRIANGULITO X 150 OPS</t>
  </si>
  <si>
    <t>UNICLEAR CRISTAL OPS 530 x 200</t>
  </si>
  <si>
    <t>TRIANGULITO X 200 NUEVO OPS</t>
  </si>
  <si>
    <t>TRIANGULITO X 250</t>
  </si>
  <si>
    <t>TRIANGULITO X 250 OPS</t>
  </si>
  <si>
    <t>UNICLEAR CRISTAL OPS 530 x 300</t>
  </si>
  <si>
    <t>TRIANGULITO X 250 OPS (400M)</t>
  </si>
  <si>
    <t>TRIANGULITO X 250 PAI</t>
  </si>
  <si>
    <t>PAI BLANCO 530 x 300</t>
  </si>
  <si>
    <t>Z 105 OVALADA BASE OPS</t>
  </si>
  <si>
    <t>Z 105 OVALADA BASE PAI BLANCO</t>
  </si>
  <si>
    <t>Z 105 OVALADA BASE PAI NEGRO</t>
  </si>
  <si>
    <t>PAI NEGRO 600 x 300</t>
  </si>
  <si>
    <t>Z 105 OVALADA TAPA OPS</t>
  </si>
  <si>
    <t>Z T 2200 / 2205</t>
  </si>
  <si>
    <t>Z T 2200 / 2210</t>
  </si>
  <si>
    <t>Z T 2200 BASE NEGRO</t>
  </si>
  <si>
    <t>PAI NEGRO 550 x 350</t>
  </si>
  <si>
    <t>Z T 2200 BASE NEGRO X 100</t>
  </si>
  <si>
    <t>Z T 2205 TAPA</t>
  </si>
  <si>
    <t>Z T 2205 TAPA OPS</t>
  </si>
  <si>
    <t>Z T 2205 TAPA X 100</t>
  </si>
  <si>
    <t>Z T 2210 TAPA</t>
  </si>
  <si>
    <t>PVC CRISTAL 540 x 450</t>
  </si>
  <si>
    <t>Z T 2210 TAPA OPS</t>
  </si>
  <si>
    <t>Z T 2210 TAPA X 100</t>
  </si>
  <si>
    <t>Z T 7</t>
  </si>
  <si>
    <t>PET CRISTAL 560 x 350</t>
  </si>
  <si>
    <t>Z T 7 (BRASCA)</t>
  </si>
  <si>
    <t>PVC CRISTAL 560 x 400</t>
  </si>
  <si>
    <t>6,1 / 6,4</t>
  </si>
  <si>
    <t>14/15</t>
  </si>
  <si>
    <t>1,6 / 1,4</t>
  </si>
  <si>
    <t>0,3 / 0,2</t>
  </si>
  <si>
    <t>1,6 / 1,5</t>
  </si>
  <si>
    <t>0,55 / 0,7</t>
  </si>
  <si>
    <t>0,14 / 0,17</t>
  </si>
  <si>
    <t>0,25 / 0,21</t>
  </si>
  <si>
    <t>0,5 / 0,45</t>
  </si>
  <si>
    <t>0,3 / 0,3</t>
  </si>
  <si>
    <t>5,9 / 5,6</t>
  </si>
  <si>
    <t>51 / 49</t>
  </si>
  <si>
    <t>107 / 120</t>
  </si>
  <si>
    <t>107 / 107</t>
  </si>
  <si>
    <t>106 /107</t>
  </si>
  <si>
    <t>44 / 50</t>
  </si>
  <si>
    <t>291 / 292</t>
  </si>
  <si>
    <t>700 / 1000</t>
  </si>
  <si>
    <t>Z T 7 BRASCA</t>
  </si>
  <si>
    <t>Z T 7 NUEVA OPS</t>
  </si>
  <si>
    <t>UNICLEAR CRISTAL OPS 560 x 350</t>
  </si>
  <si>
    <t>Z T 8</t>
  </si>
  <si>
    <t>Z T 8 NUEVA OPS</t>
  </si>
  <si>
    <t>PET CRISTAL 520 x 250</t>
  </si>
  <si>
    <t>CAJA SOLUPLEX 101(25 OZ)</t>
  </si>
  <si>
    <t xml:space="preserve">z </t>
  </si>
  <si>
    <t>Fecha</t>
  </si>
  <si>
    <t>Heating Time</t>
  </si>
  <si>
    <t>Heating Delay</t>
  </si>
  <si>
    <t>Up Model Time</t>
  </si>
  <si>
    <t>Up Drain</t>
  </si>
  <si>
    <t>Main Vaccum Tine</t>
  </si>
  <si>
    <t>Caccum Delay</t>
  </si>
  <si>
    <t>Spraying Time</t>
  </si>
  <si>
    <t>Cooling Time</t>
  </si>
  <si>
    <t>Stripping time</t>
  </si>
  <si>
    <t>Down model Time</t>
  </si>
  <si>
    <t>Intermitent sptripping</t>
  </si>
  <si>
    <t>Ciclo</t>
  </si>
  <si>
    <t>Largo Plancha 1</t>
  </si>
  <si>
    <t>Largo Plancha 2</t>
  </si>
  <si>
    <t>Largo Plancha 3</t>
  </si>
  <si>
    <t>Largo Plancha 4</t>
  </si>
  <si>
    <t>Recorrido Horno 1</t>
  </si>
  <si>
    <t>Recorrido Horno 2</t>
  </si>
  <si>
    <t>Recorrido Horno 3</t>
  </si>
  <si>
    <t>Recorrido Horno 4</t>
  </si>
  <si>
    <t>Temperatura</t>
  </si>
  <si>
    <t>ti</t>
  </si>
  <si>
    <t>CUBITOS X 40</t>
  </si>
  <si>
    <t>M-SHAPE</t>
  </si>
  <si>
    <t>PET CRISTAL 860 x 470</t>
  </si>
  <si>
    <t>STEAM FRESH GRANDE</t>
  </si>
  <si>
    <t>PAI BLANCO 600 x 270</t>
  </si>
  <si>
    <t>ALFAJOR X 75 GRS. NEGRO</t>
  </si>
  <si>
    <t>PAI NEGRO 630 x 200</t>
  </si>
  <si>
    <t>ALFAJOR LIA CHICO PAI</t>
  </si>
  <si>
    <t>ALFAJOR X 75 GRS. BLANCO</t>
  </si>
  <si>
    <t>PAI BLANCO 630 x 200</t>
  </si>
  <si>
    <t>ANILLOS DOBLES</t>
  </si>
  <si>
    <t>ANILLOS SIMPLES</t>
  </si>
  <si>
    <t>ART. 1570 POTE</t>
  </si>
  <si>
    <t>PVC CRISTAL 600 x 400</t>
  </si>
  <si>
    <t>ART. 1 BASE</t>
  </si>
  <si>
    <t>PVC CRISTAL 550 x 400</t>
  </si>
  <si>
    <t>BURBUJA N° 1 F.V. PESTAÑEADA</t>
  </si>
  <si>
    <t>PVC CRISTAL 650 x 400</t>
  </si>
  <si>
    <t>BURBUJA N° 2 F.V. PESTAÑEADA</t>
  </si>
  <si>
    <t>ART. 1 BASE Y TAPA</t>
  </si>
  <si>
    <t>ART. 1 TAPA</t>
  </si>
  <si>
    <t>PVC CRISTAL 550 x 250</t>
  </si>
  <si>
    <t>BURBUJA N° 3 F.V. PESTAÑEADA</t>
  </si>
  <si>
    <t>PVC CRISTAL 575 x 400</t>
  </si>
  <si>
    <t>BURBUJA N° 4 F.V. PESTAÑEADA</t>
  </si>
  <si>
    <t>BURBUJA N° 5 F.V. PESTAÑEADA</t>
  </si>
  <si>
    <t>BURBUJA N° 6 F.V. PESTAÑEADA</t>
  </si>
  <si>
    <t>BLISTER BRACKETS BASE BLANCO</t>
  </si>
  <si>
    <t>PAI BLANCO 600 x 500</t>
  </si>
  <si>
    <t>BLISTER BRACKETS BASE NEGRO</t>
  </si>
  <si>
    <t>PAI NEGRO 600 x 600</t>
  </si>
  <si>
    <t>BLISTER BRACKETS TAPA</t>
  </si>
  <si>
    <t>PVC CRISTAL 600 x 300</t>
  </si>
  <si>
    <t>BLISTER JERINGA VERDE</t>
  </si>
  <si>
    <t>PVC CRISTAL 600 x 250</t>
  </si>
  <si>
    <t>6 paquetes de 280 + 20 unid x caja</t>
  </si>
  <si>
    <t>BURBUJA N° 7 F.V. PESTAÑEADA</t>
  </si>
  <si>
    <t>BURBUJA N° 23 F.V. PESTAÑEADA</t>
  </si>
  <si>
    <t>ART. 2 BASE BAJA</t>
  </si>
  <si>
    <t>PVC CRISTAL 550 x 350</t>
  </si>
  <si>
    <t>BURBUJA N° 26 F.V. PESTAÑEADA</t>
  </si>
  <si>
    <t>ART. 2 TAPA</t>
  </si>
  <si>
    <t>BURBUJA N° 27 F.V. PESTAÑEADA</t>
  </si>
  <si>
    <t>ART. 3 BASE</t>
  </si>
  <si>
    <t>PVC CRISTAL 600 x 350</t>
  </si>
  <si>
    <t>ART. 3 BASE CON SUPLEMENTO NEGRO</t>
  </si>
  <si>
    <t>ART. 3 BASE CON DIVISIONES NEGRO</t>
  </si>
  <si>
    <t>BURBUJA N° 28 F.V. PESTAÑEADA</t>
  </si>
  <si>
    <t>BURBUJA N° 29 F.V. PESTAÑEADA</t>
  </si>
  <si>
    <t>BURBUJA N° 30 F.V. PESTAÑEADA</t>
  </si>
  <si>
    <t>TECLASTAR PROLONGADOR MULTIPLE  PESTAÑEADO</t>
  </si>
  <si>
    <t>ART. 3 TAPA ALTA</t>
  </si>
  <si>
    <t>ALFAJOR X 75 GRS. MARRON</t>
  </si>
  <si>
    <t>PAI MARRON 630 x 200</t>
  </si>
  <si>
    <t>ART. 9</t>
  </si>
  <si>
    <t>BANDEJA N° 17 F.V. NEGRO</t>
  </si>
  <si>
    <t>PAI NEGRO 550 x 1400</t>
  </si>
  <si>
    <t>BANDEJA N° 46 F.V. NEGRO</t>
  </si>
  <si>
    <t>PAI NEGRO 600 x 1400</t>
  </si>
  <si>
    <t>ART. 212 CHIKIMASA X 2</t>
  </si>
  <si>
    <t>PVC CRISTAL 675 x 300</t>
  </si>
  <si>
    <t>ART. 214 CHIKIMASA X 4</t>
  </si>
  <si>
    <t>ART. 251-261 MAXIPOTE</t>
  </si>
  <si>
    <t>BANDEJA TRAMPA PARA RATAS</t>
  </si>
  <si>
    <t>BAND. PORTATUBOS MULTIMARCA DULCES</t>
  </si>
  <si>
    <t>PAI AZUL 560 x 700</t>
  </si>
  <si>
    <t>BAND. PORTATUBOS MULTIMARCA SALADAS</t>
  </si>
  <si>
    <t>FRENTE PILLOW PEPITOS CHISPAS</t>
  </si>
  <si>
    <t>PAI AZUL 600 x 900</t>
  </si>
  <si>
    <t>FRENTE PILLOW MELBA</t>
  </si>
  <si>
    <t>PAI ROJO 600 x 900</t>
  </si>
  <si>
    <t>FRENTE CLUB SOCIAL X 5</t>
  </si>
  <si>
    <t>PAI ROJO 675 x 900</t>
  </si>
  <si>
    <t>BANDEJA PILLOW PEPITOS CHISPAS</t>
  </si>
  <si>
    <t>PAI AZUL 700 x 1300</t>
  </si>
  <si>
    <t>BANDEJA PILLOW MELBA</t>
  </si>
  <si>
    <t>PAI ROJO 700 x 1300</t>
  </si>
  <si>
    <t>BANDEJA CLUB SOCIAL X 5</t>
  </si>
  <si>
    <t>ART. 114 UÑAS</t>
  </si>
  <si>
    <t>PVC CRISTAL 600 x 200</t>
  </si>
  <si>
    <t>ART. 115 UÑAS</t>
  </si>
  <si>
    <t>ART. 118 UÑAS</t>
  </si>
  <si>
    <t>AVG</t>
  </si>
  <si>
    <t>ZW-500 (550M)</t>
  </si>
  <si>
    <t>PET CRISTAL 660 x 550</t>
  </si>
  <si>
    <t>ZV-40</t>
  </si>
  <si>
    <t>PET CRISTAL 635 x 450</t>
  </si>
  <si>
    <t>ZV-60</t>
  </si>
  <si>
    <t>PET CRISTAL 635 x 500</t>
  </si>
  <si>
    <t>ZW-500</t>
  </si>
  <si>
    <t>PET CRISTAL 660 x 500</t>
  </si>
  <si>
    <t>BANDEJA PARA AZUFRE EN BARRA</t>
  </si>
  <si>
    <t>PVC CRISTAL 525 x 250</t>
  </si>
  <si>
    <t>BANDEJA 3 DIVISIONES NEGRO</t>
  </si>
  <si>
    <t>BANDEJA 4 DIVISIONES NEGRO</t>
  </si>
  <si>
    <t>BANDEJA 4 QUESOS</t>
  </si>
  <si>
    <t>PAI NEGRO 700 x 500</t>
  </si>
  <si>
    <t>BANDEJA 3 DIVISIONES BLANCO</t>
  </si>
  <si>
    <t>PAI BLANCO 650 x 350</t>
  </si>
  <si>
    <t>ZC-61</t>
  </si>
  <si>
    <t>PET CRISTAL 535 x 550</t>
  </si>
  <si>
    <t>ZC-83</t>
  </si>
  <si>
    <t>PET CRISTAL 535 x 600</t>
  </si>
  <si>
    <t>BANDEJA 4 DIVISIONES BLANCO</t>
  </si>
  <si>
    <t>PAI BLANCO 600 x 350</t>
  </si>
  <si>
    <t>BLISTER CORAZON X 4</t>
  </si>
  <si>
    <t>PAI MARRON 630 x 250</t>
  </si>
  <si>
    <t>BANDEJA 6 DIVISIONES NEGRO</t>
  </si>
  <si>
    <t>BLISTER SURTIDO 2 DIVISIONES</t>
  </si>
  <si>
    <t>PAI MARRON 650 x 300</t>
  </si>
  <si>
    <t>BLISTER SURTIDO 3 DIVISIONES</t>
  </si>
  <si>
    <t>BLISTER BOMBONES X 12</t>
  </si>
  <si>
    <t>BANDEJA PARA PAN X 560 GRS. PVC</t>
  </si>
  <si>
    <t>BAND. 505 FOCACHA OVALADA BLANCA</t>
  </si>
  <si>
    <t>PAI BLANCO 630 x 350</t>
  </si>
  <si>
    <t>BAND. 505 FOCACHA RECTANGULAR</t>
  </si>
  <si>
    <t>BAND. 505 FOCACHA OVALADA NEGRA</t>
  </si>
  <si>
    <t>PAI NEGRO 630 x 350</t>
  </si>
  <si>
    <t>BAND. 505 MIGA GRANDE</t>
  </si>
  <si>
    <t>PAI BLANCO 650 x 270</t>
  </si>
  <si>
    <t>BAND. 505 MIGA CHICO</t>
  </si>
  <si>
    <t>PAI BLANCO 530 x 250</t>
  </si>
  <si>
    <t>BAND. 505 MIGA CHICO SIN LOGO</t>
  </si>
  <si>
    <t>PAI BLANCO 600 x 250</t>
  </si>
  <si>
    <t>BAND. 505 MIGA GRANDE SIN LOGO</t>
  </si>
  <si>
    <t>BAND. 505 PIZZA CUADRADA BLANCA</t>
  </si>
  <si>
    <t>PAI BLANCO 650 x 250</t>
  </si>
  <si>
    <t>BAND. 505 PIZZA CUADRADA NEGRA</t>
  </si>
  <si>
    <t>BANDEJA N° 10 F.V. NEGRO</t>
  </si>
  <si>
    <t>BANDEJA N° 14 F.V. NEGRO</t>
  </si>
  <si>
    <t>VELA NUMERO PARA CUMPLEAÑOS</t>
  </si>
  <si>
    <t>PVC BLANCO</t>
  </si>
  <si>
    <t>PVC CRISTAL 575 x 170</t>
  </si>
  <si>
    <t>BANDEJA N° 16 F.V. VERDE</t>
  </si>
  <si>
    <t>PAI VERDE 600 x 1400</t>
  </si>
  <si>
    <t>BANDEJA N° 18 F.V. NEGRO</t>
  </si>
  <si>
    <t>BANDEJA N° 19 F.V. ROJO</t>
  </si>
  <si>
    <t>PAI ROJO 600 x 1400</t>
  </si>
  <si>
    <t>Tomás</t>
  </si>
  <si>
    <t>12 VELAS DE NOCHE (PVC)</t>
  </si>
  <si>
    <t>12 VELAS FINITAS (PVC)</t>
  </si>
  <si>
    <t>BANDEJA N° 22 F.V. VERDE</t>
  </si>
  <si>
    <t>BANDEJA N° 111 F.V. VERDE</t>
  </si>
  <si>
    <t>BANDEJA N° 24 F.V. NEGRO</t>
  </si>
  <si>
    <t>BANDEJA N° 29 F.V. VERDE</t>
  </si>
  <si>
    <t>BANDEJA N° 38.0163 F.V. BASE</t>
  </si>
  <si>
    <t>BANDEJA N° 38.0163 F.V. TAPA</t>
  </si>
  <si>
    <t>BANDEJA N° 49 F.V. NEGRO</t>
  </si>
  <si>
    <t>BANDEJA N° 5 F.V. VERDE</t>
  </si>
  <si>
    <t>BANDEJA N° 50 F.V. NEGRO</t>
  </si>
  <si>
    <t>BANDEJA N° 51 F.V. AZUL</t>
  </si>
  <si>
    <t>PAI AZUL 600 x 1400</t>
  </si>
  <si>
    <t>BANDEJA N° 51 F.V. NEGRO</t>
  </si>
  <si>
    <t>BANDEJA N° 52 F.V. NEGRO</t>
  </si>
  <si>
    <t>BOMBON X 15</t>
  </si>
  <si>
    <t>PAI MARRON 550 x 300</t>
  </si>
  <si>
    <t>BANDEJA N° 57 F.V. NEGRO</t>
  </si>
  <si>
    <t>BANDEJA N° 65 F.V. NEGRO</t>
  </si>
  <si>
    <t>BANDEJA N° 68 F.V. NEGRO</t>
  </si>
  <si>
    <t>BANDEJA N° 69 F.V. NEGRO</t>
  </si>
  <si>
    <t>BANDEJA N° 70 F.V. NEGRO</t>
  </si>
  <si>
    <t>BANDEJA N° 92 F.V. NEGRO</t>
  </si>
  <si>
    <t>BANDEJA N° 29 F.V. NEGRO</t>
  </si>
  <si>
    <t>BANDEJA N° 68 F.V. AMARILLO</t>
  </si>
  <si>
    <t>PAI AMARILLO 600 x 1400</t>
  </si>
  <si>
    <t>BANDEJA N° 91 F.V. NEGRO</t>
  </si>
  <si>
    <t>BANDEJA PARA ALFAJORES CON TAPA</t>
  </si>
  <si>
    <t>BANDEJA MANA BAÑADA</t>
  </si>
  <si>
    <t>PAI AMARILLO 650 x 900</t>
  </si>
  <si>
    <t>BANDEJA PARA PICADAS</t>
  </si>
  <si>
    <t>PAI BORDO 650 x 400</t>
  </si>
  <si>
    <t>CAMPANA BASE NEGRO</t>
  </si>
  <si>
    <t>CAMPANA TAPA</t>
  </si>
  <si>
    <t>PVC CRISTAL 550 x 300</t>
  </si>
  <si>
    <t>BLISTER CRIBA</t>
  </si>
  <si>
    <t>BARTOLITAS PAI</t>
  </si>
  <si>
    <t>BIZCOCHUELO</t>
  </si>
  <si>
    <t>PVC CRISTAL 550 x 200</t>
  </si>
  <si>
    <t>BIZCOCHUELO 20 X 20</t>
  </si>
  <si>
    <t>BIZCOCHUELO REDONDO TRICAPA</t>
  </si>
  <si>
    <t>BAND. PORTATUBOS MILKA</t>
  </si>
  <si>
    <t>PAI LILA 600 x 800</t>
  </si>
  <si>
    <t>BOMBON X 9 (123 X 128)</t>
  </si>
  <si>
    <t>BOMBON ORO BASE NUEVO</t>
  </si>
  <si>
    <t>BOMBON X 12 (87,5 X 239,5)</t>
  </si>
  <si>
    <t>BOMBON ORO TAPA NUEVO</t>
  </si>
  <si>
    <t>BOMBON SURTIDO X 340 GRS.</t>
  </si>
  <si>
    <t>PAI MARRON 630 x 400</t>
  </si>
  <si>
    <t>BOMBON X 24 KOCHI</t>
  </si>
  <si>
    <t>PAI MARRON 600 x 300</t>
  </si>
  <si>
    <t>BOMBON X 264 DORADO</t>
  </si>
  <si>
    <t>PVC DORADO 600 x 250</t>
  </si>
  <si>
    <t>BOMBON X 264 PLATEADO</t>
  </si>
  <si>
    <t>PVC PLATEADO 600 x 250</t>
  </si>
  <si>
    <t>BOTELLITA BASE</t>
  </si>
  <si>
    <t>BOTELLITA TAPA</t>
  </si>
  <si>
    <t>BOTIQUIN EMBLISTADO CHICO</t>
  </si>
  <si>
    <t>BOTIQUIN EMBLISTADO GRANDE</t>
  </si>
  <si>
    <t>PVC CRISTAL 625 x 250</t>
  </si>
  <si>
    <t>BOMBON X 16 (160,5 X 170,5)</t>
  </si>
  <si>
    <t>BOX LENOX CHICO</t>
  </si>
  <si>
    <t>BOX LENOX GRANDE</t>
  </si>
  <si>
    <t>10 paquetes de 144+10 unid x caja</t>
  </si>
  <si>
    <t>BOX MARINEL N° 1</t>
  </si>
  <si>
    <t>PVC CRISTAL 525 x 200</t>
  </si>
  <si>
    <t>BOX MARINEL N° 2</t>
  </si>
  <si>
    <t>BOX MARINEL N° 3</t>
  </si>
  <si>
    <t>BOX MARINEL N° 4</t>
  </si>
  <si>
    <t>BOX TARUGOS CHICO</t>
  </si>
  <si>
    <t>BOX TARUGOS GRANDE</t>
  </si>
  <si>
    <t>BOX TIGRE</t>
  </si>
  <si>
    <t>BUDIN X 12</t>
  </si>
  <si>
    <t>BUDIN X 6 PAI</t>
  </si>
  <si>
    <t>BURBUJA N° 1 F.V.</t>
  </si>
  <si>
    <t>BURBUJA N° 2 F.V.</t>
  </si>
  <si>
    <t>BURBUJA N° 3 F.V.</t>
  </si>
  <si>
    <t>BURBUJA N° 4 F.V.</t>
  </si>
  <si>
    <t>BURBUJA N° 5 F.V.</t>
  </si>
  <si>
    <t>BURBUJA N° 6 F.V.</t>
  </si>
  <si>
    <t>BURBUJA N° 7 F.V.</t>
  </si>
  <si>
    <t>BURBUJA N° 9 F.V.</t>
  </si>
  <si>
    <t>BURBUJA N° 11 ALTA SIFAP</t>
  </si>
  <si>
    <t>BURBUJA N° 11 BAJA SIFAP</t>
  </si>
  <si>
    <t>BURBUJA N° 11 F.V.</t>
  </si>
  <si>
    <t>BURBUJA N° 15 F.V.</t>
  </si>
  <si>
    <t>PVC CRISTAL 525 x 300+</t>
  </si>
  <si>
    <t>BURBUJA N° 15 SIFAP</t>
  </si>
  <si>
    <t>BURBUJA N° 16 F.V.</t>
  </si>
  <si>
    <t>BURBUJA N° 17 F.V.</t>
  </si>
  <si>
    <t>PVC CRISTAL 650 x 300</t>
  </si>
  <si>
    <t>BURBUJA N° 18 F.V.</t>
  </si>
  <si>
    <t>BURBUJA N° 19 F.V.</t>
  </si>
  <si>
    <t>BURBUJA N° 22 F.V.</t>
  </si>
  <si>
    <t>BURBUJA N° 23 F.V.</t>
  </si>
  <si>
    <t>BURBUJA N° 24 F.V.</t>
  </si>
  <si>
    <t>BURBUJA N° 25 F.V.</t>
  </si>
  <si>
    <t>BURBUJA N° 26 F.V.</t>
  </si>
  <si>
    <t>BURBUJA N° 27 F.V.</t>
  </si>
  <si>
    <t>BURBUJA N° 28 F.V.</t>
  </si>
  <si>
    <t>BURBUJA N° 29 F.V.</t>
  </si>
  <si>
    <t>BURBUJA N° 30 F.V.</t>
  </si>
  <si>
    <t>BURBUJA N° 31 F.V.</t>
  </si>
  <si>
    <t>BANDEJA N° 60 F.V. NEGRO</t>
  </si>
  <si>
    <t>BANDEJA N° 62 F.V. NEGRO</t>
  </si>
  <si>
    <t>BURBUJA N° 13 F.V.</t>
  </si>
  <si>
    <t>BURBUJA TIVOLI</t>
  </si>
  <si>
    <t>BURBUJA N° 14 F.V.</t>
  </si>
  <si>
    <t>CASA/CAMION/RELOJ FARAONI</t>
  </si>
  <si>
    <t>CEPILLO COMPAC NIÑOS (838)</t>
  </si>
  <si>
    <t>CEPILLO NUEVO CEPILLO (837)</t>
  </si>
  <si>
    <t>MASSAGE X 1 (839)</t>
  </si>
  <si>
    <t>CERICET PVC (DISCONTINUADO)</t>
  </si>
  <si>
    <t>CHASQUI BUM</t>
  </si>
  <si>
    <t>BURBUJA PARA FRASCO ANDREA</t>
  </si>
  <si>
    <t>CAJA Nº 2/1</t>
  </si>
  <si>
    <t>Tomas</t>
  </si>
  <si>
    <t>COD. 0115-01-003</t>
  </si>
  <si>
    <t>COD. 0115-01-004</t>
  </si>
  <si>
    <t>PVC CRISTAL 625 x 200</t>
  </si>
  <si>
    <t>COD. 0115-01-005</t>
  </si>
  <si>
    <t>COD. 0115-01-006</t>
  </si>
  <si>
    <t>COD. 0115-01-010</t>
  </si>
  <si>
    <t>COD. 0115-01-011</t>
  </si>
  <si>
    <t>COD. 0115-01-012</t>
  </si>
  <si>
    <t>COD. 0115-01-014</t>
  </si>
  <si>
    <t>COLONIA CAROYA PAI BLANCO</t>
  </si>
  <si>
    <t>COLONIA CAROYA PAI NEGRO</t>
  </si>
  <si>
    <t>COMPAC ADULTO (841)</t>
  </si>
  <si>
    <t>COMPAC ADULTO X 3 (892)</t>
  </si>
  <si>
    <t>COMPAC DUO (836)</t>
  </si>
  <si>
    <t>COMPAC JUNIOR X 1 (840)</t>
  </si>
  <si>
    <t>CONOS X 12</t>
  </si>
  <si>
    <t>PAI BLANCO 630 x 300</t>
  </si>
  <si>
    <t>CONOS X 6</t>
  </si>
  <si>
    <t>CONSOLADORES X 3</t>
  </si>
  <si>
    <t>CONTENEDOR 2 CHINOS</t>
  </si>
  <si>
    <t>PAI BLANCO 630 x 400</t>
  </si>
  <si>
    <t>COPETIN</t>
  </si>
  <si>
    <t>CUBANITOS X 6 BASE</t>
  </si>
  <si>
    <t>CUBANITOS X 6 TAPA</t>
  </si>
  <si>
    <t>CUNA 17-70</t>
  </si>
  <si>
    <t>BANDEJA PARA TABLET</t>
  </si>
  <si>
    <t>CUNA DOBLE GRANDE PAI</t>
  </si>
  <si>
    <t>CUNA X 60 GRS.</t>
  </si>
  <si>
    <t>CUNA X 90 GRS.</t>
  </si>
  <si>
    <t>BANDEJA NESTLE</t>
  </si>
  <si>
    <t>BANDEJA ARCOR</t>
  </si>
  <si>
    <t>PAI ROJO 700 x 900</t>
  </si>
  <si>
    <t>HUEVOS X 6</t>
  </si>
  <si>
    <t>PVC CRISTAL 500 x 200</t>
  </si>
  <si>
    <t>DOBLE P/LIGHT PAI (189)</t>
  </si>
  <si>
    <t>CUNA X 90 GRS. PVC</t>
  </si>
  <si>
    <t>DULCYPAS X 12 PAI</t>
  </si>
  <si>
    <t>DULKRE X 500</t>
  </si>
  <si>
    <t>DUO ARRAYANES (856)</t>
  </si>
  <si>
    <t>DUO MASSAGE (894)</t>
  </si>
  <si>
    <t>EMPANADA CHICA PVC</t>
  </si>
  <si>
    <t>EMPANADA CHINA</t>
  </si>
  <si>
    <t>PAI BLANCO 600 x 450</t>
  </si>
  <si>
    <t>EMPANADA GRANDE</t>
  </si>
  <si>
    <t>ENSALADERA PETALOS BASE NEGRO</t>
  </si>
  <si>
    <t>ESMALTE FRENCH MANICURE DOBLE (054)</t>
  </si>
  <si>
    <t>ESMALTE CADILINE C/TRATAMIENTO (040)</t>
  </si>
  <si>
    <t>ESMALTE CALCIUM BURBUJA SIMPLE (041)</t>
  </si>
  <si>
    <t>ESMALTE GOYITA (043)</t>
  </si>
  <si>
    <t>ESMALTE LEADE PRICE (860)</t>
  </si>
  <si>
    <t>ESMALTE QUICK COLOR (042)</t>
  </si>
  <si>
    <t>ESQUINERO FERRUM BASE Y TAPA</t>
  </si>
  <si>
    <t>FLORES CON TAPA</t>
  </si>
  <si>
    <t>FRUTILLA X 4200 BASE</t>
  </si>
  <si>
    <t>FRUTILLA X 4200 TAPA</t>
  </si>
  <si>
    <t>BANDEJA PARA EMPANADAS</t>
  </si>
  <si>
    <t>HILO DELTAL (893)</t>
  </si>
  <si>
    <t>HILOS X 10 CACERES</t>
  </si>
  <si>
    <t>ZW-500 (600M)</t>
  </si>
  <si>
    <t>PET CRISTAL 660 x 600</t>
  </si>
  <si>
    <t>HUEVO SUPER JACK</t>
  </si>
  <si>
    <t>HUEVO SUPER JACK BASE</t>
  </si>
  <si>
    <t>INTERDENTAL (032)</t>
  </si>
  <si>
    <t>KIT ACCESORIO LINEA 15 BASE</t>
  </si>
  <si>
    <t>PAI NEGRO 600 x 240</t>
  </si>
  <si>
    <t>KIT ACCESORIO LINEA 15 TAPA</t>
  </si>
  <si>
    <t>PVC CRISTAL 500 x 400</t>
  </si>
  <si>
    <t>KIT ACCESORIO LINEA 42 BASE</t>
  </si>
  <si>
    <t>KIT ACCESORIO LINEA 42 TAPA</t>
  </si>
  <si>
    <t>KIT ACCESORIO LINEA 46 BASE</t>
  </si>
  <si>
    <t>PAI BLANCO 600 x 1400</t>
  </si>
  <si>
    <t>KIT ACCESORIO LINEA 46 TAPA</t>
  </si>
  <si>
    <t>KIT ACCESORIO LINEA 57 BASE</t>
  </si>
  <si>
    <t>KIT ACCESORIO LINEA 69 BASE</t>
  </si>
  <si>
    <t>KIT ACCESORIO LINEA 69 TAPA</t>
  </si>
  <si>
    <t>KIT ACCESORIO LINEA 72 BASE</t>
  </si>
  <si>
    <t>KIT ACCESORIO LINEA 72 TAPA</t>
  </si>
  <si>
    <t>KIT ACCESORIO LINEA 84 BASE</t>
  </si>
  <si>
    <t>KIT ACCESORIO LINEA 84 TAPA</t>
  </si>
  <si>
    <t>KIT ACCESORIO LINEA 87 BASE</t>
  </si>
  <si>
    <t>KIT ACCESORIO LINEA 87 TAPA</t>
  </si>
  <si>
    <t>KIT HIGIENE BUCAL (853)</t>
  </si>
  <si>
    <t>KRAFT PORCELAIN</t>
  </si>
  <si>
    <t>LABIAL GUTIERREZ Nº 2</t>
  </si>
  <si>
    <t>LARGUITA X 100 PAI</t>
  </si>
  <si>
    <t>LARGUITA X 150 3 DIVISIONESPAI</t>
  </si>
  <si>
    <t>PAI MARRON 580 x 250</t>
  </si>
  <si>
    <t>8de 300         2 de 200</t>
  </si>
  <si>
    <t>LARGUITA X 150 PAI</t>
  </si>
  <si>
    <t>LARGUITA X 200 NUEVA PAI</t>
  </si>
  <si>
    <t>PAI BLANCO 680 x 300</t>
  </si>
  <si>
    <t>LARGUITA X 50 PAI</t>
  </si>
  <si>
    <t>LICORFORT PVC (DISCONTINUADO)</t>
  </si>
  <si>
    <t>MAGDALENAS X 6 PAI BLANCO (350M)</t>
  </si>
  <si>
    <t>LINEA FIX BASE</t>
  </si>
  <si>
    <t>PAI NEGRO 600 x 1100</t>
  </si>
  <si>
    <t>LINEA FIX TAPA</t>
  </si>
  <si>
    <t>LOMOS X 4</t>
  </si>
  <si>
    <t>LOMOS X 5</t>
  </si>
  <si>
    <t>LOMOS X 5 LOINS</t>
  </si>
  <si>
    <t>LOMOS X 6</t>
  </si>
  <si>
    <t>LOMOS X 8</t>
  </si>
  <si>
    <t>LOMOS X 8 SIN DIVISIONES</t>
  </si>
  <si>
    <t>MAGDALENAS X 6 PAI BLANCO (200M)</t>
  </si>
  <si>
    <t>MAGDALENAS X 6 PAI NEGRO</t>
  </si>
  <si>
    <t>MAGDALENAS X 6 PVC</t>
  </si>
  <si>
    <t>MAGDALENAS X 12</t>
  </si>
  <si>
    <t>MAGDALENAS X 6 PVC (300M)</t>
  </si>
  <si>
    <t>PVC CRISTAL 575 x 300</t>
  </si>
  <si>
    <t>MAGDALENAS X 8 BAJA PAI BLANCO</t>
  </si>
  <si>
    <t>MAGDALENAS X 8 PAI BLANCO</t>
  </si>
  <si>
    <t>MAGDALENAS X 8 PAI NEGRO</t>
  </si>
  <si>
    <t>MAMUSCHKA 4 BARRITAS</t>
  </si>
  <si>
    <t>PAI MARRON 630 x 600</t>
  </si>
  <si>
    <t>MAMUSCHKA 6 BOMBONES</t>
  </si>
  <si>
    <t>MAMUSCHKA 7 BOMBONES</t>
  </si>
  <si>
    <t>PAI NEGRO 650 x 600</t>
  </si>
  <si>
    <t>MAMUSCHKA BOMBEE MEDIANA 600</t>
  </si>
  <si>
    <t>48 / 2 unid x caja</t>
  </si>
  <si>
    <t>1 y 8</t>
  </si>
  <si>
    <t>MAMUSCHKA CERISETTE 600</t>
  </si>
  <si>
    <t>MAMUSCHKA MENTITAS 600</t>
  </si>
  <si>
    <t>MAMUSCHKA TRUFAS</t>
  </si>
  <si>
    <t>PAI NEGRO 680 x 400</t>
  </si>
  <si>
    <t>MAMUSCHKA 18 BOMBONES</t>
  </si>
  <si>
    <t>PAI MARRON 600 x 400</t>
  </si>
  <si>
    <t>MANTECADO X 6 PAI BLANCO</t>
  </si>
  <si>
    <t>MANCUSSO 199 X 212</t>
  </si>
  <si>
    <t>PVC CRISTAL 650 x 250</t>
  </si>
  <si>
    <t>MANCUSSO 128 X 288</t>
  </si>
  <si>
    <t>MANCUSSO 87,5 X 239,5</t>
  </si>
  <si>
    <t>MANCUSSO 160,5 X 170,5</t>
  </si>
  <si>
    <t>MANCUSSO 123 X 128</t>
  </si>
  <si>
    <t>MAPLE FRUTA N° 15 AZUL</t>
  </si>
  <si>
    <t>PAI AZUL 610 x 140</t>
  </si>
  <si>
    <t>MAPLE FRUTA N° 18 AZUL</t>
  </si>
  <si>
    <t>MAPLE FRUTA N° 20 AZUL</t>
  </si>
  <si>
    <t>MAPLE FRUTA N° 22 AZUL</t>
  </si>
  <si>
    <t>MAPLE FRUTA N° 23 AZUL</t>
  </si>
  <si>
    <t>MAPLE FRUTA N° 24 AZUL</t>
  </si>
  <si>
    <t>MAPLE FRUTA N° 26 AZUL</t>
  </si>
  <si>
    <t>MAPLE FRUTA N° 18 NEGRO</t>
  </si>
  <si>
    <t>PAI NEGRO 610 x 140</t>
  </si>
  <si>
    <t>MAPLE FRUTA N° 28 AZUL</t>
  </si>
  <si>
    <t>MAPLE FRUTA N° 29 AZUL</t>
  </si>
  <si>
    <t>MAPLE FRUTA N° 30 AZUL</t>
  </si>
  <si>
    <t>MAPLE FRUTA N° 32 AZUL</t>
  </si>
  <si>
    <t>x</t>
  </si>
  <si>
    <t>MAPLE FRUTA N° 35 AZUL</t>
  </si>
  <si>
    <t>MAPLE FRUTA N° 37 AZUL</t>
  </si>
  <si>
    <t>MAPLE FRUTA N° 40 AZUL</t>
  </si>
  <si>
    <t>MAPLE FRUTA N° 42 AZUL</t>
  </si>
  <si>
    <t>MAPLE FRUTA N° 45 AZUL</t>
  </si>
  <si>
    <t>MAPLE FRUTA N° 48 AZUL</t>
  </si>
  <si>
    <t>MAPLE FRUTA N° 51 AZUL</t>
  </si>
  <si>
    <t>MAPLE FRUTA N° 55 AZUL</t>
  </si>
  <si>
    <t>MAPLE FRUTA N° 59 AZUL</t>
  </si>
  <si>
    <t>MAPLE FRUTA N° 63 AZUL</t>
  </si>
  <si>
    <t>PLATO 17 CM. AZUL</t>
  </si>
  <si>
    <t>PAI AZUL 710 x 170</t>
  </si>
  <si>
    <t>CAJA Nº 0</t>
  </si>
  <si>
    <t>BOLSAS SOBRE DE 20 X 25 (PP)</t>
  </si>
  <si>
    <t>ART. 1410 PAI NEGRO</t>
  </si>
  <si>
    <t>PAI NEGRO 650 x 300</t>
  </si>
  <si>
    <t>MAPLE IFCO N° 25 AZUL</t>
  </si>
  <si>
    <t>PAI AZUL 630 x 140</t>
  </si>
  <si>
    <t>MAPLE IFCO N° 27 AZUL</t>
  </si>
  <si>
    <t>MAPLE IFCO N° 27 NEGRO</t>
  </si>
  <si>
    <t>PAI NEGRO 630 x 140</t>
  </si>
  <si>
    <t>MAPLE IFCO N° 28 NEGRO</t>
  </si>
  <si>
    <t>MAPLE IFCO N° 20 NEGRO</t>
  </si>
  <si>
    <t>MAPLE IFCO N° 25 NEGRO</t>
  </si>
  <si>
    <t>MAPLE IFCO N° 30 AZUL</t>
  </si>
  <si>
    <t>PLATO 17 CM. LILA</t>
  </si>
  <si>
    <t>PAI LILA 710 x 170</t>
  </si>
  <si>
    <t>MAPLE IFCO N° 33 AZUL</t>
  </si>
  <si>
    <t>MAPLE IFCO N° 20 AZUL</t>
  </si>
  <si>
    <t>MAPLE IFCO N° 35 AZUL</t>
  </si>
  <si>
    <t>MAPLE IFCO N° 24 AZUL</t>
  </si>
  <si>
    <t>MAPLE IFCO N° 39 AZUL</t>
  </si>
  <si>
    <t>PLATO 17 CM. NARANJA</t>
  </si>
  <si>
    <t>PAI NARANJA 710 x 170</t>
  </si>
  <si>
    <t>MAPLE IFCO N° 42 AZUL</t>
  </si>
  <si>
    <t>MAPLE IFCO N° 45 AZUL</t>
  </si>
  <si>
    <t>PLATO 17 CM. PLATEADO</t>
  </si>
  <si>
    <t>PAI PLATEADO 710 x 170</t>
  </si>
  <si>
    <t>PLATO 17 CM. AMARILLO</t>
  </si>
  <si>
    <t>PAI AMARILLO 710 x 170</t>
  </si>
  <si>
    <t>MAPLE IFCO N° 52 AZUL</t>
  </si>
  <si>
    <t>MAMUSCHKA MUÑECAS BASE</t>
  </si>
  <si>
    <t>MAMUSCHKA MUÑECAS SOPORTE</t>
  </si>
  <si>
    <t>3 Paquete x 140 + 1 x 60 unidades</t>
  </si>
  <si>
    <t>MAMUSCHKA MUÑECAS TAPA</t>
  </si>
  <si>
    <t>MASCIALINO LABIAL Y PERFUME CRISTAL</t>
  </si>
  <si>
    <t>MASCIALINO PERFUME CHICO</t>
  </si>
  <si>
    <t>PVC CRISTAL 700 x 500</t>
  </si>
  <si>
    <t>MASILLA</t>
  </si>
  <si>
    <t>BANDEJA TOFU</t>
  </si>
  <si>
    <t>PP BLANCO 635 x 550</t>
  </si>
  <si>
    <t>OSITOS X 5</t>
  </si>
  <si>
    <t>PAI MARRON 610 x 250</t>
  </si>
  <si>
    <t>PLATO 17 CM. NEGRO</t>
  </si>
  <si>
    <t>PAI NEGRO 710 x 170</t>
  </si>
  <si>
    <t>PALMERITA X 200 NUEVA PAI</t>
  </si>
  <si>
    <t>PANTYMED (1) CHICA</t>
  </si>
  <si>
    <t>PANTYMED (2) MEDIANA</t>
  </si>
  <si>
    <t>PANTYMED 2 1/2</t>
  </si>
  <si>
    <t>PANTYMED GRANDE NUEVO</t>
  </si>
  <si>
    <t>PVC CRISTAL 700 x 400</t>
  </si>
  <si>
    <t>PLANTILLA AMORT. IMPACTO GRANDE</t>
  </si>
  <si>
    <t>PVC CRISTAL 650 x 350</t>
  </si>
  <si>
    <t>PLANTILLA AMORT. IMPACTO MEDIANA</t>
  </si>
  <si>
    <t>PLANTILLA BASE TALONERA</t>
  </si>
  <si>
    <t>PLANTILLA L 8246</t>
  </si>
  <si>
    <t>PLANTILLA L 8302</t>
  </si>
  <si>
    <t>PLANTILLA M 8245</t>
  </si>
  <si>
    <t>PLANTILLA M 8301</t>
  </si>
  <si>
    <t>PLANTILLA METATARSAL UNIVERSAL</t>
  </si>
  <si>
    <t>PLANTILLA PUNTERA</t>
  </si>
  <si>
    <t>PLANTILLA S 8244</t>
  </si>
  <si>
    <t>PLANTILLA S 8300</t>
  </si>
  <si>
    <t>PLANTILLA XL 8247</t>
  </si>
  <si>
    <t>PLANTILLA XL 8303</t>
  </si>
  <si>
    <t>PLANTINES</t>
  </si>
  <si>
    <t>PLATO 17 CM. CELESTE</t>
  </si>
  <si>
    <t>PAI CELESTE 710 x 170</t>
  </si>
  <si>
    <t>ZV</t>
  </si>
  <si>
    <t>PAI BLANCO 710 x 170</t>
  </si>
  <si>
    <t xml:space="preserve"> &lt;x &lt; p</t>
  </si>
  <si>
    <t>PLATO 17 CM. ROSA</t>
  </si>
  <si>
    <t>PAI ROSA 710 x 170</t>
  </si>
  <si>
    <t>PLATO 17 CM. VERDE</t>
  </si>
  <si>
    <t>PAI VERDE 710 x 170</t>
  </si>
  <si>
    <t>PLATO 22 CM. BLANCO</t>
  </si>
  <si>
    <t>PAI BLANCO 710 x 180</t>
  </si>
  <si>
    <t>BOLSAS SOBRE DE 25 X 30 (PP)</t>
  </si>
  <si>
    <t>ZC-61 (TIERRA GAUCHA)</t>
  </si>
  <si>
    <t>ZV-40 (TIERRA GAUCHA)</t>
  </si>
  <si>
    <t>ZV-60 (TIERRA GAUCHA)</t>
  </si>
  <si>
    <t>PLATO OVALADO</t>
  </si>
  <si>
    <t>ZW-500 (400M)</t>
  </si>
  <si>
    <t>PET CRISTAL 660 x 400</t>
  </si>
  <si>
    <t>PLATO PARA TORTA</t>
  </si>
  <si>
    <t>POMELO X 4</t>
  </si>
  <si>
    <t>PAI NEGRO 650 x 400</t>
  </si>
  <si>
    <t>POMO TULIPAN CHICO</t>
  </si>
  <si>
    <t>POMO TULIPAN GRANDE</t>
  </si>
  <si>
    <t>PROTESIS MAMARIA</t>
  </si>
  <si>
    <t>PAI BLANCO 600 x 600</t>
  </si>
  <si>
    <t>44.25</t>
  </si>
  <si>
    <t>PORTA CHASQUI BUM</t>
  </si>
  <si>
    <t>PAI BLANCO 600 x 1000</t>
  </si>
  <si>
    <t>POTE OCTOGONAL</t>
  </si>
  <si>
    <t>RAMA TABLETA N° 1 PAI BLANCO</t>
  </si>
  <si>
    <t>RAMA 1/4 BLANCO</t>
  </si>
  <si>
    <t>MAMUSCHKA MUÑECAS</t>
  </si>
  <si>
    <t>RAMA N° 3 BLANCO</t>
  </si>
  <si>
    <t>SPONSOR CEPAS ROJO</t>
  </si>
  <si>
    <t>PAI ROJO 670 x 900</t>
  </si>
  <si>
    <t>SPONSOR CEPAS VERDE</t>
  </si>
  <si>
    <t>PAI VERDE 670 x 900</t>
  </si>
  <si>
    <t>RAMA TABLETA (CUNA DE RAMA)</t>
  </si>
  <si>
    <t>17 PAQ de 240 + 20 UNI  X CAJA</t>
  </si>
  <si>
    <t>RAMA TABLETA N° 1 (CUNA DE TABLETAS</t>
  </si>
  <si>
    <t>RAPA NUI TRUFAS CHICA BASE</t>
  </si>
  <si>
    <t>RAPA NUI TRUFAS CHICA TAPA</t>
  </si>
  <si>
    <t>RATICIDA</t>
  </si>
  <si>
    <t>PAI NEGRO 600 x 200</t>
  </si>
  <si>
    <t>RAPA NUI CONTENEDOR BOMBONES</t>
  </si>
  <si>
    <t>PVC CRISTAL 700 x 450</t>
  </si>
  <si>
    <t>PLATO 17 CM. ROJO</t>
  </si>
  <si>
    <t>PAI ROJO 710 x 170</t>
  </si>
  <si>
    <t>RELLENAS X 150</t>
  </si>
  <si>
    <t>SKF BLISTER PARA KLT</t>
  </si>
  <si>
    <t>PAI NEGRO 600 x 1200</t>
  </si>
  <si>
    <t>SANDWICHERA TRIANGULITO</t>
  </si>
  <si>
    <t>ZW-500 (450M)</t>
  </si>
  <si>
    <t>PET CRISTAL 660 x 450</t>
  </si>
  <si>
    <t>SEPARADOR HUEVO N° 2</t>
  </si>
  <si>
    <t>PAI BLANCO 600 x 700</t>
  </si>
  <si>
    <t>SUSHI TAPA CHICA PVC</t>
  </si>
  <si>
    <t>TECLASTAR</t>
  </si>
  <si>
    <t>TECLASTAR PROLONGADOR MULTIPLE</t>
  </si>
  <si>
    <t>TOMATE SIN TAPA PAI</t>
  </si>
  <si>
    <t>TORTITA NEGRA X 150 PVC</t>
  </si>
  <si>
    <t>TORTA LOCA</t>
  </si>
  <si>
    <t>TORTITA NEGRA X 150 PAI</t>
  </si>
  <si>
    <t>TRAPEZOIDE X 2</t>
  </si>
  <si>
    <t>TRAPEZOIDE X 2 PEREYRA</t>
  </si>
  <si>
    <t>TRAPEZOIDE X 4</t>
  </si>
  <si>
    <t>TRIANGULITO X 150 PAI</t>
  </si>
  <si>
    <t>PAI BLANCO 630 x 220</t>
  </si>
  <si>
    <t>ZW-250 TIERRA GAUCHA</t>
  </si>
  <si>
    <t>Se tomó el dato de 1953 ZW-250</t>
  </si>
  <si>
    <t>TRIANGULITO X 200 PVC</t>
  </si>
  <si>
    <t>TRIANGULITO X 200 NUEVO PAI</t>
  </si>
  <si>
    <t>TRIANGULITO X 200 PAI</t>
  </si>
  <si>
    <t>TRIANGULITO X 100 PAI</t>
  </si>
  <si>
    <t>TRIANGULITO X 50 PAI</t>
  </si>
  <si>
    <t>TURRON JIJONA</t>
  </si>
  <si>
    <t>VASO N° 0</t>
  </si>
  <si>
    <t>VASO N° 1</t>
  </si>
  <si>
    <t>VASO N° 2</t>
  </si>
  <si>
    <t>VASO N° 3</t>
  </si>
  <si>
    <t>VASO N° 4</t>
  </si>
  <si>
    <t>VASO N° 5</t>
  </si>
  <si>
    <t>VELA ANIVERSARIO</t>
  </si>
  <si>
    <t>VELA CARTEL (DURAN)</t>
  </si>
  <si>
    <t>VELA CUMPLEAÑOS</t>
  </si>
  <si>
    <t>VELA NUMERO CHICO</t>
  </si>
  <si>
    <t>VELA NUMERO</t>
  </si>
  <si>
    <t>VELA NUMEROTE</t>
  </si>
  <si>
    <t>VELON</t>
  </si>
  <si>
    <t>VELON N° 151</t>
  </si>
  <si>
    <t>RAPA NUI TEJAS BASE</t>
  </si>
  <si>
    <t>RAPA NUI TEJAS TAPA</t>
  </si>
  <si>
    <t>Z 12 PAI NEGRO (500M)</t>
  </si>
  <si>
    <t>PAI NEGRO 660 x 500</t>
  </si>
  <si>
    <t>SEPARADOR DE OBLEAS ARCOR</t>
  </si>
  <si>
    <t>PAI BLANCO 600 x 900</t>
  </si>
  <si>
    <t>Z 4</t>
  </si>
  <si>
    <t>SEPARADOR DE OBLEAS ARCOR PVC</t>
  </si>
  <si>
    <t>MAMUSCHKA CAJA NAVIDEÑA</t>
  </si>
  <si>
    <t>Z 12 PVC</t>
  </si>
  <si>
    <t>PVC CRISTAL 650 x 200</t>
  </si>
  <si>
    <t>Z 12 PAI BLANCO</t>
  </si>
  <si>
    <t>PAI BLANCO 650 x 300</t>
  </si>
  <si>
    <t>BURBUJA RECTA CHICA</t>
  </si>
  <si>
    <t>BURBUJA RECTA MEDIANA</t>
  </si>
  <si>
    <t>BURBUJA RECTA GRANDE</t>
  </si>
  <si>
    <t>Z 12 PAI NEGRO</t>
  </si>
  <si>
    <t>MAMUSCHKA POTE 1 KG HELADO</t>
  </si>
  <si>
    <t>BURBUJA CURVA CHICA</t>
  </si>
  <si>
    <t>BURBUJA CURVA GRANDE</t>
  </si>
  <si>
    <t>ZW-500 NEGRO</t>
  </si>
  <si>
    <t>PET NEGRO 660 x 500</t>
  </si>
  <si>
    <t>MAMUSCHKA 16 ANIMALITOS</t>
  </si>
  <si>
    <t>PAI NEGRO 630 x 300</t>
  </si>
  <si>
    <t>MAMUSCHKA 8 ANIMALITOS</t>
  </si>
  <si>
    <t>Z 114 PVC</t>
  </si>
  <si>
    <t>Z 114 3 DIVISIONES SONG</t>
  </si>
  <si>
    <t>PAI VERDE CLARO 600 x 500</t>
  </si>
  <si>
    <t>ZV-40 NEGRO</t>
  </si>
  <si>
    <t>PET NEGRO 635 x 450</t>
  </si>
  <si>
    <t>Z 114 PAI NEGRO</t>
  </si>
  <si>
    <t>Z 114 SONG</t>
  </si>
  <si>
    <t>CONTENEDOR BOMBONES X 63</t>
  </si>
  <si>
    <t>CONTENEDOR TABLETAS X 5</t>
  </si>
  <si>
    <t>CONTENEDOR TABLETAS X 6</t>
  </si>
  <si>
    <t>Z T 9 BASE NEGRO</t>
  </si>
  <si>
    <t>PAI NEGRO 510 x 350</t>
  </si>
  <si>
    <t>Z T 9 TAPA ALTA</t>
  </si>
  <si>
    <t>Z T 9 TAPA BAJA</t>
  </si>
  <si>
    <t>Z T 9 TAPA MINI</t>
  </si>
  <si>
    <t>Z T 12 BASE NEGRO</t>
  </si>
  <si>
    <t>Z T 12 TAPA ALTA</t>
  </si>
  <si>
    <t>Z T 12 TAPA BAJA</t>
  </si>
  <si>
    <t>Z T 12 TAPA MEDIA</t>
  </si>
  <si>
    <t>Z T 13 BASE NEGRO</t>
  </si>
  <si>
    <t>PAI NEGRO 700 x 400</t>
  </si>
  <si>
    <t>Z T 13 TAPA ALTA (450M)</t>
  </si>
  <si>
    <t>Z T 13 TAPA BAJA</t>
  </si>
  <si>
    <t>Z T 13 TAPA MEDIA (450M)</t>
  </si>
  <si>
    <t>Z T 13 TAPA MEDIA</t>
  </si>
  <si>
    <t>Z T 14 BASE NEGRO</t>
  </si>
  <si>
    <t>PAI NEGRO 700 x 350</t>
  </si>
  <si>
    <t>mafalda</t>
  </si>
  <si>
    <t>Z T 14 TAPA</t>
  </si>
  <si>
    <t>Z T 13 TAPA ALTA</t>
  </si>
  <si>
    <t>Z T 15 BASE NEGRO</t>
  </si>
  <si>
    <t>Z T 15 TAPA</t>
  </si>
  <si>
    <t>Z T 18 BASE NEGRO</t>
  </si>
  <si>
    <t>Z T 18 TAPA</t>
  </si>
  <si>
    <t>Z T 19 BASE NEGRO X 100</t>
  </si>
  <si>
    <t>PAI NEGRO 560 x 350</t>
  </si>
  <si>
    <t>Z T 19 BASE NEGRO</t>
  </si>
  <si>
    <t>Z T 19 TAPA ALTA - BASE NEGRO</t>
  </si>
  <si>
    <t>HIPST-PVC</t>
  </si>
  <si>
    <t>PAI/PVC 100 X 10000</t>
  </si>
  <si>
    <t>Z T 19 TAPA ALTA X 100</t>
  </si>
  <si>
    <t>PVC CRISTAL 550 x 450</t>
  </si>
  <si>
    <t>Z T 19 TAPA BAJA</t>
  </si>
  <si>
    <t>RAPA NUI HUEVOS BASE</t>
  </si>
  <si>
    <t>RAPA NUI HUEVOS TAPA</t>
  </si>
  <si>
    <t>BIZCOCHUELO RECT. TRICAPA X 450</t>
  </si>
  <si>
    <t>BIZCOCHUELO RECT. TRICAPA X 750</t>
  </si>
  <si>
    <t>POTE 1045 SIN TAPA</t>
  </si>
  <si>
    <t>PET/PE CRISTAL 560 x 400</t>
  </si>
  <si>
    <t>BURBUJA N° 21 F.V.</t>
  </si>
  <si>
    <t>GALLETITAS COOKIES BASE</t>
  </si>
  <si>
    <t>GALLETITAS COOKIES TAPA</t>
  </si>
  <si>
    <t>BAND. PORTATUBOS PEPITOS</t>
  </si>
  <si>
    <t>BAND. PORTATUBOS OREO</t>
  </si>
  <si>
    <t>BAND. PORTATUBOS TERRABUSI DULCES</t>
  </si>
  <si>
    <t>BAND. PORTATUBOS CEREALITAS DULCES</t>
  </si>
  <si>
    <t>PAI NARANJA 600 x 800</t>
  </si>
  <si>
    <t>BAND. 505 FOCACHA RECTANGULAR REF.</t>
  </si>
  <si>
    <t>PAI NEGRO 600 x 500</t>
  </si>
  <si>
    <t>BAND. PORTATUBOS TERRABUSI CRACKERS</t>
  </si>
  <si>
    <t>BAND. PORTATUBOS CEREALITAS CRACKER</t>
  </si>
  <si>
    <t>DISPLAY BRANDPLAN CREMA (008)</t>
  </si>
  <si>
    <t>PAI CREMA 700 x 800</t>
  </si>
  <si>
    <t>DISPLAY BRANDPLAN AMARILLO (010)</t>
  </si>
  <si>
    <t>PAI AMARILLO 700 x 800</t>
  </si>
  <si>
    <t>DISPLAY BRANDPLAN AZUL (026)</t>
  </si>
  <si>
    <t>PAI AZUL 700 x 800</t>
  </si>
  <si>
    <t>DISPLAY BRANDPLAN AZUL (027)</t>
  </si>
  <si>
    <t>DISPLAY BRANDPLAN AMARILLO (011)</t>
  </si>
  <si>
    <t>DISPLAY BRANDPLAN NEGRO (048)</t>
  </si>
  <si>
    <t>PAI NEGRO 700 x 800</t>
  </si>
  <si>
    <t>DISPLAY BRANDPLAN ROJO (017)</t>
  </si>
  <si>
    <t>PAI ROJO 700 x 800</t>
  </si>
  <si>
    <t>DISPLAY BRANDPLAN ROSA (016)</t>
  </si>
  <si>
    <t>PAI ROSA 700 x 800</t>
  </si>
  <si>
    <t>DISPLAY BRANDPLAN VERDE (033)</t>
  </si>
  <si>
    <t>PAI VERDE 700 x 800</t>
  </si>
  <si>
    <t>DISPLAY BRANDPLAN VERDE (035)</t>
  </si>
  <si>
    <t>BAND. PORTATUBOS CLUB SOCIAL</t>
  </si>
  <si>
    <t>PAI ROJO 560 x 700</t>
  </si>
  <si>
    <t>BAND. 505 PIZZA CUADRADA NEGRA REF.</t>
  </si>
  <si>
    <t>PAI NEGRO 650 x 500</t>
  </si>
  <si>
    <t>DULKRE X 150</t>
  </si>
  <si>
    <t>TAPA PLATO VOLADOR</t>
  </si>
  <si>
    <t>ESMALTE LACA PAC</t>
  </si>
  <si>
    <t>MAGDALENAS X 6 PAI NEGRO (200M)</t>
  </si>
  <si>
    <t>RAPA NUI TRUFAS GRANDE BASE</t>
  </si>
  <si>
    <t>RAPA NUI TRUFAS GRANDE TAPA</t>
  </si>
  <si>
    <t>TABLILLA GRANDE</t>
  </si>
  <si>
    <t>PAI NEGRO 600 x 700</t>
  </si>
  <si>
    <t>TABLILLA CHICA</t>
  </si>
  <si>
    <t>MAFALDA TRIANGULITO X 150 MARRON</t>
  </si>
  <si>
    <t>PAI MARRON 630 x 220</t>
  </si>
  <si>
    <t>MAFALDA TRIANGULITO X 100 MARRON</t>
  </si>
  <si>
    <t>ZC-45</t>
  </si>
  <si>
    <t>PET CRISTAL 535 x 500</t>
  </si>
  <si>
    <t>MAFALDA LARGUITA X 250</t>
  </si>
  <si>
    <t>ART. 2 BASE ALTA</t>
  </si>
  <si>
    <t>ART. 2 BASE ALTA NEGRO</t>
  </si>
  <si>
    <t>PAI NEGRO 560 x 500</t>
  </si>
  <si>
    <t>ART. 2 BASE BAJA NEGRO</t>
  </si>
  <si>
    <t>PAI NEGRO 560 x 400</t>
  </si>
  <si>
    <t>ART. 3 BASE NEGRO</t>
  </si>
  <si>
    <t>ART. 3 TAPA BAJA</t>
  </si>
  <si>
    <t>ZW-500 (10141860CI)</t>
  </si>
  <si>
    <t>PET CRISTAL 660 x 660 (FASON)</t>
  </si>
  <si>
    <t>CAJA H (BANDEX)</t>
  </si>
  <si>
    <t>BOLSAS RA005 (BANDEX)</t>
  </si>
  <si>
    <t>ZW-250</t>
  </si>
  <si>
    <t>ZW-ALBONDIGAS</t>
  </si>
  <si>
    <t>Z T 18 BASE NEGRO X 100</t>
  </si>
  <si>
    <t>Z T 18 TAPA X 100</t>
  </si>
  <si>
    <t>Z T 18 BASE Y TAPA</t>
  </si>
  <si>
    <t>PAI-PVC CRISTAL - NEGRO 100X 1000</t>
  </si>
  <si>
    <t>Z T 19 TAPA BAJA X 100</t>
  </si>
  <si>
    <t>Z T 19 TAPA BAJA - BASE NEGRO</t>
  </si>
  <si>
    <t>BANDEJA LOVVIT</t>
  </si>
  <si>
    <t>EMPANADITA 24</t>
  </si>
  <si>
    <t>12 VELAS FINITAS</t>
  </si>
  <si>
    <t>8 paq d 420 unid y 2 paq d 105und</t>
  </si>
  <si>
    <t>ZW-500 (350M)</t>
  </si>
  <si>
    <t>PET CRISTAL 660 x 350</t>
  </si>
  <si>
    <t>ZV-60 (350 MICR.)</t>
  </si>
  <si>
    <t>PET CRISTAL 635 x 350</t>
  </si>
  <si>
    <t>MAPLE FRUTA N° 22 NEGRO</t>
  </si>
  <si>
    <t>MAPLE FRUTA N° 24 NEGRO</t>
  </si>
  <si>
    <t>MAPLE FRUTA N° 26 NEGRO</t>
  </si>
  <si>
    <t>MAPLE FRUTA N° 28 NEGRO</t>
  </si>
  <si>
    <t>MAPLE FRUTA N° 32 NEGRO</t>
  </si>
  <si>
    <t>MAPLE FRUTA N° 40 NEGRO</t>
  </si>
  <si>
    <t>SEPARADOR ZV 5 DIVISIONES</t>
  </si>
  <si>
    <t>3 paquetes de 360+20 unid x caja</t>
  </si>
  <si>
    <t>CUNA X 90 GRS. MARRON</t>
  </si>
  <si>
    <t>PAI MARRON 600 x 200</t>
  </si>
  <si>
    <t>ZW-250 (350 MICR.)</t>
  </si>
  <si>
    <t>Turnos por 1000 cajas</t>
  </si>
  <si>
    <t>al 85%</t>
  </si>
  <si>
    <t>%sobre meta</t>
  </si>
  <si>
    <t>2 operadores</t>
  </si>
  <si>
    <t>%sobre 2 operad</t>
  </si>
  <si>
    <t>Max fabricable en 7,5 horas</t>
  </si>
  <si>
    <t>ciclo de máquina</t>
  </si>
  <si>
    <t>Termo</t>
  </si>
  <si>
    <t>POTE 1135</t>
  </si>
  <si>
    <t>PET CRISTAL 860 x 300</t>
  </si>
  <si>
    <t>CAJA Nº 11</t>
  </si>
  <si>
    <t>POTE 1135 X400 PARA EXPORTACIÓN</t>
  </si>
  <si>
    <t>CAJA Nº 23 SIN LOGO</t>
  </si>
  <si>
    <t>POTE 1145</t>
  </si>
  <si>
    <t>PET CRISTAL 860 x 330</t>
  </si>
  <si>
    <t>POTE 1145 X400 PARA EXPORTACIÓN</t>
  </si>
  <si>
    <t>POTE 1165</t>
  </si>
  <si>
    <t>PET CRISTAL 860 x 420</t>
  </si>
  <si>
    <t>POTE 1165 x 400 EXPORTACIÓN</t>
  </si>
  <si>
    <t>POTE 1140 - OBSOLETO</t>
  </si>
  <si>
    <t>PET CRISTAL 860 x 340</t>
  </si>
  <si>
    <t>POTE 1150 - OBSOLETO</t>
  </si>
  <si>
    <t>PET CRISTAL 860 x 390</t>
  </si>
  <si>
    <t>POTE 1170 - OBSOLETO</t>
  </si>
  <si>
    <t>Z F 1000</t>
  </si>
  <si>
    <t>PET CRISTAL 900 x 490</t>
  </si>
  <si>
    <t>Z F 110 PERFORADA</t>
  </si>
  <si>
    <t>PET CRISTAL 820 x 350</t>
  </si>
  <si>
    <t>Z F 110 PERFORADA (X 1000)</t>
  </si>
  <si>
    <t>CAJA Nº 24 SIN LOGO</t>
  </si>
  <si>
    <t>Z F 125</t>
  </si>
  <si>
    <t>PET CRISTAL 820 x 385</t>
  </si>
  <si>
    <t>Z F 125 PERFORADA</t>
  </si>
  <si>
    <t>Z F 160 (X1000)</t>
  </si>
  <si>
    <t>Z F 160</t>
  </si>
  <si>
    <t>Z F 160 PERFORADA</t>
  </si>
  <si>
    <t>Z F 750</t>
  </si>
  <si>
    <t>PET CRISTAL 900 x 450</t>
  </si>
  <si>
    <t>Z F 110</t>
  </si>
  <si>
    <t>ZDS TAPA</t>
  </si>
  <si>
    <t>PET CRISTAL 1020 x 400</t>
  </si>
  <si>
    <t>CAJA Nº 18</t>
  </si>
  <si>
    <t>BOLSAS DE 25 X 50</t>
  </si>
  <si>
    <t>ZDS 240</t>
  </si>
  <si>
    <t>PET CRISTAL 915 x 450</t>
  </si>
  <si>
    <t>CAJA Nº 21</t>
  </si>
  <si>
    <t>BOLSAS DE 25 X 65</t>
  </si>
  <si>
    <t>ZDS 360</t>
  </si>
  <si>
    <t>PET CRISTAL 915 x 550</t>
  </si>
  <si>
    <t>ZDS 480</t>
  </si>
  <si>
    <t>PET CRISTAL 915 x 600</t>
  </si>
  <si>
    <t>CAJA Nº 20</t>
  </si>
  <si>
    <t>BOLSAS DE 25 X 70</t>
  </si>
  <si>
    <t>ZDS 720</t>
  </si>
  <si>
    <t>PET CRISTAL 915 x 800</t>
  </si>
  <si>
    <t>CAJA Nº 19</t>
  </si>
  <si>
    <t>ZDS TAPA DARNEL</t>
  </si>
  <si>
    <t>PET CRISTAL 1020 x 400 (FASON)</t>
  </si>
  <si>
    <t>CAJA Nº 18 DARNEL</t>
  </si>
  <si>
    <t>ZDS 240 DARNEL (Maquila)</t>
  </si>
  <si>
    <t>PET CRISTAL 915 x 450 (FASON)</t>
  </si>
  <si>
    <t>CAJA Nº 21 DARNEL</t>
  </si>
  <si>
    <t>ZDS 360 DARNEL (Maquila)</t>
  </si>
  <si>
    <t>PET CRISTAL 915 x 550 (FASON)</t>
  </si>
  <si>
    <t>ZDS 480 DARNEL</t>
  </si>
  <si>
    <t>PET CRISTAL 915 x 600 (FASON)</t>
  </si>
  <si>
    <t>CAJA Nº 20 DARNEL</t>
  </si>
  <si>
    <t>ZDS 720 DARNEL</t>
  </si>
  <si>
    <t>PET CRISTAL 915 x 800 (FASON)</t>
  </si>
  <si>
    <t>CAJA Nº 19 DARNEL</t>
  </si>
  <si>
    <t>ZDS TAPA (105TPCEA)</t>
  </si>
  <si>
    <t>CAJA PCEA TAPA BANDEX (1A021)</t>
  </si>
  <si>
    <t>ZDS 240 (105PCEA240)</t>
  </si>
  <si>
    <t>CAJA PCEA 240/360 BANDEX (1A022)</t>
  </si>
  <si>
    <t>ZDS 360 (105PCEA360)</t>
  </si>
  <si>
    <t>ZDS 480 (105PCEA480)</t>
  </si>
  <si>
    <t>CAJA PCEA 480/720 BANDEX (1A023)</t>
  </si>
  <si>
    <t>ZDS 720 (105PCEA720)</t>
  </si>
  <si>
    <t>Z F 110 PERFORADA (TREVIPLAST)</t>
  </si>
  <si>
    <t>PET CRISTAL 820 x 420 (FASON)</t>
  </si>
  <si>
    <t>CAJA C29 TREVIPLAST</t>
  </si>
  <si>
    <t>BOLSAS DE 115 X 125 (TREVIPALST)</t>
  </si>
  <si>
    <t>POTE 1140</t>
  </si>
  <si>
    <t>POTE 1150</t>
  </si>
  <si>
    <t>|</t>
  </si>
  <si>
    <t>POTE 1150 (X200)</t>
  </si>
  <si>
    <t>CAJA 22 S/LOGO</t>
  </si>
  <si>
    <t>POTE 1170</t>
  </si>
  <si>
    <t>POTE 1170 (X200)</t>
  </si>
  <si>
    <t>POTE 1140 (X200)</t>
  </si>
  <si>
    <t>POTE 1165 (X 200)</t>
  </si>
  <si>
    <t>POTE 1135 (X200)</t>
  </si>
  <si>
    <t>POTE 1145 (X200)</t>
  </si>
  <si>
    <t>COD.</t>
  </si>
  <si>
    <t>Sueldo total / 44 turnos * 7 /1000</t>
  </si>
  <si>
    <t>$/turnos</t>
  </si>
  <si>
    <t>Acuerdo</t>
  </si>
  <si>
    <t>PRODUCT ID</t>
  </si>
  <si>
    <t>PRODUCT CODE</t>
  </si>
  <si>
    <t>Un per case</t>
  </si>
  <si>
    <t>Gross Weight (gr)</t>
  </si>
  <si>
    <t>Net Weight (gr)</t>
  </si>
  <si>
    <t>MATERIAL ( width (mm) thikness x (microns) )</t>
  </si>
  <si>
    <t>Cycle</t>
  </si>
  <si>
    <t>CAJAS POR TURNO</t>
  </si>
  <si>
    <t>Peso Promedio Real</t>
  </si>
  <si>
    <t>BOLSAS DE 120 X 97</t>
  </si>
  <si>
    <t>Lámina de PET con Silicona en ambas caras</t>
  </si>
  <si>
    <t>Ancho (mm)</t>
  </si>
  <si>
    <t>Espesor (micrones)</t>
  </si>
  <si>
    <t>1 Rollo</t>
  </si>
  <si>
    <t>10TN</t>
  </si>
  <si>
    <t>5TN</t>
  </si>
  <si>
    <t xml:space="preserve">Ajustar en proporción </t>
  </si>
  <si>
    <t>Productos por minuto</t>
  </si>
  <si>
    <t>Ciclo por minuto</t>
  </si>
  <si>
    <t>?</t>
  </si>
  <si>
    <t>SISTEMA INTEGRADO DE GESTIÓN AJOVER-DARNEL</t>
  </si>
  <si>
    <t>AJI:</t>
  </si>
  <si>
    <t>AJI:P16-P40</t>
  </si>
  <si>
    <t>MAQUINA:</t>
  </si>
  <si>
    <t>MAQUINA: 49</t>
  </si>
  <si>
    <t>FECHA:</t>
  </si>
  <si>
    <t>Nº de Rev: 1</t>
  </si>
  <si>
    <t>Nº de Rev:</t>
  </si>
  <si>
    <t xml:space="preserve">PERFIL DE OPERACIÓN TERMOFORMADORA GN </t>
  </si>
  <si>
    <t xml:space="preserve">Descripción del Producto:  </t>
  </si>
  <si>
    <t>PROGRAMACION Y AJUSTE DE MAQUINA</t>
  </si>
  <si>
    <t>TEMPORIZADORES</t>
  </si>
  <si>
    <t>VALORES</t>
  </si>
  <si>
    <t>PRESIONES EN PSI</t>
  </si>
  <si>
    <t>MINIMO</t>
  </si>
  <si>
    <t>ESTANDAR</t>
  </si>
  <si>
    <t>CALENTAMIENTO</t>
  </si>
  <si>
    <t>VENTILADOR  DE CALOR</t>
  </si>
  <si>
    <t xml:space="preserve">LINEA PRINCIPAL </t>
  </si>
  <si>
    <t>FORMACION</t>
  </si>
  <si>
    <t>VENTILADOR DE FORMACION</t>
  </si>
  <si>
    <t>FORMACIÓN</t>
  </si>
  <si>
    <t>INTERVALO DE CORTE</t>
  </si>
  <si>
    <t>EXPULSION</t>
  </si>
  <si>
    <t>RETRASO DE EXPULSION</t>
  </si>
  <si>
    <t xml:space="preserve">Este perfirl puede presentar variaciones en un  </t>
  </si>
  <si>
    <t>rango de + ó -  70 PSI  de presión</t>
  </si>
  <si>
    <t>TRANSPORTE</t>
  </si>
  <si>
    <t>RETRASO DE CIERRE</t>
  </si>
  <si>
    <t>PROMEDIO CICLO</t>
  </si>
  <si>
    <t>Este perfil puede presentar variaciones en los parametros</t>
  </si>
  <si>
    <t>VELOCIDAD</t>
  </si>
  <si>
    <t xml:space="preserve">de tiempo con un rango de + ó - 3,00 segundos de tiempo. </t>
  </si>
  <si>
    <t>RECORRIDO</t>
  </si>
  <si>
    <t>GOLPE</t>
  </si>
  <si>
    <t>ACELERACION
DESACELERACION</t>
  </si>
  <si>
    <t>TEMPERATURAS EN GRADOS  °C</t>
  </si>
  <si>
    <t>VALORES EN º C</t>
  </si>
  <si>
    <t>VELOCIDAD PASO</t>
  </si>
  <si>
    <t>MOLDE</t>
  </si>
  <si>
    <t>MATERIA PRIMA</t>
  </si>
  <si>
    <t>PRECALENTADOR</t>
  </si>
  <si>
    <t>MATERIAL LÁMINA</t>
  </si>
  <si>
    <t>ZONA 1</t>
  </si>
  <si>
    <t>CALIBRE LÁMINA (Micrones)</t>
  </si>
  <si>
    <t>ZONA 2</t>
  </si>
  <si>
    <t>ANCHO LÁMINA</t>
  </si>
  <si>
    <t>ZONA 3</t>
  </si>
  <si>
    <t xml:space="preserve">Este perfil puede presentar variaciones en zonas de </t>
  </si>
  <si>
    <t>calentamiento de + ó - 30 grados centigrados</t>
  </si>
  <si>
    <t>Seleccionar toda la página</t>
  </si>
  <si>
    <t>CONTROL + B = Buscar</t>
  </si>
  <si>
    <t>Columna1</t>
  </si>
  <si>
    <t>Columna2</t>
  </si>
  <si>
    <t>lUEGO ELEGIR REEMPLAZAR</t>
  </si>
  <si>
    <t>poner los dos números de líneas</t>
  </si>
  <si>
    <t>Relación Virgen Reciclado</t>
  </si>
  <si>
    <t>PLATO 17 CM. BLANCO</t>
  </si>
  <si>
    <t>PAI BLANCO 600 x 180</t>
  </si>
  <si>
    <t>LARGUITA X 150 3 DIVISIONES PAI</t>
  </si>
  <si>
    <t>PAI MARRON 600 x 250</t>
  </si>
  <si>
    <t>PESO (g)</t>
  </si>
  <si>
    <t>ESPESOR DE FONDO (mm)</t>
  </si>
  <si>
    <t>ESPESOR DE PARED (mm)</t>
  </si>
  <si>
    <t>ESPESOR DE TAPA (mm)</t>
  </si>
  <si>
    <t>Código</t>
  </si>
  <si>
    <t>DESCRIPCION PRODUCTO</t>
  </si>
  <si>
    <t>Min</t>
  </si>
  <si>
    <t>Max</t>
  </si>
  <si>
    <t>NA</t>
  </si>
  <si>
    <t xml:space="preserve">ZC-61 (TIERRA GAUCHA) </t>
  </si>
  <si>
    <t>PET CRISTAL 820 x 390</t>
  </si>
  <si>
    <t xml:space="preserve">ZDS 480  </t>
  </si>
  <si>
    <t xml:space="preserve">POTE 1170   </t>
  </si>
  <si>
    <t>ZONA</t>
  </si>
  <si>
    <t>CANTIDAD X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</si>
</sst>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00"/>
    <numFmt numFmtId="166" formatCode="0.0"/>
    <numFmt numFmtId="167" formatCode="0.0%"/>
    <numFmt numFmtId="168" formatCode="0.0\ &quot;seg&quot;"/>
    <numFmt numFmtId="169" formatCode="0.0000"/>
    <numFmt numFmtId="170" formatCode="[$-C0A]d\-mmm\-yy;@"/>
    <numFmt numFmtId="171" formatCode="_-* #,##0_-;\-* #,##0_-;_-* &quot;-&quot;??_-;_-@_-"/>
    <numFmt numFmtId="172" formatCode="dd/mm/yy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indexed="9"/>
      <name val="Arial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8" borderId="7" applyNumberFormat="0" applyAlignment="0" applyProtection="0"/>
    <xf numFmtId="0" fontId="8" fillId="0" borderId="0"/>
    <xf numFmtId="164" fontId="1" fillId="0" borderId="0" applyFont="0" applyFill="0" applyBorder="0" applyAlignment="0" applyProtection="0"/>
  </cellStyleXfs>
  <cellXfs count="248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9" fontId="0" fillId="0" borderId="1" xfId="1" applyFont="1" applyBorder="1"/>
    <xf numFmtId="1" fontId="0" fillId="0" borderId="0" xfId="0" applyNumberFormat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/>
    </xf>
    <xf numFmtId="9" fontId="0" fillId="0" borderId="0" xfId="1" applyFont="1" applyFill="1"/>
    <xf numFmtId="9" fontId="0" fillId="0" borderId="0" xfId="1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center" wrapText="1"/>
    </xf>
    <xf numFmtId="9" fontId="0" fillId="3" borderId="0" xfId="1" applyFont="1" applyFill="1" applyBorder="1" applyAlignment="1">
      <alignment horizontal="right"/>
    </xf>
    <xf numFmtId="9" fontId="0" fillId="0" borderId="0" xfId="1" applyFont="1"/>
    <xf numFmtId="0" fontId="0" fillId="0" borderId="6" xfId="0" applyBorder="1"/>
    <xf numFmtId="14" fontId="0" fillId="0" borderId="0" xfId="0" applyNumberFormat="1"/>
    <xf numFmtId="0" fontId="0" fillId="4" borderId="1" xfId="0" applyFill="1" applyBorder="1"/>
    <xf numFmtId="16" fontId="0" fillId="0" borderId="0" xfId="0" applyNumberFormat="1"/>
    <xf numFmtId="0" fontId="3" fillId="0" borderId="1" xfId="0" applyFont="1" applyBorder="1"/>
    <xf numFmtId="14" fontId="0" fillId="0" borderId="0" xfId="0" applyNumberFormat="1" applyAlignment="1">
      <alignment horizontal="center" wrapText="1"/>
    </xf>
    <xf numFmtId="0" fontId="0" fillId="5" borderId="1" xfId="0" applyFill="1" applyBorder="1"/>
    <xf numFmtId="2" fontId="0" fillId="0" borderId="0" xfId="0" applyNumberFormat="1"/>
    <xf numFmtId="0" fontId="0" fillId="4" borderId="0" xfId="0" applyFill="1"/>
    <xf numFmtId="1" fontId="3" fillId="0" borderId="1" xfId="0" applyNumberFormat="1" applyFont="1" applyBorder="1"/>
    <xf numFmtId="167" fontId="0" fillId="0" borderId="0" xfId="1" applyNumberFormat="1" applyFont="1"/>
    <xf numFmtId="0" fontId="0" fillId="0" borderId="0" xfId="0" applyAlignment="1">
      <alignment wrapText="1"/>
    </xf>
    <xf numFmtId="1" fontId="0" fillId="4" borderId="1" xfId="0" applyNumberFormat="1" applyFill="1" applyBorder="1"/>
    <xf numFmtId="9" fontId="0" fillId="4" borderId="0" xfId="1" applyFont="1" applyFill="1"/>
    <xf numFmtId="0" fontId="0" fillId="0" borderId="0" xfId="0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right"/>
    </xf>
    <xf numFmtId="1" fontId="0" fillId="7" borderId="1" xfId="0" applyNumberFormat="1" applyFill="1" applyBorder="1"/>
    <xf numFmtId="166" fontId="0" fillId="0" borderId="0" xfId="0" applyNumberFormat="1"/>
    <xf numFmtId="0" fontId="0" fillId="0" borderId="0" xfId="0" quotePrefix="1"/>
    <xf numFmtId="0" fontId="9" fillId="0" borderId="10" xfId="4" applyFont="1" applyBorder="1" applyAlignment="1">
      <alignment horizontal="left" vertical="center"/>
    </xf>
    <xf numFmtId="0" fontId="8" fillId="0" borderId="0" xfId="4"/>
    <xf numFmtId="0" fontId="8" fillId="0" borderId="0" xfId="4" applyAlignment="1">
      <alignment horizontal="center" vertical="center"/>
    </xf>
    <xf numFmtId="0" fontId="9" fillId="0" borderId="14" xfId="4" applyFont="1" applyBorder="1" applyAlignment="1">
      <alignment horizontal="left" vertical="center"/>
    </xf>
    <xf numFmtId="0" fontId="9" fillId="0" borderId="17" xfId="4" applyFont="1" applyBorder="1" applyAlignment="1">
      <alignment horizontal="left"/>
    </xf>
    <xf numFmtId="0" fontId="8" fillId="0" borderId="0" xfId="4" applyAlignment="1">
      <alignment vertical="center"/>
    </xf>
    <xf numFmtId="0" fontId="8" fillId="10" borderId="24" xfId="4" applyFill="1" applyBorder="1" applyAlignment="1">
      <alignment horizontal="center" vertical="center"/>
    </xf>
    <xf numFmtId="0" fontId="8" fillId="10" borderId="25" xfId="4" applyFill="1" applyBorder="1" applyAlignment="1">
      <alignment horizontal="center" vertical="center"/>
    </xf>
    <xf numFmtId="0" fontId="8" fillId="10" borderId="27" xfId="4" applyFill="1" applyBorder="1" applyAlignment="1">
      <alignment horizontal="center" vertical="center"/>
    </xf>
    <xf numFmtId="0" fontId="12" fillId="10" borderId="1" xfId="4" applyFont="1" applyFill="1" applyBorder="1" applyAlignment="1">
      <alignment horizontal="center" vertical="center"/>
    </xf>
    <xf numFmtId="0" fontId="8" fillId="0" borderId="31" xfId="4" applyBorder="1" applyAlignment="1">
      <alignment horizontal="left" vertical="center"/>
    </xf>
    <xf numFmtId="0" fontId="8" fillId="0" borderId="5" xfId="4" applyBorder="1" applyAlignment="1">
      <alignment horizontal="left" vertical="center"/>
    </xf>
    <xf numFmtId="2" fontId="8" fillId="0" borderId="1" xfId="4" applyNumberFormat="1" applyBorder="1" applyAlignment="1">
      <alignment horizontal="center" vertical="center"/>
    </xf>
    <xf numFmtId="2" fontId="8" fillId="0" borderId="32" xfId="4" applyNumberFormat="1" applyBorder="1" applyAlignment="1">
      <alignment horizontal="center" vertical="center"/>
    </xf>
    <xf numFmtId="0" fontId="12" fillId="10" borderId="33" xfId="4" applyFont="1" applyFill="1" applyBorder="1" applyAlignment="1">
      <alignment horizontal="center" vertical="center"/>
    </xf>
    <xf numFmtId="0" fontId="8" fillId="0" borderId="34" xfId="4" applyBorder="1" applyAlignment="1">
      <alignment horizontal="left" vertical="center"/>
    </xf>
    <xf numFmtId="0" fontId="8" fillId="0" borderId="1" xfId="4" applyBorder="1" applyAlignment="1">
      <alignment horizontal="center" vertical="center"/>
    </xf>
    <xf numFmtId="0" fontId="8" fillId="0" borderId="31" xfId="4" applyBorder="1" applyAlignment="1">
      <alignment horizontal="center" vertical="center"/>
    </xf>
    <xf numFmtId="0" fontId="8" fillId="0" borderId="33" xfId="4" applyBorder="1" applyAlignment="1">
      <alignment horizontal="center" vertical="center"/>
    </xf>
    <xf numFmtId="0" fontId="8" fillId="0" borderId="35" xfId="4" applyBorder="1" applyAlignment="1">
      <alignment horizontal="center" vertical="center"/>
    </xf>
    <xf numFmtId="0" fontId="8" fillId="0" borderId="36" xfId="4" applyBorder="1" applyAlignment="1">
      <alignment horizontal="center" vertical="center"/>
    </xf>
    <xf numFmtId="0" fontId="7" fillId="8" borderId="37" xfId="3" applyBorder="1" applyAlignment="1">
      <alignment vertical="center"/>
    </xf>
    <xf numFmtId="0" fontId="7" fillId="8" borderId="38" xfId="3" applyBorder="1" applyAlignment="1">
      <alignment vertical="center"/>
    </xf>
    <xf numFmtId="0" fontId="7" fillId="8" borderId="39" xfId="3" applyBorder="1" applyAlignment="1">
      <alignment vertical="center"/>
    </xf>
    <xf numFmtId="0" fontId="7" fillId="8" borderId="40" xfId="3" applyBorder="1" applyAlignment="1">
      <alignment vertical="center"/>
    </xf>
    <xf numFmtId="0" fontId="7" fillId="8" borderId="7" xfId="3" applyAlignment="1">
      <alignment vertical="center"/>
    </xf>
    <xf numFmtId="0" fontId="8" fillId="0" borderId="28" xfId="4" applyBorder="1" applyAlignment="1">
      <alignment vertical="center"/>
    </xf>
    <xf numFmtId="9" fontId="8" fillId="0" borderId="30" xfId="4" applyNumberFormat="1" applyBorder="1" applyAlignment="1">
      <alignment horizontal="center" vertical="center"/>
    </xf>
    <xf numFmtId="0" fontId="7" fillId="8" borderId="41" xfId="3" applyBorder="1" applyAlignment="1">
      <alignment vertical="center"/>
    </xf>
    <xf numFmtId="0" fontId="8" fillId="0" borderId="31" xfId="4" applyBorder="1" applyAlignment="1">
      <alignment vertical="center"/>
    </xf>
    <xf numFmtId="0" fontId="8" fillId="0" borderId="31" xfId="4" applyBorder="1" applyAlignment="1">
      <alignment vertical="center" wrapText="1"/>
    </xf>
    <xf numFmtId="0" fontId="13" fillId="10" borderId="9" xfId="4" applyFont="1" applyFill="1" applyBorder="1" applyAlignment="1">
      <alignment vertical="center"/>
    </xf>
    <xf numFmtId="0" fontId="8" fillId="0" borderId="35" xfId="4" applyBorder="1" applyAlignment="1">
      <alignment vertical="center"/>
    </xf>
    <xf numFmtId="9" fontId="8" fillId="0" borderId="36" xfId="4" applyNumberFormat="1" applyBorder="1" applyAlignment="1">
      <alignment horizontal="center" vertical="center"/>
    </xf>
    <xf numFmtId="0" fontId="8" fillId="0" borderId="0" xfId="4" applyAlignment="1">
      <alignment horizontal="left" vertical="center"/>
    </xf>
    <xf numFmtId="0" fontId="8" fillId="0" borderId="32" xfId="4" applyBorder="1"/>
    <xf numFmtId="0" fontId="8" fillId="0" borderId="32" xfId="4" applyBorder="1" applyAlignment="1">
      <alignment horizontal="center" vertical="center"/>
    </xf>
    <xf numFmtId="0" fontId="8" fillId="0" borderId="44" xfId="4" applyBorder="1" applyAlignment="1">
      <alignment horizontal="center" vertical="center"/>
    </xf>
    <xf numFmtId="0" fontId="8" fillId="0" borderId="45" xfId="4" applyBorder="1"/>
    <xf numFmtId="170" fontId="8" fillId="0" borderId="0" xfId="4" applyNumberFormat="1"/>
    <xf numFmtId="0" fontId="9" fillId="0" borderId="47" xfId="4" applyFont="1" applyBorder="1" applyAlignment="1">
      <alignment horizontal="left" vertical="center"/>
    </xf>
    <xf numFmtId="0" fontId="9" fillId="0" borderId="50" xfId="4" applyFont="1" applyBorder="1" applyAlignment="1">
      <alignment horizontal="left" vertical="center"/>
    </xf>
    <xf numFmtId="0" fontId="9" fillId="0" borderId="49" xfId="4" applyFont="1" applyBorder="1" applyAlignment="1">
      <alignment horizontal="left"/>
    </xf>
    <xf numFmtId="0" fontId="9" fillId="0" borderId="5" xfId="4" applyFont="1" applyBorder="1" applyAlignment="1">
      <alignment horizontal="left"/>
    </xf>
    <xf numFmtId="0" fontId="8" fillId="0" borderId="25" xfId="4" applyBorder="1" applyAlignment="1">
      <alignment horizontal="left" vertical="center"/>
    </xf>
    <xf numFmtId="0" fontId="8" fillId="0" borderId="33" xfId="4" applyBorder="1" applyAlignment="1">
      <alignment horizontal="left" vertical="center"/>
    </xf>
    <xf numFmtId="0" fontId="8" fillId="0" borderId="36" xfId="4" applyBorder="1" applyAlignment="1">
      <alignment horizontal="left" vertical="center"/>
    </xf>
    <xf numFmtId="16" fontId="9" fillId="0" borderId="50" xfId="4" applyNumberFormat="1" applyFont="1" applyBorder="1" applyAlignment="1">
      <alignment horizontal="left" vertical="center"/>
    </xf>
    <xf numFmtId="9" fontId="0" fillId="0" borderId="1" xfId="1" applyFont="1" applyFill="1" applyBorder="1"/>
    <xf numFmtId="169" fontId="0" fillId="0" borderId="0" xfId="0" applyNumberFormat="1"/>
    <xf numFmtId="0" fontId="0" fillId="6" borderId="1" xfId="0" applyFill="1" applyBorder="1"/>
    <xf numFmtId="0" fontId="0" fillId="0" borderId="53" xfId="0" applyBorder="1"/>
    <xf numFmtId="14" fontId="0" fillId="0" borderId="1" xfId="0" applyNumberFormat="1" applyBorder="1"/>
    <xf numFmtId="16" fontId="0" fillId="0" borderId="1" xfId="0" applyNumberFormat="1" applyBorder="1"/>
    <xf numFmtId="14" fontId="0" fillId="0" borderId="1" xfId="0" applyNumberFormat="1" applyBorder="1" applyAlignment="1">
      <alignment horizontal="center" wrapText="1"/>
    </xf>
    <xf numFmtId="166" fontId="0" fillId="0" borderId="1" xfId="0" applyNumberFormat="1" applyBorder="1"/>
    <xf numFmtId="0" fontId="0" fillId="0" borderId="1" xfId="0" quotePrefix="1" applyBorder="1"/>
    <xf numFmtId="2" fontId="0" fillId="0" borderId="1" xfId="0" applyNumberFormat="1" applyBorder="1"/>
    <xf numFmtId="14" fontId="6" fillId="0" borderId="1" xfId="0" applyNumberFormat="1" applyFont="1" applyBorder="1"/>
    <xf numFmtId="0" fontId="0" fillId="0" borderId="1" xfId="0" applyBorder="1" applyAlignment="1">
      <alignment horizontal="right"/>
    </xf>
    <xf numFmtId="169" fontId="0" fillId="0" borderId="1" xfId="0" applyNumberFormat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3" borderId="0" xfId="0" applyFill="1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53" xfId="0" applyBorder="1" applyAlignment="1">
      <alignment wrapText="1"/>
    </xf>
    <xf numFmtId="0" fontId="0" fillId="0" borderId="6" xfId="0" applyBorder="1" applyAlignment="1">
      <alignment wrapText="1"/>
    </xf>
    <xf numFmtId="1" fontId="0" fillId="0" borderId="0" xfId="0" applyNumberFormat="1" applyAlignment="1">
      <alignment horizontal="center" wrapText="1"/>
    </xf>
    <xf numFmtId="0" fontId="11" fillId="0" borderId="27" xfId="4" applyFont="1" applyBorder="1" applyAlignment="1">
      <alignment horizontal="center" vertical="center" wrapText="1"/>
    </xf>
    <xf numFmtId="9" fontId="0" fillId="13" borderId="0" xfId="1" applyFont="1" applyFill="1"/>
    <xf numFmtId="0" fontId="0" fillId="2" borderId="0" xfId="0" applyFill="1"/>
    <xf numFmtId="16" fontId="0" fillId="2" borderId="0" xfId="0" applyNumberFormat="1" applyFill="1"/>
    <xf numFmtId="9" fontId="0" fillId="2" borderId="0" xfId="1" applyFont="1" applyFill="1" applyBorder="1"/>
    <xf numFmtId="0" fontId="0" fillId="16" borderId="1" xfId="0" applyFill="1" applyBorder="1"/>
    <xf numFmtId="9" fontId="0" fillId="16" borderId="1" xfId="1" applyFont="1" applyFill="1" applyBorder="1"/>
    <xf numFmtId="14" fontId="0" fillId="16" borderId="1" xfId="0" applyNumberFormat="1" applyFill="1" applyBorder="1" applyAlignment="1">
      <alignment horizontal="center" wrapText="1"/>
    </xf>
    <xf numFmtId="0" fontId="0" fillId="17" borderId="1" xfId="0" applyFill="1" applyBorder="1"/>
    <xf numFmtId="14" fontId="0" fillId="0" borderId="0" xfId="0" applyNumberFormat="1" applyAlignment="1">
      <alignment horizontal="right"/>
    </xf>
    <xf numFmtId="0" fontId="5" fillId="0" borderId="1" xfId="0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9" fontId="5" fillId="0" borderId="1" xfId="1" applyFont="1" applyBorder="1"/>
    <xf numFmtId="9" fontId="5" fillId="0" borderId="1" xfId="1" applyFont="1" applyFill="1" applyBorder="1"/>
    <xf numFmtId="171" fontId="5" fillId="0" borderId="1" xfId="5" applyNumberFormat="1" applyFont="1" applyFill="1" applyBorder="1"/>
    <xf numFmtId="166" fontId="0" fillId="4" borderId="1" xfId="0" applyNumberFormat="1" applyFill="1" applyBorder="1"/>
    <xf numFmtId="166" fontId="0" fillId="4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center" wrapText="1"/>
    </xf>
    <xf numFmtId="2" fontId="0" fillId="2" borderId="1" xfId="0" applyNumberFormat="1" applyFill="1" applyBorder="1" applyAlignment="1">
      <alignment horizontal="right"/>
    </xf>
    <xf numFmtId="166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right"/>
    </xf>
    <xf numFmtId="0" fontId="16" fillId="0" borderId="49" xfId="0" applyFont="1" applyBorder="1"/>
    <xf numFmtId="0" fontId="16" fillId="0" borderId="5" xfId="0" applyFont="1" applyBorder="1"/>
    <xf numFmtId="0" fontId="15" fillId="19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center" vertical="center" wrapText="1"/>
    </xf>
    <xf numFmtId="2" fontId="15" fillId="19" borderId="1" xfId="0" applyNumberFormat="1" applyFont="1" applyFill="1" applyBorder="1" applyAlignment="1">
      <alignment horizontal="center" vertical="center" wrapText="1"/>
    </xf>
    <xf numFmtId="2" fontId="15" fillId="19" borderId="1" xfId="0" applyNumberFormat="1" applyFont="1" applyFill="1" applyBorder="1" applyAlignment="1">
      <alignment horizontal="left" vertical="center" wrapText="1"/>
    </xf>
    <xf numFmtId="0" fontId="0" fillId="20" borderId="0" xfId="0" applyFill="1"/>
    <xf numFmtId="0" fontId="16" fillId="7" borderId="1" xfId="0" applyFont="1" applyFill="1" applyBorder="1"/>
    <xf numFmtId="0" fontId="0" fillId="20" borderId="1" xfId="0" applyFill="1" applyBorder="1"/>
    <xf numFmtId="166" fontId="0" fillId="4" borderId="0" xfId="0" applyNumberFormat="1" applyFill="1"/>
    <xf numFmtId="0" fontId="0" fillId="7" borderId="0" xfId="0" applyFill="1"/>
    <xf numFmtId="166" fontId="0" fillId="7" borderId="0" xfId="0" applyNumberFormat="1" applyFill="1"/>
    <xf numFmtId="9" fontId="0" fillId="0" borderId="0" xfId="1" applyFont="1" applyFill="1" applyBorder="1"/>
    <xf numFmtId="166" fontId="0" fillId="0" borderId="0" xfId="0" applyNumberFormat="1" applyAlignment="1">
      <alignment horizontal="right"/>
    </xf>
    <xf numFmtId="166" fontId="0" fillId="21" borderId="0" xfId="0" applyNumberFormat="1" applyFill="1"/>
    <xf numFmtId="16" fontId="0" fillId="0" borderId="0" xfId="0" applyNumberFormat="1" applyAlignment="1">
      <alignment horizontal="center" wrapText="1"/>
    </xf>
    <xf numFmtId="9" fontId="0" fillId="4" borderId="1" xfId="1" applyFont="1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 wrapText="1"/>
    </xf>
    <xf numFmtId="172" fontId="0" fillId="0" borderId="0" xfId="0" applyNumberFormat="1"/>
    <xf numFmtId="172" fontId="0" fillId="0" borderId="3" xfId="0" applyNumberFormat="1" applyBorder="1"/>
    <xf numFmtId="172" fontId="0" fillId="0" borderId="1" xfId="0" applyNumberFormat="1" applyBorder="1"/>
    <xf numFmtId="172" fontId="0" fillId="0" borderId="0" xfId="0" applyNumberFormat="1" applyAlignment="1">
      <alignment horizontal="center" wrapText="1"/>
    </xf>
    <xf numFmtId="172" fontId="0" fillId="2" borderId="1" xfId="0" applyNumberFormat="1" applyFill="1" applyBorder="1"/>
    <xf numFmtId="172" fontId="0" fillId="0" borderId="0" xfId="1" applyNumberFormat="1" applyFont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1" fontId="0" fillId="0" borderId="6" xfId="0" applyNumberFormat="1" applyBorder="1" applyAlignment="1">
      <alignment horizontal="center" wrapText="1"/>
    </xf>
    <xf numFmtId="1" fontId="0" fillId="0" borderId="0" xfId="0" applyNumberFormat="1" applyAlignment="1">
      <alignment wrapText="1"/>
    </xf>
    <xf numFmtId="0" fontId="0" fillId="22" borderId="1" xfId="0" applyFill="1" applyBorder="1"/>
    <xf numFmtId="1" fontId="0" fillId="22" borderId="1" xfId="0" applyNumberFormat="1" applyFill="1" applyBorder="1"/>
    <xf numFmtId="0" fontId="0" fillId="3" borderId="1" xfId="0" applyFill="1" applyBorder="1"/>
    <xf numFmtId="0" fontId="0" fillId="0" borderId="55" xfId="0" applyBorder="1"/>
    <xf numFmtId="0" fontId="0" fillId="23" borderId="1" xfId="0" applyFill="1" applyBorder="1"/>
    <xf numFmtId="0" fontId="0" fillId="0" borderId="56" xfId="0" applyBorder="1"/>
    <xf numFmtId="0" fontId="8" fillId="0" borderId="2" xfId="4" applyBorder="1" applyAlignment="1">
      <alignment horizontal="center" vertical="center"/>
    </xf>
    <xf numFmtId="0" fontId="8" fillId="0" borderId="3" xfId="4" applyBorder="1" applyAlignment="1">
      <alignment horizontal="center" vertical="center"/>
    </xf>
    <xf numFmtId="0" fontId="8" fillId="0" borderId="11" xfId="4" applyBorder="1" applyAlignment="1">
      <alignment horizontal="center" vertical="center"/>
    </xf>
    <xf numFmtId="0" fontId="8" fillId="0" borderId="0" xfId="4" applyAlignment="1">
      <alignment horizontal="center" vertical="center"/>
    </xf>
    <xf numFmtId="0" fontId="8" fillId="0" borderId="18" xfId="4" applyBorder="1" applyAlignment="1">
      <alignment horizontal="center" vertical="center"/>
    </xf>
    <xf numFmtId="0" fontId="8" fillId="0" borderId="19" xfId="4" applyBorder="1" applyAlignment="1">
      <alignment horizontal="center" vertical="center"/>
    </xf>
    <xf numFmtId="0" fontId="9" fillId="0" borderId="8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/>
    </xf>
    <xf numFmtId="0" fontId="9" fillId="0" borderId="13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9" fillId="0" borderId="16" xfId="4" applyFont="1" applyBorder="1" applyAlignment="1">
      <alignment horizontal="center" vertical="center"/>
    </xf>
    <xf numFmtId="0" fontId="8" fillId="0" borderId="20" xfId="4" applyBorder="1" applyAlignment="1">
      <alignment horizontal="center" vertical="center"/>
    </xf>
    <xf numFmtId="0" fontId="8" fillId="0" borderId="21" xfId="4" applyBorder="1" applyAlignment="1">
      <alignment horizontal="center" vertical="center"/>
    </xf>
    <xf numFmtId="0" fontId="8" fillId="9" borderId="2" xfId="4" applyFill="1" applyBorder="1" applyAlignment="1">
      <alignment horizontal="center" vertical="center"/>
    </xf>
    <xf numFmtId="0" fontId="8" fillId="9" borderId="23" xfId="4" applyFill="1" applyBorder="1" applyAlignment="1">
      <alignment horizontal="center" vertical="center"/>
    </xf>
    <xf numFmtId="0" fontId="8" fillId="9" borderId="28" xfId="4" applyFill="1" applyBorder="1" applyAlignment="1">
      <alignment horizontal="center" vertical="center"/>
    </xf>
    <xf numFmtId="0" fontId="8" fillId="9" borderId="14" xfId="4" applyFill="1" applyBorder="1" applyAlignment="1">
      <alignment horizontal="center" vertical="center"/>
    </xf>
    <xf numFmtId="0" fontId="8" fillId="10" borderId="26" xfId="4" applyFill="1" applyBorder="1" applyAlignment="1">
      <alignment horizontal="center" vertical="center"/>
    </xf>
    <xf numFmtId="0" fontId="8" fillId="10" borderId="29" xfId="4" applyFill="1" applyBorder="1" applyAlignment="1">
      <alignment horizontal="center" vertical="center"/>
    </xf>
    <xf numFmtId="0" fontId="8" fillId="10" borderId="30" xfId="4" applyFill="1" applyBorder="1" applyAlignment="1">
      <alignment horizontal="center" vertical="center"/>
    </xf>
    <xf numFmtId="0" fontId="12" fillId="10" borderId="30" xfId="4" applyFont="1" applyFill="1" applyBorder="1" applyAlignment="1">
      <alignment horizontal="center" vertical="center"/>
    </xf>
    <xf numFmtId="0" fontId="12" fillId="10" borderId="33" xfId="4" applyFont="1" applyFill="1" applyBorder="1" applyAlignment="1">
      <alignment horizontal="center" vertical="center"/>
    </xf>
    <xf numFmtId="0" fontId="10" fillId="0" borderId="20" xfId="4" applyFont="1" applyBorder="1" applyAlignment="1">
      <alignment horizontal="left" vertical="center"/>
    </xf>
    <xf numFmtId="0" fontId="10" fillId="0" borderId="22" xfId="4" applyFont="1" applyBorder="1" applyAlignment="1">
      <alignment horizontal="left" vertical="center"/>
    </xf>
    <xf numFmtId="0" fontId="11" fillId="0" borderId="20" xfId="4" applyFont="1" applyBorder="1" applyAlignment="1">
      <alignment horizontal="center" vertical="center" wrapText="1"/>
    </xf>
    <xf numFmtId="0" fontId="11" fillId="0" borderId="21" xfId="4" applyFont="1" applyBorder="1" applyAlignment="1">
      <alignment horizontal="center" vertical="center" wrapText="1"/>
    </xf>
    <xf numFmtId="0" fontId="11" fillId="0" borderId="22" xfId="4" applyFont="1" applyBorder="1" applyAlignment="1">
      <alignment horizontal="center" vertical="center" wrapText="1"/>
    </xf>
    <xf numFmtId="0" fontId="9" fillId="9" borderId="20" xfId="4" applyFont="1" applyFill="1" applyBorder="1" applyAlignment="1">
      <alignment horizontal="center" vertical="center"/>
    </xf>
    <xf numFmtId="0" fontId="9" fillId="9" borderId="21" xfId="4" applyFont="1" applyFill="1" applyBorder="1" applyAlignment="1">
      <alignment horizontal="center" vertical="center"/>
    </xf>
    <xf numFmtId="0" fontId="9" fillId="9" borderId="11" xfId="4" applyFont="1" applyFill="1" applyBorder="1" applyAlignment="1">
      <alignment horizontal="center" vertical="center"/>
    </xf>
    <xf numFmtId="0" fontId="9" fillId="9" borderId="0" xfId="4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4" xfId="4" applyBorder="1" applyAlignment="1">
      <alignment horizontal="left" vertical="center"/>
    </xf>
    <xf numFmtId="0" fontId="8" fillId="0" borderId="1" xfId="4" applyBorder="1" applyAlignment="1">
      <alignment horizontal="left" vertical="center"/>
    </xf>
    <xf numFmtId="0" fontId="8" fillId="0" borderId="34" xfId="4" applyBorder="1" applyAlignment="1">
      <alignment vertical="center"/>
    </xf>
    <xf numFmtId="0" fontId="8" fillId="0" borderId="1" xfId="4" applyBorder="1" applyAlignment="1">
      <alignment vertical="center"/>
    </xf>
    <xf numFmtId="0" fontId="8" fillId="0" borderId="34" xfId="4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0" borderId="43" xfId="4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7" fillId="8" borderId="11" xfId="3" applyBorder="1" applyAlignment="1">
      <alignment vertical="center"/>
    </xf>
    <xf numFmtId="0" fontId="0" fillId="0" borderId="0" xfId="0" applyAlignment="1">
      <alignment vertical="center"/>
    </xf>
    <xf numFmtId="0" fontId="13" fillId="9" borderId="8" xfId="4" applyFont="1" applyFill="1" applyBorder="1" applyAlignment="1">
      <alignment horizontal="center" vertical="center"/>
    </xf>
    <xf numFmtId="0" fontId="13" fillId="9" borderId="9" xfId="4" applyFont="1" applyFill="1" applyBorder="1" applyAlignment="1">
      <alignment horizontal="center" vertical="center"/>
    </xf>
    <xf numFmtId="0" fontId="13" fillId="9" borderId="34" xfId="4" applyFont="1" applyFill="1" applyBorder="1" applyAlignment="1">
      <alignment horizontal="center" vertical="center"/>
    </xf>
    <xf numFmtId="0" fontId="13" fillId="9" borderId="1" xfId="4" applyFont="1" applyFill="1" applyBorder="1" applyAlignment="1">
      <alignment horizontal="center" vertical="center"/>
    </xf>
    <xf numFmtId="0" fontId="8" fillId="9" borderId="8" xfId="4" applyFill="1" applyBorder="1" applyAlignment="1">
      <alignment horizontal="center" vertical="center"/>
    </xf>
    <xf numFmtId="0" fontId="8" fillId="9" borderId="42" xfId="4" applyFill="1" applyBorder="1" applyAlignment="1">
      <alignment horizontal="center" vertical="center"/>
    </xf>
    <xf numFmtId="0" fontId="8" fillId="9" borderId="18" xfId="4" applyFill="1" applyBorder="1" applyAlignment="1">
      <alignment horizontal="center" vertical="center"/>
    </xf>
    <xf numFmtId="0" fontId="8" fillId="10" borderId="20" xfId="4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8" fillId="10" borderId="12" xfId="4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2" fillId="10" borderId="8" xfId="4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10" borderId="34" xfId="4" applyFont="1" applyFill="1" applyBorder="1" applyAlignment="1">
      <alignment horizontal="center" vertical="center"/>
    </xf>
    <xf numFmtId="0" fontId="8" fillId="0" borderId="8" xfId="4" applyBorder="1" applyAlignment="1">
      <alignment horizontal="center" vertical="center"/>
    </xf>
    <xf numFmtId="0" fontId="8" fillId="10" borderId="2" xfId="4" applyFill="1" applyBorder="1" applyAlignment="1">
      <alignment horizontal="center" vertical="center"/>
    </xf>
    <xf numFmtId="0" fontId="8" fillId="10" borderId="11" xfId="4" applyFill="1" applyBorder="1" applyAlignment="1">
      <alignment horizontal="center" vertical="center"/>
    </xf>
    <xf numFmtId="0" fontId="8" fillId="10" borderId="28" xfId="4" applyFill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  <xf numFmtId="0" fontId="9" fillId="0" borderId="48" xfId="4" applyFont="1" applyBorder="1" applyAlignment="1">
      <alignment horizontal="center" vertical="center"/>
    </xf>
    <xf numFmtId="0" fontId="9" fillId="0" borderId="47" xfId="4" applyFont="1" applyBorder="1" applyAlignment="1">
      <alignment horizontal="center" vertical="center"/>
    </xf>
    <xf numFmtId="0" fontId="8" fillId="9" borderId="11" xfId="4" applyFill="1" applyBorder="1" applyAlignment="1">
      <alignment horizontal="center" vertical="center"/>
    </xf>
    <xf numFmtId="0" fontId="8" fillId="9" borderId="0" xfId="4" applyFill="1" applyAlignment="1">
      <alignment horizontal="center" vertical="center"/>
    </xf>
    <xf numFmtId="0" fontId="8" fillId="0" borderId="43" xfId="4" applyBorder="1" applyAlignment="1">
      <alignment horizontal="left" vertical="center"/>
    </xf>
    <xf numFmtId="0" fontId="8" fillId="0" borderId="44" xfId="4" applyBorder="1" applyAlignment="1">
      <alignment horizontal="left" vertical="center"/>
    </xf>
    <xf numFmtId="0" fontId="8" fillId="0" borderId="0" xfId="4"/>
    <xf numFmtId="0" fontId="14" fillId="11" borderId="35" xfId="4" applyFont="1" applyFill="1" applyBorder="1" applyAlignment="1">
      <alignment horizontal="left" vertical="center"/>
    </xf>
    <xf numFmtId="0" fontId="14" fillId="11" borderId="46" xfId="4" applyFont="1" applyFill="1" applyBorder="1" applyAlignment="1">
      <alignment horizontal="left" vertical="center"/>
    </xf>
    <xf numFmtId="2" fontId="15" fillId="18" borderId="49" xfId="0" applyNumberFormat="1" applyFont="1" applyFill="1" applyBorder="1" applyAlignment="1">
      <alignment horizontal="center"/>
    </xf>
    <xf numFmtId="2" fontId="15" fillId="18" borderId="54" xfId="0" applyNumberFormat="1" applyFont="1" applyFill="1" applyBorder="1" applyAlignment="1">
      <alignment horizontal="center"/>
    </xf>
    <xf numFmtId="2" fontId="15" fillId="18" borderId="5" xfId="0" applyNumberFormat="1" applyFont="1" applyFill="1" applyBorder="1" applyAlignment="1">
      <alignment horizontal="center"/>
    </xf>
    <xf numFmtId="0" fontId="0" fillId="0" borderId="6" xfId="0" applyFill="1" applyBorder="1"/>
  </cellXfs>
  <cellStyles count="6">
    <cellStyle name="Comma" xfId="5" builtinId="3"/>
    <cellStyle name="Input" xfId="3" builtinId="20"/>
    <cellStyle name="Normal" xfId="0" builtinId="0"/>
    <cellStyle name="Normal 2" xfId="2" xr:uid="{E485D46B-A23D-47B9-92DA-65D97DFFC58D}"/>
    <cellStyle name="Normal 3" xfId="4" xr:uid="{8C1AF8D7-4DED-4BAA-BF67-E385904709D7}"/>
    <cellStyle name="Percent" xfId="1" builtinId="5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15877</xdr:colOff>
      <xdr:row>0</xdr:row>
      <xdr:rowOff>66675</xdr:rowOff>
    </xdr:from>
    <xdr:ext cx="685801" cy="7677152"/>
    <xdr:sp macro="" textlink="">
      <xdr:nvSpPr>
        <xdr:cNvPr id="2" name="3 Rectángulo">
          <a:extLst>
            <a:ext uri="{FF2B5EF4-FFF2-40B4-BE49-F238E27FC236}">
              <a16:creationId xmlns:a16="http://schemas.microsoft.com/office/drawing/2014/main" id="{9C2BC420-7D1A-4E7F-BCA7-720396A16487}"/>
            </a:ext>
          </a:extLst>
        </xdr:cNvPr>
        <xdr:cNvSpPr/>
      </xdr:nvSpPr>
      <xdr:spPr>
        <a:xfrm rot="16200000">
          <a:off x="-3479798" y="3562350"/>
          <a:ext cx="7677152" cy="68580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48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Copia</a:t>
          </a:r>
          <a:r>
            <a:rPr lang="es-ES" sz="4800" b="1" cap="none" spc="0" baseline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 Impresa No Controlada</a:t>
          </a:r>
          <a:endParaRPr lang="es-ES" sz="48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 editAs="oneCell">
    <xdr:from>
      <xdr:col>3</xdr:col>
      <xdr:colOff>200025</xdr:colOff>
      <xdr:row>0</xdr:row>
      <xdr:rowOff>85725</xdr:rowOff>
    </xdr:from>
    <xdr:to>
      <xdr:col>3</xdr:col>
      <xdr:colOff>1200150</xdr:colOff>
      <xdr:row>3</xdr:row>
      <xdr:rowOff>150975</xdr:rowOff>
    </xdr:to>
    <xdr:pic>
      <xdr:nvPicPr>
        <xdr:cNvPr id="3" name="4 Imagen" descr="Nilton Bautista on Behance">
          <a:extLst>
            <a:ext uri="{FF2B5EF4-FFF2-40B4-BE49-F238E27FC236}">
              <a16:creationId xmlns:a16="http://schemas.microsoft.com/office/drawing/2014/main" id="{DD06CBE2-DF0E-45E1-8FCE-87835FFD8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85725"/>
          <a:ext cx="1000125" cy="6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15877</xdr:colOff>
      <xdr:row>0</xdr:row>
      <xdr:rowOff>66675</xdr:rowOff>
    </xdr:from>
    <xdr:ext cx="685801" cy="7677152"/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DF368FCB-7E1C-48C8-A605-3930915357F2}"/>
            </a:ext>
          </a:extLst>
        </xdr:cNvPr>
        <xdr:cNvSpPr/>
      </xdr:nvSpPr>
      <xdr:spPr>
        <a:xfrm rot="16200000">
          <a:off x="6102352" y="3562350"/>
          <a:ext cx="7677152" cy="68580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48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Copia</a:t>
          </a:r>
          <a:r>
            <a:rPr lang="es-ES" sz="4800" b="1" cap="none" spc="0" baseline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 Impresa No Controlada</a:t>
          </a:r>
          <a:endParaRPr lang="es-ES" sz="48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15</xdr:col>
      <xdr:colOff>200025</xdr:colOff>
      <xdr:row>0</xdr:row>
      <xdr:rowOff>85725</xdr:rowOff>
    </xdr:from>
    <xdr:ext cx="1000125" cy="700250"/>
    <xdr:pic>
      <xdr:nvPicPr>
        <xdr:cNvPr id="5" name="4 Imagen" descr="Nilton Bautista on Behance">
          <a:extLst>
            <a:ext uri="{FF2B5EF4-FFF2-40B4-BE49-F238E27FC236}">
              <a16:creationId xmlns:a16="http://schemas.microsoft.com/office/drawing/2014/main" id="{758D9414-D459-452C-AFD2-8EF1D4B8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5" y="85725"/>
          <a:ext cx="1000125" cy="7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jovercom-my.sharepoint.com/personal/ttamaki_ajover_com/Documents/Archivos%20de%20chat%20de%20Microsoft%20Teams/Producci&#243;n%20compartido/OEE%20_Produccion%20ajustada%20-zaplast%202024%20Tomas.xlsm" TargetMode="External"/><Relationship Id="rId1" Type="http://schemas.openxmlformats.org/officeDocument/2006/relationships/externalLinkPath" Target="https://ajovercom-my.sharepoint.com/personal/ttamaki_ajover_com/Documents/Archivos%20de%20chat%20de%20Microsoft%20Teams/Producci&#243;n%20compartido/OEE%20_Produccion%20ajustada%20-zaplast%202024%20Tom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"/>
      <sheetName val="Graficos"/>
      <sheetName val="OEE PURO TERMO 1"/>
      <sheetName val="OEE PURO GN"/>
      <sheetName val="Producción ajustada Termo 1 GN"/>
      <sheetName val="Producción ajustada Semi-Troq"/>
      <sheetName val="Extrusora"/>
      <sheetName val="Producción ajustada Termo 1-GN"/>
      <sheetName val="Paradas que afectan Disponib"/>
      <sheetName val="Empaque"/>
      <sheetName val="Metas máquinas"/>
      <sheetName val="Referenciasproductos"/>
      <sheetName val="Hoja3"/>
      <sheetName val="Producción ajustada Bak up"/>
      <sheetName val="OEE _Produccion ajustada -zap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mas Tamaki" id="{FD19AAF2-E2C5-4E9D-9CAD-1CE496AFB7A5}" userId="S::ttamaki@Ajover.com::bb6da939-7cc6-41bf-9b18-5680f3fb21f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5B30E-1BD7-49EB-A1BD-5C4AB39D3B15}" name="Tabla1" displayName="Tabla1" ref="I42:J48" totalsRowShown="0" headerRowCellStyle="Normal 3" dataCellStyle="Normal 3">
  <autoFilter ref="I42:J48" xr:uid="{0565B30E-1BD7-49EB-A1BD-5C4AB39D3B15}"/>
  <tableColumns count="2">
    <tableColumn id="1" xr3:uid="{FDC6EFD6-B2D4-48E5-B48B-7E3C1DCCFFCA}" name="Columna1" dataCellStyle="Normal 3"/>
    <tableColumn id="2" xr3:uid="{28919BC5-494C-465D-AC91-BCDACFDD671F}" name="Columna2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8" dT="2024-08-16T13:07:10.69" personId="{FD19AAF2-E2C5-4E9D-9CAD-1CE496AFB7A5}" id="{7111B9B4-8B76-46B6-971C-1DB1AD92C524}">
    <text xml:space="preserve">Cambio de 20 a 90 cajas el 15/8/2024
</text>
  </threadedComment>
  <threadedComment ref="P12" dT="2024-08-16T13:07:35.84" personId="{FD19AAF2-E2C5-4E9D-9CAD-1CE496AFB7A5}" id="{B4F94039-2689-46DF-8D5C-87777FCF8FA3}">
    <text xml:space="preserve">Cambio de 20 a 70 el 15/8/24
</text>
  </threadedComment>
  <threadedComment ref="P32" dT="2024-07-12T18:20:31.72" personId="{FD19AAF2-E2C5-4E9D-9CAD-1CE496AFB7A5}" id="{D88A2846-7F55-44EB-AF69-CA5624862E35}">
    <text>Cambiado de 50 a 45 el 12/7/24 Por Tomás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8" dT="2024-08-16T13:07:10.69" personId="{FD19AAF2-E2C5-4E9D-9CAD-1CE496AFB7A5}" id="{F4A44260-4C7B-4472-B5AE-1F3D87FC1B64}">
    <text xml:space="preserve">Cambio de 20 a 90 cajas el 15/8/2024
</text>
  </threadedComment>
  <threadedComment ref="P12" dT="2024-08-16T13:07:35.84" personId="{FD19AAF2-E2C5-4E9D-9CAD-1CE496AFB7A5}" id="{D1F7CDD5-21B3-459D-95A3-756DD5609044}">
    <text xml:space="preserve">Cambio de 20 a 70 el 15/8/24
</text>
  </threadedComment>
  <threadedComment ref="P32" dT="2024-07-12T18:20:31.72" personId="{FD19AAF2-E2C5-4E9D-9CAD-1CE496AFB7A5}" id="{27EC3DA1-1A38-4DE8-83D2-51EE43528EED}">
    <text>Cambiado de 50 a 45 el 12/7/24 Por Tomás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2" dT="2024-07-12T18:20:31.72" personId="{FD19AAF2-E2C5-4E9D-9CAD-1CE496AFB7A5}" id="{FDB2D5AE-98C3-4BC0-9606-9639175D0D49}">
    <text>Cambiado de 50 a 45 el 12/7/24 Por Tomás</text>
  </threadedComment>
  <threadedComment ref="B27" dT="2024-08-07T17:12:29.52" personId="{FD19AAF2-E2C5-4E9D-9CAD-1CE496AFB7A5}" id="{D1811572-3029-4228-B1A9-9B5E10B668EB}">
    <text>Ver de reducir el ciclo de esta máquina, el 25 oz tarda la mitad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8" dT="2024-08-07T17:12:29.52" personId="{FD19AAF2-E2C5-4E9D-9CAD-1CE496AFB7A5}" id="{0A9950C3-A6B6-41B8-8DDE-3D987EF1F0FF}">
    <text>Ver de reducir el ciclo de esta máquina, el 25 oz tarda la mitad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4-08-07T17:12:29.52" personId="{FD19AAF2-E2C5-4E9D-9CAD-1CE496AFB7A5}" id="{F58F709C-BEE4-49A7-B57A-F17C450DB690}">
    <text>Ver de reducir el ciclo de esta máquina, el 25 oz tarda la mitad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7211-3132-4C7D-B799-8745570C8FF9}">
  <dimension ref="A1:BC53"/>
  <sheetViews>
    <sheetView workbookViewId="0">
      <selection activeCell="H11" sqref="H11"/>
    </sheetView>
  </sheetViews>
  <sheetFormatPr defaultColWidth="11.44140625" defaultRowHeight="14.4" x14ac:dyDescent="0.3"/>
  <cols>
    <col min="3" max="3" width="11.6640625" bestFit="1" customWidth="1"/>
    <col min="9" max="9" width="12" bestFit="1" customWidth="1"/>
  </cols>
  <sheetData>
    <row r="1" spans="1:55" x14ac:dyDescent="0.3">
      <c r="A1" s="23">
        <v>2013</v>
      </c>
      <c r="B1" s="2" t="s">
        <v>0</v>
      </c>
      <c r="C1" s="2" t="s">
        <v>1</v>
      </c>
      <c r="D1" s="2" t="s">
        <v>2</v>
      </c>
      <c r="E1" s="2">
        <v>2000</v>
      </c>
      <c r="F1" s="2">
        <v>4.7999999999999996E-3</v>
      </c>
      <c r="G1" s="2">
        <v>3.5000000000000001E-3</v>
      </c>
      <c r="H1" s="4">
        <f t="shared" ref="H1" si="0">(F1-G1)/F1</f>
        <v>0.27083333333333326</v>
      </c>
      <c r="I1" s="2" t="s">
        <v>3</v>
      </c>
      <c r="J1" s="2" t="s">
        <v>4</v>
      </c>
      <c r="K1" s="2" t="s">
        <v>5</v>
      </c>
      <c r="L1" s="2" t="s">
        <v>6</v>
      </c>
      <c r="M1" s="2">
        <v>35</v>
      </c>
      <c r="N1" s="6">
        <v>14</v>
      </c>
      <c r="O1" s="131">
        <f t="shared" ref="O1" si="1">IFERROR(60*60*7.5*M1/E1/N1,"")</f>
        <v>33.75</v>
      </c>
      <c r="P1" s="33">
        <f t="shared" ref="P1" si="2">IFERROR(60*60*7.5*M1/E1/O1,"")</f>
        <v>14</v>
      </c>
      <c r="Q1" s="132">
        <f t="shared" ref="Q1" si="3">IFERROR(P1/8,"")</f>
        <v>1.75</v>
      </c>
      <c r="R1" s="132">
        <f t="shared" ref="R1" si="4">IFERROR(IF(P1&gt;2,Q1,""),"")</f>
        <v>1.75</v>
      </c>
      <c r="T1" s="131">
        <f t="shared" ref="T1" si="5">IF(V1&gt;10,V1*M1/E1,"")</f>
        <v>18.243243243243242</v>
      </c>
      <c r="U1" s="17">
        <v>25.9</v>
      </c>
      <c r="V1" s="8">
        <f>60*60*7.5/U1</f>
        <v>1042.4710424710424</v>
      </c>
      <c r="W1" s="9">
        <v>45553</v>
      </c>
      <c r="X1" s="7" t="s">
        <v>7</v>
      </c>
      <c r="Y1" s="117"/>
      <c r="Z1" s="117"/>
      <c r="AA1" s="117"/>
      <c r="BC1" s="108"/>
    </row>
    <row r="2" spans="1:55" x14ac:dyDescent="0.3">
      <c r="H2" s="150"/>
      <c r="N2" s="5"/>
      <c r="O2" s="41"/>
      <c r="P2" s="5"/>
      <c r="Q2" s="151"/>
      <c r="R2" s="151"/>
      <c r="T2" s="41"/>
      <c r="U2" s="13"/>
      <c r="V2" s="5"/>
      <c r="W2" s="24"/>
    </row>
    <row r="4" spans="1:55" ht="43.2" x14ac:dyDescent="0.3">
      <c r="B4" s="18" t="s">
        <v>8</v>
      </c>
      <c r="C4" s="18" t="s">
        <v>9</v>
      </c>
      <c r="D4" s="18" t="s">
        <v>10</v>
      </c>
      <c r="E4" t="s">
        <v>11</v>
      </c>
      <c r="F4" t="s">
        <v>12</v>
      </c>
      <c r="G4" s="18" t="s">
        <v>13</v>
      </c>
      <c r="H4" s="18" t="s">
        <v>14</v>
      </c>
      <c r="I4" s="18" t="s">
        <v>15</v>
      </c>
      <c r="J4" s="18" t="s">
        <v>16</v>
      </c>
      <c r="K4" s="32" t="s">
        <v>17</v>
      </c>
    </row>
    <row r="5" spans="1:55" x14ac:dyDescent="0.3">
      <c r="B5" s="29">
        <v>52.3</v>
      </c>
      <c r="C5" s="29">
        <v>3</v>
      </c>
      <c r="D5" s="41">
        <f>B5/C5</f>
        <v>17.433333333333334</v>
      </c>
      <c r="E5">
        <v>60</v>
      </c>
      <c r="F5">
        <v>60</v>
      </c>
      <c r="G5">
        <v>7.5</v>
      </c>
      <c r="H5" s="29">
        <v>35</v>
      </c>
      <c r="I5" s="29">
        <v>2000</v>
      </c>
      <c r="J5" s="152">
        <f>(E5*F5*G5*H5)/(D5*I5)</f>
        <v>27.103250478011475</v>
      </c>
      <c r="K5" s="152">
        <f t="shared" ref="K5" si="6">J5*0.8</f>
        <v>21.682600382409181</v>
      </c>
    </row>
    <row r="12" spans="1:55" hidden="1" x14ac:dyDescent="0.3"/>
    <row r="13" spans="1:55" s="32" customFormat="1" ht="43.2" hidden="1" x14ac:dyDescent="0.3">
      <c r="B13" s="18" t="s">
        <v>8</v>
      </c>
      <c r="C13" s="18" t="s">
        <v>9</v>
      </c>
      <c r="D13" s="18" t="s">
        <v>10</v>
      </c>
      <c r="J13" s="32" t="s">
        <v>18</v>
      </c>
      <c r="K13" s="32" t="s">
        <v>17</v>
      </c>
    </row>
    <row r="14" spans="1:55" hidden="1" x14ac:dyDescent="0.3">
      <c r="B14" s="147">
        <f>D14*C$14</f>
        <v>101.25</v>
      </c>
      <c r="C14" s="29">
        <v>3</v>
      </c>
      <c r="D14" s="147">
        <f t="shared" ref="D14:D34" si="7">E14*F14*G14*H14/(I14*J14)</f>
        <v>33.75</v>
      </c>
      <c r="E14" s="29">
        <v>60</v>
      </c>
      <c r="F14" s="29">
        <v>60</v>
      </c>
      <c r="G14" s="29">
        <v>7.5</v>
      </c>
      <c r="H14" s="29">
        <f t="shared" ref="H14:H34" si="8">M$1</f>
        <v>35</v>
      </c>
      <c r="I14" s="29">
        <f t="shared" ref="I14:I34" si="9">E$1</f>
        <v>2000</v>
      </c>
      <c r="J14" s="29">
        <v>14</v>
      </c>
      <c r="K14" s="29">
        <f>J14*0.8</f>
        <v>11.200000000000001</v>
      </c>
      <c r="M14" s="28"/>
    </row>
    <row r="15" spans="1:55" hidden="1" x14ac:dyDescent="0.3">
      <c r="B15" s="41">
        <f t="shared" ref="B15:B34" si="10">D15*C$14</f>
        <v>94.5</v>
      </c>
      <c r="D15" s="41">
        <f t="shared" si="7"/>
        <v>31.5</v>
      </c>
      <c r="E15">
        <v>60</v>
      </c>
      <c r="F15">
        <v>60</v>
      </c>
      <c r="G15">
        <v>7.5</v>
      </c>
      <c r="H15">
        <f t="shared" si="8"/>
        <v>35</v>
      </c>
      <c r="I15">
        <f t="shared" si="9"/>
        <v>2000</v>
      </c>
      <c r="J15">
        <v>15</v>
      </c>
      <c r="K15">
        <f t="shared" ref="K15:K34" si="11">J15*0.8</f>
        <v>12</v>
      </c>
    </row>
    <row r="16" spans="1:55" hidden="1" x14ac:dyDescent="0.3">
      <c r="B16" s="41">
        <f t="shared" si="10"/>
        <v>88.59375</v>
      </c>
      <c r="D16" s="41">
        <f t="shared" si="7"/>
        <v>29.53125</v>
      </c>
      <c r="E16">
        <v>60</v>
      </c>
      <c r="F16">
        <v>60</v>
      </c>
      <c r="G16">
        <v>7.5</v>
      </c>
      <c r="H16">
        <f t="shared" si="8"/>
        <v>35</v>
      </c>
      <c r="I16">
        <f t="shared" si="9"/>
        <v>2000</v>
      </c>
      <c r="J16">
        <v>16</v>
      </c>
      <c r="K16">
        <f t="shared" si="11"/>
        <v>12.8</v>
      </c>
    </row>
    <row r="17" spans="2:11" hidden="1" x14ac:dyDescent="0.3">
      <c r="B17" s="41">
        <f t="shared" si="10"/>
        <v>83.382352941176464</v>
      </c>
      <c r="D17" s="41">
        <f t="shared" si="7"/>
        <v>27.794117647058822</v>
      </c>
      <c r="E17">
        <v>60</v>
      </c>
      <c r="F17">
        <v>60</v>
      </c>
      <c r="G17">
        <v>7.5</v>
      </c>
      <c r="H17">
        <f t="shared" si="8"/>
        <v>35</v>
      </c>
      <c r="I17">
        <f t="shared" si="9"/>
        <v>2000</v>
      </c>
      <c r="J17">
        <v>17</v>
      </c>
      <c r="K17">
        <f t="shared" si="11"/>
        <v>13.600000000000001</v>
      </c>
    </row>
    <row r="18" spans="2:11" hidden="1" x14ac:dyDescent="0.3">
      <c r="B18" s="41">
        <f t="shared" si="10"/>
        <v>78.75</v>
      </c>
      <c r="D18" s="41">
        <f t="shared" si="7"/>
        <v>26.25</v>
      </c>
      <c r="E18">
        <v>60</v>
      </c>
      <c r="F18">
        <v>60</v>
      </c>
      <c r="G18">
        <v>7.5</v>
      </c>
      <c r="H18">
        <f t="shared" si="8"/>
        <v>35</v>
      </c>
      <c r="I18">
        <f t="shared" si="9"/>
        <v>2000</v>
      </c>
      <c r="J18">
        <v>18</v>
      </c>
      <c r="K18">
        <f t="shared" si="11"/>
        <v>14.4</v>
      </c>
    </row>
    <row r="19" spans="2:11" hidden="1" x14ac:dyDescent="0.3">
      <c r="B19" s="41">
        <f t="shared" si="10"/>
        <v>74.60526315789474</v>
      </c>
      <c r="D19" s="41">
        <f t="shared" si="7"/>
        <v>24.868421052631579</v>
      </c>
      <c r="E19">
        <v>60</v>
      </c>
      <c r="F19">
        <v>60</v>
      </c>
      <c r="G19">
        <v>7.5</v>
      </c>
      <c r="H19">
        <f t="shared" si="8"/>
        <v>35</v>
      </c>
      <c r="I19">
        <f t="shared" si="9"/>
        <v>2000</v>
      </c>
      <c r="J19">
        <v>19</v>
      </c>
      <c r="K19">
        <f t="shared" si="11"/>
        <v>15.200000000000001</v>
      </c>
    </row>
    <row r="20" spans="2:11" hidden="1" x14ac:dyDescent="0.3">
      <c r="B20" s="41">
        <f t="shared" si="10"/>
        <v>74.60526315789474</v>
      </c>
      <c r="D20" s="41">
        <f t="shared" si="7"/>
        <v>24.868421052631579</v>
      </c>
      <c r="E20">
        <v>60</v>
      </c>
      <c r="F20">
        <v>60</v>
      </c>
      <c r="G20">
        <v>7.5</v>
      </c>
      <c r="H20">
        <f t="shared" si="8"/>
        <v>35</v>
      </c>
      <c r="I20">
        <f t="shared" si="9"/>
        <v>2000</v>
      </c>
      <c r="J20">
        <v>19</v>
      </c>
      <c r="K20">
        <f t="shared" si="11"/>
        <v>15.200000000000001</v>
      </c>
    </row>
    <row r="21" spans="2:11" hidden="1" x14ac:dyDescent="0.3">
      <c r="B21" s="41">
        <f t="shared" si="10"/>
        <v>70.875</v>
      </c>
      <c r="D21" s="41">
        <f t="shared" si="7"/>
        <v>23.625</v>
      </c>
      <c r="E21">
        <v>60</v>
      </c>
      <c r="F21">
        <v>60</v>
      </c>
      <c r="G21">
        <v>7.5</v>
      </c>
      <c r="H21">
        <f t="shared" si="8"/>
        <v>35</v>
      </c>
      <c r="I21">
        <f t="shared" si="9"/>
        <v>2000</v>
      </c>
      <c r="J21">
        <v>20</v>
      </c>
      <c r="K21">
        <f t="shared" si="11"/>
        <v>16</v>
      </c>
    </row>
    <row r="22" spans="2:11" hidden="1" x14ac:dyDescent="0.3">
      <c r="B22" s="41">
        <f t="shared" si="10"/>
        <v>67.5</v>
      </c>
      <c r="D22" s="41">
        <f t="shared" si="7"/>
        <v>22.5</v>
      </c>
      <c r="E22">
        <v>60</v>
      </c>
      <c r="F22">
        <v>60</v>
      </c>
      <c r="G22">
        <v>7.5</v>
      </c>
      <c r="H22">
        <f t="shared" si="8"/>
        <v>35</v>
      </c>
      <c r="I22">
        <f t="shared" si="9"/>
        <v>2000</v>
      </c>
      <c r="J22">
        <v>21</v>
      </c>
      <c r="K22">
        <f t="shared" si="11"/>
        <v>16.8</v>
      </c>
    </row>
    <row r="23" spans="2:11" hidden="1" x14ac:dyDescent="0.3">
      <c r="B23" s="41">
        <f t="shared" si="10"/>
        <v>64.431818181818187</v>
      </c>
      <c r="D23" s="41">
        <f t="shared" si="7"/>
        <v>21.477272727272727</v>
      </c>
      <c r="E23">
        <v>60</v>
      </c>
      <c r="F23">
        <v>60</v>
      </c>
      <c r="G23">
        <v>7.5</v>
      </c>
      <c r="H23">
        <f t="shared" si="8"/>
        <v>35</v>
      </c>
      <c r="I23">
        <f t="shared" si="9"/>
        <v>2000</v>
      </c>
      <c r="J23">
        <v>22</v>
      </c>
      <c r="K23">
        <f t="shared" si="11"/>
        <v>17.600000000000001</v>
      </c>
    </row>
    <row r="24" spans="2:11" hidden="1" x14ac:dyDescent="0.3">
      <c r="B24" s="41">
        <f t="shared" si="10"/>
        <v>61.630434782608702</v>
      </c>
      <c r="D24" s="41">
        <f t="shared" si="7"/>
        <v>20.543478260869566</v>
      </c>
      <c r="E24">
        <v>60</v>
      </c>
      <c r="F24">
        <v>60</v>
      </c>
      <c r="G24">
        <v>7.5</v>
      </c>
      <c r="H24">
        <f t="shared" si="8"/>
        <v>35</v>
      </c>
      <c r="I24">
        <f t="shared" si="9"/>
        <v>2000</v>
      </c>
      <c r="J24">
        <v>23</v>
      </c>
      <c r="K24">
        <f t="shared" si="11"/>
        <v>18.400000000000002</v>
      </c>
    </row>
    <row r="25" spans="2:11" hidden="1" x14ac:dyDescent="0.3">
      <c r="B25" s="41">
        <f t="shared" si="10"/>
        <v>59.0625</v>
      </c>
      <c r="D25" s="41">
        <f t="shared" si="7"/>
        <v>19.6875</v>
      </c>
      <c r="E25">
        <v>60</v>
      </c>
      <c r="F25">
        <v>60</v>
      </c>
      <c r="G25">
        <v>7.5</v>
      </c>
      <c r="H25">
        <f t="shared" si="8"/>
        <v>35</v>
      </c>
      <c r="I25">
        <f t="shared" si="9"/>
        <v>2000</v>
      </c>
      <c r="J25">
        <v>24</v>
      </c>
      <c r="K25">
        <f t="shared" si="11"/>
        <v>19.200000000000003</v>
      </c>
    </row>
    <row r="26" spans="2:11" hidden="1" x14ac:dyDescent="0.3">
      <c r="B26" s="41">
        <f t="shared" si="10"/>
        <v>56.699999999999996</v>
      </c>
      <c r="D26" s="41">
        <f t="shared" si="7"/>
        <v>18.899999999999999</v>
      </c>
      <c r="E26">
        <v>60</v>
      </c>
      <c r="F26">
        <v>60</v>
      </c>
      <c r="G26">
        <v>7.5</v>
      </c>
      <c r="H26">
        <f t="shared" si="8"/>
        <v>35</v>
      </c>
      <c r="I26">
        <f t="shared" si="9"/>
        <v>2000</v>
      </c>
      <c r="J26">
        <v>25</v>
      </c>
      <c r="K26">
        <f t="shared" si="11"/>
        <v>20</v>
      </c>
    </row>
    <row r="27" spans="2:11" hidden="1" x14ac:dyDescent="0.3">
      <c r="B27" s="41">
        <f t="shared" si="10"/>
        <v>54.519230769230774</v>
      </c>
      <c r="D27" s="41">
        <f t="shared" si="7"/>
        <v>18.173076923076923</v>
      </c>
      <c r="E27">
        <v>60</v>
      </c>
      <c r="F27">
        <v>60</v>
      </c>
      <c r="G27">
        <v>7.5</v>
      </c>
      <c r="H27">
        <f t="shared" si="8"/>
        <v>35</v>
      </c>
      <c r="I27">
        <f t="shared" si="9"/>
        <v>2000</v>
      </c>
      <c r="J27">
        <v>26</v>
      </c>
      <c r="K27">
        <f t="shared" si="11"/>
        <v>20.8</v>
      </c>
    </row>
    <row r="28" spans="2:11" hidden="1" x14ac:dyDescent="0.3">
      <c r="B28" s="41">
        <f t="shared" si="10"/>
        <v>52.5</v>
      </c>
      <c r="D28" s="41">
        <f t="shared" si="7"/>
        <v>17.5</v>
      </c>
      <c r="E28">
        <v>60</v>
      </c>
      <c r="F28">
        <v>60</v>
      </c>
      <c r="G28">
        <v>7.5</v>
      </c>
      <c r="H28">
        <f t="shared" si="8"/>
        <v>35</v>
      </c>
      <c r="I28">
        <f t="shared" si="9"/>
        <v>2000</v>
      </c>
      <c r="J28">
        <v>27</v>
      </c>
      <c r="K28">
        <f t="shared" si="11"/>
        <v>21.6</v>
      </c>
    </row>
    <row r="29" spans="2:11" hidden="1" x14ac:dyDescent="0.3">
      <c r="B29" s="41">
        <f t="shared" si="10"/>
        <v>50.625</v>
      </c>
      <c r="D29" s="41">
        <f t="shared" si="7"/>
        <v>16.875</v>
      </c>
      <c r="E29">
        <v>60</v>
      </c>
      <c r="F29">
        <v>60</v>
      </c>
      <c r="G29">
        <v>7.5</v>
      </c>
      <c r="H29">
        <f t="shared" si="8"/>
        <v>35</v>
      </c>
      <c r="I29">
        <f t="shared" si="9"/>
        <v>2000</v>
      </c>
      <c r="J29">
        <v>28</v>
      </c>
      <c r="K29">
        <f t="shared" si="11"/>
        <v>22.400000000000002</v>
      </c>
    </row>
    <row r="30" spans="2:11" hidden="1" x14ac:dyDescent="0.3">
      <c r="B30" s="41">
        <f t="shared" si="10"/>
        <v>48.879310344827587</v>
      </c>
      <c r="D30" s="41">
        <f t="shared" si="7"/>
        <v>16.293103448275861</v>
      </c>
      <c r="E30">
        <v>60</v>
      </c>
      <c r="F30">
        <v>60</v>
      </c>
      <c r="G30">
        <v>7.5</v>
      </c>
      <c r="H30">
        <f t="shared" si="8"/>
        <v>35</v>
      </c>
      <c r="I30">
        <f t="shared" si="9"/>
        <v>2000</v>
      </c>
      <c r="J30">
        <v>29</v>
      </c>
      <c r="K30">
        <f t="shared" si="11"/>
        <v>23.200000000000003</v>
      </c>
    </row>
    <row r="31" spans="2:11" hidden="1" x14ac:dyDescent="0.3">
      <c r="B31" s="149">
        <f t="shared" si="10"/>
        <v>47.25</v>
      </c>
      <c r="D31" s="149">
        <f t="shared" si="7"/>
        <v>15.75</v>
      </c>
      <c r="E31" s="148">
        <v>60</v>
      </c>
      <c r="F31" s="148">
        <v>60</v>
      </c>
      <c r="G31" s="148">
        <v>7.5</v>
      </c>
      <c r="H31" s="148">
        <f t="shared" si="8"/>
        <v>35</v>
      </c>
      <c r="I31" s="148">
        <f t="shared" si="9"/>
        <v>2000</v>
      </c>
      <c r="J31" s="148">
        <v>30</v>
      </c>
      <c r="K31" s="148">
        <f t="shared" si="11"/>
        <v>24</v>
      </c>
    </row>
    <row r="32" spans="2:11" hidden="1" x14ac:dyDescent="0.3">
      <c r="B32" s="41">
        <f t="shared" si="10"/>
        <v>45.725806451612904</v>
      </c>
      <c r="D32" s="41">
        <f t="shared" si="7"/>
        <v>15.241935483870968</v>
      </c>
      <c r="E32">
        <v>60</v>
      </c>
      <c r="F32">
        <v>60</v>
      </c>
      <c r="G32">
        <v>7.5</v>
      </c>
      <c r="H32">
        <f t="shared" si="8"/>
        <v>35</v>
      </c>
      <c r="I32">
        <f t="shared" si="9"/>
        <v>2000</v>
      </c>
      <c r="J32">
        <v>31</v>
      </c>
      <c r="K32">
        <f t="shared" si="11"/>
        <v>24.8</v>
      </c>
    </row>
    <row r="33" spans="2:11" hidden="1" x14ac:dyDescent="0.3">
      <c r="B33" s="41">
        <f t="shared" si="10"/>
        <v>44.296875</v>
      </c>
      <c r="D33" s="41">
        <f t="shared" si="7"/>
        <v>14.765625</v>
      </c>
      <c r="E33">
        <v>60</v>
      </c>
      <c r="F33">
        <v>60</v>
      </c>
      <c r="G33">
        <v>7.5</v>
      </c>
      <c r="H33">
        <f t="shared" si="8"/>
        <v>35</v>
      </c>
      <c r="I33">
        <f t="shared" si="9"/>
        <v>2000</v>
      </c>
      <c r="J33">
        <v>32</v>
      </c>
      <c r="K33">
        <f t="shared" si="11"/>
        <v>25.6</v>
      </c>
    </row>
    <row r="34" spans="2:11" hidden="1" x14ac:dyDescent="0.3">
      <c r="B34" s="41">
        <f t="shared" si="10"/>
        <v>42.954545454545453</v>
      </c>
      <c r="D34" s="41">
        <f t="shared" si="7"/>
        <v>14.318181818181818</v>
      </c>
      <c r="E34">
        <v>60</v>
      </c>
      <c r="F34">
        <v>60</v>
      </c>
      <c r="G34">
        <v>7.5</v>
      </c>
      <c r="H34">
        <f t="shared" si="8"/>
        <v>35</v>
      </c>
      <c r="I34">
        <f t="shared" si="9"/>
        <v>2000</v>
      </c>
      <c r="J34">
        <v>33</v>
      </c>
      <c r="K34">
        <f t="shared" si="11"/>
        <v>26.400000000000002</v>
      </c>
    </row>
    <row r="35" spans="2:11" hidden="1" x14ac:dyDescent="0.3"/>
    <row r="36" spans="2:11" hidden="1" x14ac:dyDescent="0.3"/>
    <row r="37" spans="2:11" hidden="1" x14ac:dyDescent="0.3"/>
    <row r="38" spans="2:11" hidden="1" x14ac:dyDescent="0.3"/>
    <row r="39" spans="2:11" hidden="1" x14ac:dyDescent="0.3"/>
    <row r="40" spans="2:11" hidden="1" x14ac:dyDescent="0.3"/>
    <row r="41" spans="2:11" hidden="1" x14ac:dyDescent="0.3"/>
    <row r="42" spans="2:11" hidden="1" x14ac:dyDescent="0.3"/>
    <row r="43" spans="2:11" hidden="1" x14ac:dyDescent="0.3"/>
    <row r="44" spans="2:11" hidden="1" x14ac:dyDescent="0.3"/>
    <row r="45" spans="2:11" hidden="1" x14ac:dyDescent="0.3"/>
    <row r="46" spans="2:11" hidden="1" x14ac:dyDescent="0.3"/>
    <row r="47" spans="2:11" hidden="1" x14ac:dyDescent="0.3"/>
    <row r="48" spans="2:11" hidden="1" x14ac:dyDescent="0.3"/>
    <row r="49" spans="3:3" hidden="1" x14ac:dyDescent="0.3">
      <c r="C49" s="41"/>
    </row>
    <row r="50" spans="3:3" hidden="1" x14ac:dyDescent="0.3">
      <c r="C50" s="41"/>
    </row>
    <row r="51" spans="3:3" x14ac:dyDescent="0.3">
      <c r="C51" s="41"/>
    </row>
    <row r="52" spans="3:3" x14ac:dyDescent="0.3">
      <c r="C52" s="41"/>
    </row>
    <row r="53" spans="3:3" x14ac:dyDescent="0.3">
      <c r="C53" s="4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AE4B-4842-43CB-BD1D-0450F2317926}">
  <sheetPr codeName="Hoja1"/>
  <dimension ref="A1:CI1048569"/>
  <sheetViews>
    <sheetView tabSelected="1" topLeftCell="CA1" zoomScaleNormal="100" workbookViewId="0">
      <pane ySplit="3" topLeftCell="A637" activePane="bottomLeft" state="frozen"/>
      <selection pane="bottomLeft" activeCell="A246" sqref="A246:XFD246"/>
    </sheetView>
  </sheetViews>
  <sheetFormatPr defaultColWidth="11.44140625" defaultRowHeight="14.4" x14ac:dyDescent="0.3"/>
  <cols>
    <col min="1" max="1" width="5.44140625" bestFit="1" customWidth="1"/>
    <col min="2" max="2" width="14" bestFit="1" customWidth="1"/>
    <col min="3" max="3" width="8.5546875" customWidth="1"/>
    <col min="4" max="4" width="32.33203125" customWidth="1"/>
    <col min="5" max="6" width="11.33203125" customWidth="1"/>
    <col min="7" max="7" width="16.6640625" customWidth="1"/>
    <col min="8" max="8" width="14.5546875" style="1" customWidth="1"/>
    <col min="9" max="9" width="12.6640625" customWidth="1"/>
    <col min="10" max="10" width="32.6640625" customWidth="1"/>
    <col min="11" max="11" width="23" customWidth="1"/>
    <col min="12" max="12" width="31" customWidth="1"/>
    <col min="13" max="13" width="29.44140625" bestFit="1" customWidth="1"/>
    <col min="14" max="14" width="12.109375" customWidth="1"/>
    <col min="15" max="15" width="6.88671875" customWidth="1"/>
    <col min="16" max="18" width="12" style="5" customWidth="1"/>
    <col min="19" max="20" width="11.44140625" style="5" customWidth="1"/>
    <col min="21" max="21" width="11.44140625" customWidth="1"/>
    <col min="22" max="22" width="11.44140625" style="5" customWidth="1"/>
    <col min="23" max="24" width="11.44140625" customWidth="1"/>
    <col min="25" max="25" width="11.44140625" style="157" customWidth="1"/>
    <col min="26" max="55" width="11.44140625" customWidth="1"/>
    <col min="57" max="57" width="5.33203125" style="108" bestFit="1" customWidth="1"/>
  </cols>
  <sheetData>
    <row r="1" spans="1:87" ht="15" thickBot="1" x14ac:dyDescent="0.35">
      <c r="H1"/>
      <c r="P1"/>
      <c r="Q1"/>
      <c r="R1"/>
      <c r="S1"/>
      <c r="T1"/>
      <c r="V1"/>
      <c r="W1" s="13" t="s">
        <v>19</v>
      </c>
      <c r="X1">
        <f>COUNT(O246:O783)</f>
        <v>538</v>
      </c>
      <c r="Y1" s="157" t="s">
        <v>20</v>
      </c>
      <c r="Z1">
        <f>COUNT(W246:W783)</f>
        <v>88</v>
      </c>
      <c r="AD1" s="14">
        <f>Z1/X1</f>
        <v>0.16356877323420074</v>
      </c>
      <c r="AG1" t="s">
        <v>21</v>
      </c>
      <c r="AH1">
        <f>COUNT(A4:A237)</f>
        <v>234</v>
      </c>
      <c r="AI1" t="s">
        <v>20</v>
      </c>
      <c r="AJ1">
        <f>COUNT(AE4:AE237)</f>
        <v>43</v>
      </c>
      <c r="AK1" s="20">
        <f>AJ1/AH1</f>
        <v>0.18376068376068377</v>
      </c>
    </row>
    <row r="2" spans="1:87" x14ac:dyDescent="0.3">
      <c r="A2">
        <v>338</v>
      </c>
      <c r="D2" t="s">
        <v>22</v>
      </c>
      <c r="J2" s="92"/>
      <c r="W2" s="10"/>
      <c r="X2" s="11" t="s">
        <v>23</v>
      </c>
      <c r="Y2" s="158"/>
      <c r="Z2" s="12"/>
    </row>
    <row r="3" spans="1:87" ht="57.6" x14ac:dyDescent="0.3">
      <c r="A3" s="2">
        <v>7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3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156" t="s">
        <v>35</v>
      </c>
      <c r="N3" s="156" t="s">
        <v>36</v>
      </c>
      <c r="O3" s="2" t="s">
        <v>37</v>
      </c>
      <c r="P3" s="6" t="s">
        <v>16</v>
      </c>
      <c r="Q3" s="133" t="s">
        <v>38</v>
      </c>
      <c r="R3" s="133" t="s">
        <v>39</v>
      </c>
      <c r="S3" s="133" t="s">
        <v>40</v>
      </c>
      <c r="T3" s="133" t="s">
        <v>40</v>
      </c>
      <c r="U3" s="165" t="s">
        <v>41</v>
      </c>
      <c r="V3" s="111" t="s">
        <v>42</v>
      </c>
      <c r="W3" s="2" t="s">
        <v>43</v>
      </c>
      <c r="X3" s="2" t="s">
        <v>16</v>
      </c>
      <c r="Y3" s="159" t="s">
        <v>44</v>
      </c>
      <c r="Z3" s="2" t="s">
        <v>45</v>
      </c>
      <c r="AA3" s="21"/>
      <c r="AB3" s="21"/>
      <c r="AC3" s="21"/>
      <c r="AD3" s="21" t="s">
        <v>44</v>
      </c>
      <c r="AE3" s="21" t="s">
        <v>46</v>
      </c>
      <c r="AF3" s="21" t="s">
        <v>47</v>
      </c>
      <c r="AG3" s="21" t="s">
        <v>48</v>
      </c>
      <c r="AH3" s="21" t="s">
        <v>49</v>
      </c>
      <c r="AI3" s="21" t="s">
        <v>50</v>
      </c>
      <c r="AJ3" s="21" t="s">
        <v>51</v>
      </c>
      <c r="AK3" s="21" t="s">
        <v>52</v>
      </c>
      <c r="AL3" s="21" t="s">
        <v>53</v>
      </c>
      <c r="AM3" s="21" t="s">
        <v>54</v>
      </c>
      <c r="AN3" s="21" t="s">
        <v>55</v>
      </c>
      <c r="AO3" s="21" t="s">
        <v>56</v>
      </c>
      <c r="AP3" s="21" t="s">
        <v>57</v>
      </c>
      <c r="AQ3" s="21" t="s">
        <v>58</v>
      </c>
      <c r="AR3" s="21" t="s">
        <v>59</v>
      </c>
      <c r="AS3" s="21" t="s">
        <v>60</v>
      </c>
      <c r="AT3" s="21" t="s">
        <v>61</v>
      </c>
      <c r="AU3" s="21" t="s">
        <v>62</v>
      </c>
      <c r="AV3" s="21" t="s">
        <v>63</v>
      </c>
      <c r="AW3" s="21" t="s">
        <v>64</v>
      </c>
      <c r="AX3" s="21" t="s">
        <v>65</v>
      </c>
      <c r="AY3" s="21" t="s">
        <v>66</v>
      </c>
      <c r="AZ3" s="21" t="s">
        <v>67</v>
      </c>
      <c r="BA3" s="21" t="s">
        <v>68</v>
      </c>
      <c r="BB3" s="21" t="s">
        <v>69</v>
      </c>
      <c r="BC3" s="21" t="s">
        <v>70</v>
      </c>
      <c r="BD3" s="21" t="s">
        <v>71</v>
      </c>
      <c r="BF3" t="s">
        <v>45</v>
      </c>
      <c r="BG3" s="94" t="s">
        <v>44</v>
      </c>
      <c r="BH3" s="21" t="s">
        <v>46</v>
      </c>
      <c r="BI3" s="21" t="s">
        <v>47</v>
      </c>
      <c r="BJ3" s="21" t="s">
        <v>48</v>
      </c>
      <c r="BK3" s="21" t="s">
        <v>49</v>
      </c>
      <c r="BL3" s="21" t="s">
        <v>50</v>
      </c>
      <c r="BM3" s="21" t="s">
        <v>51</v>
      </c>
      <c r="BN3" s="21" t="s">
        <v>52</v>
      </c>
      <c r="BO3" s="21" t="s">
        <v>53</v>
      </c>
      <c r="BP3" s="21" t="s">
        <v>54</v>
      </c>
      <c r="BQ3" s="21" t="s">
        <v>55</v>
      </c>
      <c r="BR3" s="21" t="s">
        <v>56</v>
      </c>
      <c r="BS3" s="21" t="s">
        <v>57</v>
      </c>
      <c r="BT3" s="21" t="s">
        <v>58</v>
      </c>
      <c r="BU3" s="21" t="s">
        <v>59</v>
      </c>
      <c r="BV3" s="21" t="s">
        <v>60</v>
      </c>
      <c r="BW3" s="21" t="s">
        <v>61</v>
      </c>
      <c r="BX3" s="21" t="s">
        <v>62</v>
      </c>
      <c r="BY3" s="21" t="s">
        <v>63</v>
      </c>
      <c r="BZ3" s="21" t="s">
        <v>64</v>
      </c>
      <c r="CA3" s="21" t="s">
        <v>65</v>
      </c>
      <c r="CB3" s="21" t="s">
        <v>66</v>
      </c>
      <c r="CC3" s="21" t="s">
        <v>67</v>
      </c>
      <c r="CD3" s="21" t="s">
        <v>68</v>
      </c>
      <c r="CE3" s="21" t="s">
        <v>69</v>
      </c>
      <c r="CF3" s="21" t="s">
        <v>70</v>
      </c>
      <c r="CG3" s="21" t="s">
        <v>71</v>
      </c>
      <c r="CH3" s="247" t="s">
        <v>1487</v>
      </c>
      <c r="CI3" s="247" t="s">
        <v>1488</v>
      </c>
    </row>
    <row r="4" spans="1:87" x14ac:dyDescent="0.3">
      <c r="A4" s="23">
        <v>338</v>
      </c>
      <c r="B4" s="2" t="s">
        <v>0</v>
      </c>
      <c r="C4" s="2" t="s">
        <v>21</v>
      </c>
      <c r="D4" s="2" t="s">
        <v>72</v>
      </c>
      <c r="E4" s="2">
        <v>1200</v>
      </c>
      <c r="F4" s="2">
        <v>1.6199999999999999E-2</v>
      </c>
      <c r="G4" s="2">
        <v>1.35E-2</v>
      </c>
      <c r="H4" s="4">
        <f t="shared" ref="H4:H35" si="0">(F4-G4)/F4</f>
        <v>0.16666666666666663</v>
      </c>
      <c r="I4" s="2" t="s">
        <v>73</v>
      </c>
      <c r="J4" s="2" t="s">
        <v>74</v>
      </c>
      <c r="K4" s="2" t="s">
        <v>75</v>
      </c>
      <c r="L4" s="2" t="s">
        <v>76</v>
      </c>
      <c r="M4" s="155" t="s">
        <v>77</v>
      </c>
      <c r="N4" s="155"/>
      <c r="O4" s="2">
        <v>6</v>
      </c>
      <c r="P4" s="6">
        <v>17</v>
      </c>
      <c r="Q4" s="132">
        <f>IFERROR(IF(AO4&gt;1,AO4,60*60*8*O4/P4/E4),"")</f>
        <v>6.3</v>
      </c>
      <c r="R4" s="33">
        <f t="shared" ref="R4:R35" si="1">IFERROR(60*60*8*O4/E4/Q4,"")</f>
        <v>22.857142857142858</v>
      </c>
      <c r="S4" s="132">
        <f t="shared" ref="S4:S35" si="2">IFERROR(R4/8,"")</f>
        <v>2.8571428571428572</v>
      </c>
      <c r="T4" s="132">
        <f t="shared" ref="T4:T35" si="3">IFERROR(IF(R4&gt;2,S4,""),"")</f>
        <v>2.8571428571428572</v>
      </c>
      <c r="W4" s="13"/>
      <c r="AD4" s="24">
        <v>45612</v>
      </c>
      <c r="AE4">
        <v>12</v>
      </c>
      <c r="AF4">
        <v>1.6</v>
      </c>
      <c r="AG4">
        <v>0.3</v>
      </c>
      <c r="AH4">
        <v>1.6</v>
      </c>
      <c r="AI4">
        <v>0.4</v>
      </c>
      <c r="AJ4">
        <v>0.12</v>
      </c>
      <c r="AK4">
        <v>0.18</v>
      </c>
      <c r="AL4">
        <v>0.7</v>
      </c>
      <c r="AM4">
        <v>0.6</v>
      </c>
      <c r="AN4">
        <v>0.3</v>
      </c>
      <c r="AO4">
        <v>6.3</v>
      </c>
      <c r="AP4">
        <v>56</v>
      </c>
      <c r="AQ4">
        <v>110</v>
      </c>
      <c r="AR4">
        <v>115</v>
      </c>
      <c r="AS4">
        <v>110</v>
      </c>
      <c r="AT4">
        <v>37</v>
      </c>
      <c r="AU4">
        <v>30</v>
      </c>
      <c r="AV4">
        <v>35</v>
      </c>
      <c r="AW4">
        <v>42</v>
      </c>
      <c r="AX4">
        <v>51</v>
      </c>
      <c r="AY4">
        <v>451</v>
      </c>
      <c r="AZ4" t="s">
        <v>78</v>
      </c>
      <c r="BA4">
        <v>2000</v>
      </c>
      <c r="BB4">
        <v>14</v>
      </c>
      <c r="CH4">
        <v>5</v>
      </c>
      <c r="CI4">
        <v>78</v>
      </c>
    </row>
    <row r="5" spans="1:87" x14ac:dyDescent="0.3">
      <c r="A5" s="23">
        <v>398</v>
      </c>
      <c r="B5" s="2" t="s">
        <v>0</v>
      </c>
      <c r="C5" s="2" t="s">
        <v>21</v>
      </c>
      <c r="D5" s="2" t="s">
        <v>79</v>
      </c>
      <c r="E5" s="2">
        <v>1600</v>
      </c>
      <c r="F5" s="2">
        <v>1.2800000000000001E-2</v>
      </c>
      <c r="G5" s="2">
        <v>1.03E-2</v>
      </c>
      <c r="H5" s="4">
        <f t="shared" si="0"/>
        <v>0.19531250000000003</v>
      </c>
      <c r="I5" s="2" t="s">
        <v>73</v>
      </c>
      <c r="J5" s="2" t="s">
        <v>80</v>
      </c>
      <c r="K5" s="2" t="s">
        <v>75</v>
      </c>
      <c r="L5" s="2" t="s">
        <v>76</v>
      </c>
      <c r="M5" s="155"/>
      <c r="N5" s="155"/>
      <c r="O5" s="2">
        <v>6</v>
      </c>
      <c r="P5" s="6">
        <v>12</v>
      </c>
      <c r="Q5" s="132">
        <v>6.3</v>
      </c>
      <c r="R5" s="33">
        <f t="shared" si="1"/>
        <v>17.142857142857142</v>
      </c>
      <c r="S5" s="132">
        <f t="shared" si="2"/>
        <v>2.1428571428571428</v>
      </c>
      <c r="T5" s="132">
        <f t="shared" si="3"/>
        <v>2.1428571428571428</v>
      </c>
      <c r="W5" s="13"/>
      <c r="AD5" s="24">
        <v>45622</v>
      </c>
      <c r="AE5">
        <v>12</v>
      </c>
      <c r="AF5">
        <v>1.7</v>
      </c>
      <c r="AG5">
        <v>0.5</v>
      </c>
      <c r="AH5">
        <v>1.5</v>
      </c>
      <c r="AI5">
        <v>0.5</v>
      </c>
      <c r="AJ5">
        <v>0.17</v>
      </c>
      <c r="AK5">
        <v>0.25</v>
      </c>
      <c r="AL5">
        <v>0.5</v>
      </c>
      <c r="AM5">
        <v>0.6</v>
      </c>
      <c r="AN5">
        <v>0.45</v>
      </c>
      <c r="AO5">
        <v>6.6</v>
      </c>
      <c r="AP5">
        <v>46</v>
      </c>
      <c r="AQ5">
        <v>104</v>
      </c>
      <c r="AR5">
        <v>105</v>
      </c>
      <c r="AS5">
        <v>105</v>
      </c>
      <c r="AT5">
        <v>45</v>
      </c>
      <c r="AU5">
        <v>30</v>
      </c>
      <c r="AV5">
        <v>35</v>
      </c>
      <c r="AW5">
        <v>42</v>
      </c>
      <c r="AX5">
        <v>51</v>
      </c>
      <c r="AY5">
        <v>459</v>
      </c>
      <c r="AZ5" t="s">
        <v>78</v>
      </c>
      <c r="BA5">
        <v>1400</v>
      </c>
      <c r="BB5">
        <v>14</v>
      </c>
      <c r="CH5">
        <v>1</v>
      </c>
      <c r="CI5">
        <v>41</v>
      </c>
    </row>
    <row r="6" spans="1:87" x14ac:dyDescent="0.3">
      <c r="A6" s="2">
        <v>723</v>
      </c>
      <c r="B6" s="2" t="s">
        <v>0</v>
      </c>
      <c r="C6" s="2" t="s">
        <v>21</v>
      </c>
      <c r="D6" s="2" t="s">
        <v>81</v>
      </c>
      <c r="E6" s="2">
        <v>1320</v>
      </c>
      <c r="F6" s="2">
        <v>8.3999999999999995E-3</v>
      </c>
      <c r="G6" s="2">
        <v>6.3E-3</v>
      </c>
      <c r="H6" s="4">
        <f t="shared" si="0"/>
        <v>0.24999999999999994</v>
      </c>
      <c r="I6" s="2" t="s">
        <v>82</v>
      </c>
      <c r="J6" s="2" t="s">
        <v>83</v>
      </c>
      <c r="K6" s="2" t="s">
        <v>5</v>
      </c>
      <c r="L6" s="2" t="s">
        <v>6</v>
      </c>
      <c r="M6" s="155"/>
      <c r="N6" s="155"/>
      <c r="O6" s="2">
        <v>12</v>
      </c>
      <c r="P6" s="6">
        <v>18</v>
      </c>
      <c r="Q6" s="132">
        <f t="shared" ref="Q6:Q37" si="4">IFERROR(IF(AO6&gt;1,AO6,60*60*8*O6/P6/E6),"")</f>
        <v>14.545454545454545</v>
      </c>
      <c r="R6" s="33">
        <f t="shared" si="1"/>
        <v>18</v>
      </c>
      <c r="S6" s="132">
        <f t="shared" si="2"/>
        <v>2.25</v>
      </c>
      <c r="T6" s="132">
        <f t="shared" si="3"/>
        <v>2.25</v>
      </c>
      <c r="W6" s="13"/>
      <c r="CH6">
        <v>1</v>
      </c>
      <c r="CI6">
        <v>44</v>
      </c>
    </row>
    <row r="7" spans="1:87" x14ac:dyDescent="0.3">
      <c r="A7" s="2">
        <v>724</v>
      </c>
      <c r="B7" s="2" t="s">
        <v>84</v>
      </c>
      <c r="C7" s="2" t="s">
        <v>21</v>
      </c>
      <c r="D7" s="123" t="s">
        <v>85</v>
      </c>
      <c r="E7" s="2">
        <v>1320</v>
      </c>
      <c r="F7" s="2">
        <v>7.4000000000000003E-3</v>
      </c>
      <c r="G7" s="2">
        <v>5.5999999999999999E-3</v>
      </c>
      <c r="H7" s="4">
        <f t="shared" si="0"/>
        <v>0.24324324324324328</v>
      </c>
      <c r="I7" s="123" t="s">
        <v>86</v>
      </c>
      <c r="J7" s="2" t="s">
        <v>87</v>
      </c>
      <c r="K7" s="2" t="s">
        <v>5</v>
      </c>
      <c r="L7" s="2" t="s">
        <v>6</v>
      </c>
      <c r="M7" s="155"/>
      <c r="N7" s="155"/>
      <c r="O7" s="2">
        <v>12</v>
      </c>
      <c r="P7" s="6"/>
      <c r="Q7" s="132" t="str">
        <f t="shared" si="4"/>
        <v/>
      </c>
      <c r="R7" s="33" t="str">
        <f t="shared" si="1"/>
        <v/>
      </c>
      <c r="S7" s="132" t="str">
        <f t="shared" si="2"/>
        <v/>
      </c>
      <c r="T7" s="132" t="str">
        <f t="shared" si="3"/>
        <v/>
      </c>
      <c r="W7" s="13"/>
      <c r="CH7">
        <v>5</v>
      </c>
      <c r="CI7">
        <v>53</v>
      </c>
    </row>
    <row r="8" spans="1:87" x14ac:dyDescent="0.3">
      <c r="A8" s="23">
        <v>1909</v>
      </c>
      <c r="B8" s="2" t="s">
        <v>0</v>
      </c>
      <c r="C8" s="2" t="s">
        <v>21</v>
      </c>
      <c r="D8" s="2" t="s">
        <v>88</v>
      </c>
      <c r="E8" s="2">
        <v>400</v>
      </c>
      <c r="F8" s="2">
        <v>1.09E-2</v>
      </c>
      <c r="G8" s="2">
        <v>8.3999999999999995E-3</v>
      </c>
      <c r="H8" s="4">
        <f t="shared" si="0"/>
        <v>0.22935779816513766</v>
      </c>
      <c r="I8" s="2" t="s">
        <v>82</v>
      </c>
      <c r="J8" s="2" t="s">
        <v>89</v>
      </c>
      <c r="K8" s="2" t="s">
        <v>90</v>
      </c>
      <c r="L8" s="2" t="s">
        <v>6</v>
      </c>
      <c r="M8" s="155"/>
      <c r="N8" s="155"/>
      <c r="O8" s="2">
        <v>9</v>
      </c>
      <c r="P8" s="6">
        <v>90</v>
      </c>
      <c r="Q8" s="132">
        <f t="shared" si="4"/>
        <v>5</v>
      </c>
      <c r="R8" s="33">
        <f t="shared" si="1"/>
        <v>129.6</v>
      </c>
      <c r="S8" s="132">
        <f t="shared" si="2"/>
        <v>16.2</v>
      </c>
      <c r="T8" s="132">
        <f t="shared" si="3"/>
        <v>16.2</v>
      </c>
      <c r="W8" s="13"/>
      <c r="AD8" s="24">
        <v>45519</v>
      </c>
      <c r="AE8">
        <v>14</v>
      </c>
      <c r="AF8">
        <v>1</v>
      </c>
      <c r="AG8">
        <v>0.1</v>
      </c>
      <c r="AH8">
        <v>1</v>
      </c>
      <c r="AI8">
        <v>0.2</v>
      </c>
      <c r="AJ8">
        <v>0.75</v>
      </c>
      <c r="AK8">
        <v>0.15</v>
      </c>
      <c r="AL8">
        <v>0.19</v>
      </c>
      <c r="AM8">
        <v>0.75</v>
      </c>
      <c r="AN8">
        <v>0.4</v>
      </c>
      <c r="AO8">
        <v>5</v>
      </c>
      <c r="AP8">
        <v>58</v>
      </c>
      <c r="AQ8">
        <v>110</v>
      </c>
      <c r="AR8">
        <v>112</v>
      </c>
      <c r="AS8">
        <v>112</v>
      </c>
      <c r="AT8">
        <v>40</v>
      </c>
      <c r="AU8">
        <v>20</v>
      </c>
      <c r="AV8">
        <v>40</v>
      </c>
      <c r="AW8">
        <v>20</v>
      </c>
      <c r="AX8">
        <v>70</v>
      </c>
      <c r="AY8">
        <v>465</v>
      </c>
      <c r="AZ8" s="13" t="s">
        <v>78</v>
      </c>
      <c r="BA8">
        <v>1100</v>
      </c>
      <c r="BB8">
        <v>10</v>
      </c>
      <c r="CH8">
        <v>3</v>
      </c>
      <c r="CI8">
        <v>82</v>
      </c>
    </row>
    <row r="9" spans="1:87" x14ac:dyDescent="0.3">
      <c r="A9" s="2">
        <v>1934</v>
      </c>
      <c r="B9" s="2" t="s">
        <v>0</v>
      </c>
      <c r="C9" s="2" t="s">
        <v>21</v>
      </c>
      <c r="D9" s="2" t="s">
        <v>91</v>
      </c>
      <c r="E9" s="2">
        <v>400</v>
      </c>
      <c r="F9" s="2">
        <v>0.01</v>
      </c>
      <c r="G9" s="2">
        <v>6.7999999999999996E-3</v>
      </c>
      <c r="H9" s="4">
        <f t="shared" si="0"/>
        <v>0.32000000000000006</v>
      </c>
      <c r="I9" s="2" t="s">
        <v>82</v>
      </c>
      <c r="J9" s="2" t="s">
        <v>92</v>
      </c>
      <c r="K9" s="2" t="s">
        <v>90</v>
      </c>
      <c r="L9" s="2" t="s">
        <v>6</v>
      </c>
      <c r="M9" s="155">
        <v>4</v>
      </c>
      <c r="N9" s="155">
        <v>100</v>
      </c>
      <c r="O9" s="2">
        <v>9</v>
      </c>
      <c r="P9" s="6">
        <v>25</v>
      </c>
      <c r="Q9" s="132">
        <f t="shared" si="4"/>
        <v>25.92</v>
      </c>
      <c r="R9" s="33">
        <f t="shared" si="1"/>
        <v>25</v>
      </c>
      <c r="S9" s="132">
        <f t="shared" si="2"/>
        <v>3.125</v>
      </c>
      <c r="T9" s="132">
        <f t="shared" si="3"/>
        <v>3.125</v>
      </c>
      <c r="W9" s="13"/>
      <c r="CH9">
        <v>3</v>
      </c>
      <c r="CI9">
        <v>77</v>
      </c>
    </row>
    <row r="10" spans="1:87" x14ac:dyDescent="0.3">
      <c r="A10" s="2">
        <v>727</v>
      </c>
      <c r="B10" s="2" t="s">
        <v>0</v>
      </c>
      <c r="C10" s="2" t="s">
        <v>21</v>
      </c>
      <c r="D10" s="123" t="s">
        <v>93</v>
      </c>
      <c r="E10" s="2">
        <v>800</v>
      </c>
      <c r="F10" s="2">
        <v>8.6E-3</v>
      </c>
      <c r="G10" s="2">
        <v>6.0000000000000001E-3</v>
      </c>
      <c r="H10" s="4">
        <f t="shared" si="0"/>
        <v>0.30232558139534882</v>
      </c>
      <c r="I10" s="123" t="s">
        <v>86</v>
      </c>
      <c r="J10" s="2" t="s">
        <v>94</v>
      </c>
      <c r="K10" s="2" t="s">
        <v>95</v>
      </c>
      <c r="L10" s="2" t="s">
        <v>96</v>
      </c>
      <c r="M10" s="155"/>
      <c r="N10" s="155"/>
      <c r="O10" s="2">
        <v>9</v>
      </c>
      <c r="P10" s="6">
        <v>20</v>
      </c>
      <c r="Q10" s="132">
        <f t="shared" si="4"/>
        <v>16.2</v>
      </c>
      <c r="R10" s="33">
        <f t="shared" si="1"/>
        <v>20</v>
      </c>
      <c r="S10" s="132">
        <f t="shared" si="2"/>
        <v>2.5</v>
      </c>
      <c r="T10" s="132">
        <f t="shared" si="3"/>
        <v>2.5</v>
      </c>
      <c r="W10" s="13"/>
      <c r="CH10">
        <v>3</v>
      </c>
      <c r="CI10">
        <v>59</v>
      </c>
    </row>
    <row r="11" spans="1:87" x14ac:dyDescent="0.3">
      <c r="A11" s="2">
        <v>728</v>
      </c>
      <c r="B11" s="2" t="s">
        <v>0</v>
      </c>
      <c r="C11" s="2" t="s">
        <v>21</v>
      </c>
      <c r="D11" s="2" t="s">
        <v>97</v>
      </c>
      <c r="E11" s="2">
        <v>800</v>
      </c>
      <c r="F11" s="2">
        <v>1.3100000000000001E-2</v>
      </c>
      <c r="G11" s="2">
        <v>6.7999999999999996E-3</v>
      </c>
      <c r="H11" s="4">
        <f t="shared" si="0"/>
        <v>0.48091603053435117</v>
      </c>
      <c r="I11" s="2" t="s">
        <v>98</v>
      </c>
      <c r="J11" s="2" t="s">
        <v>99</v>
      </c>
      <c r="K11" s="2" t="s">
        <v>95</v>
      </c>
      <c r="L11" s="2" t="s">
        <v>96</v>
      </c>
      <c r="M11" s="155"/>
      <c r="N11" s="155"/>
      <c r="O11" s="2">
        <v>9</v>
      </c>
      <c r="P11" s="6">
        <v>20</v>
      </c>
      <c r="Q11" s="132">
        <f t="shared" si="4"/>
        <v>16.2</v>
      </c>
      <c r="R11" s="33">
        <f t="shared" si="1"/>
        <v>20</v>
      </c>
      <c r="S11" s="132">
        <f t="shared" si="2"/>
        <v>2.5</v>
      </c>
      <c r="T11" s="132">
        <f t="shared" si="3"/>
        <v>2.5</v>
      </c>
      <c r="W11" s="13"/>
      <c r="CH11">
        <v>3</v>
      </c>
      <c r="CI11">
        <v>60</v>
      </c>
    </row>
    <row r="12" spans="1:87" x14ac:dyDescent="0.3">
      <c r="A12" s="23">
        <v>1910</v>
      </c>
      <c r="B12" s="2" t="s">
        <v>0</v>
      </c>
      <c r="C12" s="2" t="s">
        <v>21</v>
      </c>
      <c r="D12" s="2" t="s">
        <v>100</v>
      </c>
      <c r="E12" s="2">
        <v>400</v>
      </c>
      <c r="F12" s="2">
        <v>1.46E-2</v>
      </c>
      <c r="G12" s="2">
        <v>1.0500000000000001E-2</v>
      </c>
      <c r="H12" s="4">
        <f t="shared" si="0"/>
        <v>0.28082191780821913</v>
      </c>
      <c r="I12" s="2" t="s">
        <v>82</v>
      </c>
      <c r="J12" s="2" t="s">
        <v>101</v>
      </c>
      <c r="K12" s="2" t="s">
        <v>90</v>
      </c>
      <c r="L12" s="2" t="s">
        <v>6</v>
      </c>
      <c r="M12" s="155"/>
      <c r="N12" s="155"/>
      <c r="O12" s="2">
        <v>9</v>
      </c>
      <c r="P12" s="6">
        <v>70</v>
      </c>
      <c r="Q12" s="132">
        <f t="shared" si="4"/>
        <v>6.6</v>
      </c>
      <c r="R12" s="33">
        <f t="shared" si="1"/>
        <v>98.181818181818187</v>
      </c>
      <c r="S12" s="132">
        <f t="shared" si="2"/>
        <v>12.272727272727273</v>
      </c>
      <c r="T12" s="132">
        <f t="shared" si="3"/>
        <v>12.272727272727273</v>
      </c>
      <c r="W12" s="13"/>
      <c r="AD12" s="24">
        <v>45519</v>
      </c>
      <c r="AE12">
        <v>14</v>
      </c>
      <c r="AF12">
        <v>1.4</v>
      </c>
      <c r="AG12">
        <v>0.4</v>
      </c>
      <c r="AH12">
        <v>1.4</v>
      </c>
      <c r="AI12">
        <v>0.4</v>
      </c>
      <c r="AJ12">
        <v>1</v>
      </c>
      <c r="AK12">
        <v>0.15</v>
      </c>
      <c r="AL12">
        <v>0.19</v>
      </c>
      <c r="AM12">
        <v>0.6</v>
      </c>
      <c r="AN12">
        <v>0.4</v>
      </c>
      <c r="AO12">
        <v>6.6</v>
      </c>
      <c r="AP12">
        <v>58</v>
      </c>
      <c r="AQ12">
        <v>109</v>
      </c>
      <c r="AR12">
        <v>109</v>
      </c>
      <c r="AS12">
        <v>109</v>
      </c>
      <c r="AT12">
        <v>40</v>
      </c>
      <c r="AU12">
        <v>20</v>
      </c>
      <c r="AV12">
        <v>40</v>
      </c>
      <c r="AW12">
        <v>20</v>
      </c>
      <c r="AX12" t="s">
        <v>102</v>
      </c>
      <c r="AY12">
        <v>465</v>
      </c>
      <c r="AZ12" s="13" t="s">
        <v>78</v>
      </c>
      <c r="BA12">
        <v>1100</v>
      </c>
      <c r="BB12">
        <v>10</v>
      </c>
      <c r="CH12">
        <v>1</v>
      </c>
      <c r="CI12">
        <v>75</v>
      </c>
    </row>
    <row r="13" spans="1:87" x14ac:dyDescent="0.3">
      <c r="A13" s="2">
        <v>726</v>
      </c>
      <c r="B13" s="2" t="s">
        <v>0</v>
      </c>
      <c r="C13" s="2" t="s">
        <v>21</v>
      </c>
      <c r="D13" s="123" t="s">
        <v>103</v>
      </c>
      <c r="E13" s="2">
        <v>800</v>
      </c>
      <c r="F13" s="2">
        <v>1.15E-2</v>
      </c>
      <c r="G13" s="2">
        <v>8.0000000000000002E-3</v>
      </c>
      <c r="H13" s="4">
        <f t="shared" si="0"/>
        <v>0.30434782608695649</v>
      </c>
      <c r="I13" s="123" t="s">
        <v>86</v>
      </c>
      <c r="J13" s="2" t="s">
        <v>104</v>
      </c>
      <c r="K13" s="2" t="s">
        <v>105</v>
      </c>
      <c r="L13" s="2" t="s">
        <v>76</v>
      </c>
      <c r="M13" s="155"/>
      <c r="N13" s="155"/>
      <c r="O13" s="2">
        <v>9</v>
      </c>
      <c r="P13" s="6">
        <v>24</v>
      </c>
      <c r="Q13" s="132">
        <f t="shared" si="4"/>
        <v>13.5</v>
      </c>
      <c r="R13" s="33">
        <f t="shared" si="1"/>
        <v>24</v>
      </c>
      <c r="S13" s="132">
        <f t="shared" si="2"/>
        <v>3</v>
      </c>
      <c r="T13" s="132">
        <f t="shared" si="3"/>
        <v>3</v>
      </c>
      <c r="W13" s="13"/>
      <c r="CH13">
        <v>4</v>
      </c>
      <c r="CI13">
        <v>77</v>
      </c>
    </row>
    <row r="14" spans="1:87" x14ac:dyDescent="0.3">
      <c r="A14" s="23">
        <v>1914</v>
      </c>
      <c r="B14" s="2" t="s">
        <v>0</v>
      </c>
      <c r="C14" s="2" t="s">
        <v>21</v>
      </c>
      <c r="D14" s="2" t="s">
        <v>106</v>
      </c>
      <c r="E14" s="2">
        <v>300</v>
      </c>
      <c r="F14" s="2">
        <v>2.6200000000000001E-2</v>
      </c>
      <c r="G14" s="2">
        <v>2.1399999999999999E-2</v>
      </c>
      <c r="H14" s="4">
        <f t="shared" si="0"/>
        <v>0.18320610687022909</v>
      </c>
      <c r="I14" s="2" t="s">
        <v>82</v>
      </c>
      <c r="J14" s="2" t="s">
        <v>107</v>
      </c>
      <c r="K14" s="2" t="s">
        <v>90</v>
      </c>
      <c r="L14" s="2" t="s">
        <v>6</v>
      </c>
      <c r="M14" s="155">
        <v>1</v>
      </c>
      <c r="N14" s="155">
        <v>300</v>
      </c>
      <c r="O14" s="2">
        <v>3</v>
      </c>
      <c r="P14" s="6">
        <v>45</v>
      </c>
      <c r="Q14" s="132">
        <f t="shared" si="4"/>
        <v>4.4000000000000004</v>
      </c>
      <c r="R14" s="33">
        <f t="shared" si="1"/>
        <v>65.454545454545453</v>
      </c>
      <c r="S14" s="132">
        <f t="shared" si="2"/>
        <v>8.1818181818181817</v>
      </c>
      <c r="T14" s="132">
        <f t="shared" si="3"/>
        <v>8.1818181818181817</v>
      </c>
      <c r="W14" s="13"/>
      <c r="AD14" s="124">
        <v>45538</v>
      </c>
      <c r="AE14">
        <v>15</v>
      </c>
      <c r="AF14">
        <v>0.9</v>
      </c>
      <c r="AG14">
        <v>0.2</v>
      </c>
      <c r="AH14">
        <v>1</v>
      </c>
      <c r="AI14">
        <v>0.2</v>
      </c>
      <c r="AJ14">
        <v>0.55000000000000004</v>
      </c>
      <c r="AK14">
        <v>0.17</v>
      </c>
      <c r="AL14">
        <v>0.17</v>
      </c>
      <c r="AM14">
        <v>0.4</v>
      </c>
      <c r="AN14">
        <v>0.3</v>
      </c>
      <c r="AO14">
        <v>4.4000000000000004</v>
      </c>
      <c r="AP14">
        <v>61</v>
      </c>
      <c r="AQ14">
        <v>103</v>
      </c>
      <c r="AR14">
        <v>103</v>
      </c>
      <c r="AS14">
        <v>103</v>
      </c>
      <c r="AT14">
        <v>38</v>
      </c>
      <c r="AU14">
        <v>20</v>
      </c>
      <c r="AV14">
        <v>40</v>
      </c>
      <c r="AW14">
        <v>20</v>
      </c>
      <c r="AX14">
        <v>100</v>
      </c>
      <c r="AY14">
        <v>365</v>
      </c>
      <c r="AZ14" t="s">
        <v>78</v>
      </c>
      <c r="BA14">
        <v>1500</v>
      </c>
      <c r="BB14">
        <v>10</v>
      </c>
      <c r="BE14" s="116">
        <f>AO14/4.5-1</f>
        <v>-2.2222222222222143E-2</v>
      </c>
      <c r="BF14" s="13" t="s">
        <v>108</v>
      </c>
      <c r="BG14" t="s">
        <v>109</v>
      </c>
      <c r="BH14" t="s">
        <v>110</v>
      </c>
      <c r="BI14" t="s">
        <v>111</v>
      </c>
      <c r="BJ14" t="s">
        <v>112</v>
      </c>
      <c r="BK14" t="s">
        <v>111</v>
      </c>
      <c r="BL14" t="s">
        <v>113</v>
      </c>
      <c r="BM14" t="s">
        <v>114</v>
      </c>
      <c r="BN14" t="s">
        <v>115</v>
      </c>
      <c r="BO14" t="s">
        <v>116</v>
      </c>
      <c r="BP14" t="s">
        <v>117</v>
      </c>
      <c r="BQ14" t="s">
        <v>118</v>
      </c>
      <c r="BR14" t="s">
        <v>119</v>
      </c>
      <c r="BS14" t="s">
        <v>120</v>
      </c>
      <c r="BT14" t="s">
        <v>120</v>
      </c>
      <c r="BU14" t="s">
        <v>120</v>
      </c>
      <c r="BV14" t="s">
        <v>121</v>
      </c>
      <c r="BW14" t="s">
        <v>122</v>
      </c>
      <c r="BX14" t="s">
        <v>123</v>
      </c>
      <c r="BY14" t="s">
        <v>122</v>
      </c>
      <c r="BZ14" t="s">
        <v>124</v>
      </c>
      <c r="CA14" t="s">
        <v>125</v>
      </c>
      <c r="CB14" t="s">
        <v>78</v>
      </c>
      <c r="CC14" t="s">
        <v>126</v>
      </c>
      <c r="CD14" t="s">
        <v>127</v>
      </c>
      <c r="CH14">
        <v>6</v>
      </c>
      <c r="CI14">
        <v>53</v>
      </c>
    </row>
    <row r="15" spans="1:87" x14ac:dyDescent="0.3">
      <c r="A15" s="2">
        <v>1825</v>
      </c>
      <c r="B15" s="2" t="s">
        <v>0</v>
      </c>
      <c r="C15" s="2" t="s">
        <v>21</v>
      </c>
      <c r="D15" s="123" t="s">
        <v>128</v>
      </c>
      <c r="E15" s="123">
        <v>500</v>
      </c>
      <c r="F15" s="2">
        <v>2.6200000000000001E-2</v>
      </c>
      <c r="G15" s="2">
        <v>2.1399999999999999E-2</v>
      </c>
      <c r="H15" s="4">
        <f t="shared" si="0"/>
        <v>0.18320610687022909</v>
      </c>
      <c r="I15" s="2" t="s">
        <v>82</v>
      </c>
      <c r="J15" s="2" t="s">
        <v>107</v>
      </c>
      <c r="K15" s="2" t="s">
        <v>129</v>
      </c>
      <c r="L15" s="2" t="s">
        <v>96</v>
      </c>
      <c r="M15" s="155"/>
      <c r="N15" s="155"/>
      <c r="O15" s="2">
        <v>3</v>
      </c>
      <c r="P15" s="6">
        <v>33</v>
      </c>
      <c r="Q15" s="132">
        <f t="shared" si="4"/>
        <v>5.2363636363636363</v>
      </c>
      <c r="R15" s="33">
        <f t="shared" si="1"/>
        <v>33</v>
      </c>
      <c r="S15" s="132">
        <f t="shared" si="2"/>
        <v>4.125</v>
      </c>
      <c r="T15" s="132">
        <f t="shared" si="3"/>
        <v>4.125</v>
      </c>
      <c r="W15" s="13"/>
      <c r="CH15">
        <v>6</v>
      </c>
      <c r="CI15">
        <v>81</v>
      </c>
    </row>
    <row r="16" spans="1:87" x14ac:dyDescent="0.3">
      <c r="A16" s="2">
        <v>1813</v>
      </c>
      <c r="B16" s="2" t="s">
        <v>84</v>
      </c>
      <c r="C16" s="2" t="s">
        <v>21</v>
      </c>
      <c r="D16" s="2" t="s">
        <v>130</v>
      </c>
      <c r="E16" s="2">
        <v>500</v>
      </c>
      <c r="F16" s="2">
        <v>3.1099999999999999E-2</v>
      </c>
      <c r="G16" s="2">
        <v>2.5399999999999999E-2</v>
      </c>
      <c r="H16" s="4">
        <f t="shared" si="0"/>
        <v>0.18327974276527331</v>
      </c>
      <c r="I16" s="2" t="s">
        <v>82</v>
      </c>
      <c r="J16" s="2" t="s">
        <v>131</v>
      </c>
      <c r="K16" s="2" t="s">
        <v>132</v>
      </c>
      <c r="L16" s="2" t="s">
        <v>76</v>
      </c>
      <c r="M16" s="155"/>
      <c r="N16" s="155"/>
      <c r="O16" s="2">
        <v>3</v>
      </c>
      <c r="P16" s="6"/>
      <c r="Q16" s="132" t="str">
        <f t="shared" si="4"/>
        <v/>
      </c>
      <c r="R16" s="33" t="str">
        <f t="shared" si="1"/>
        <v/>
      </c>
      <c r="S16" s="132" t="str">
        <f t="shared" si="2"/>
        <v/>
      </c>
      <c r="T16" s="132" t="str">
        <f t="shared" si="3"/>
        <v/>
      </c>
      <c r="W16" s="13"/>
      <c r="CH16">
        <v>4</v>
      </c>
      <c r="CI16">
        <v>41</v>
      </c>
    </row>
    <row r="17" spans="1:87" x14ac:dyDescent="0.3">
      <c r="A17" s="23">
        <v>104</v>
      </c>
      <c r="B17" s="2" t="s">
        <v>0</v>
      </c>
      <c r="C17" s="2" t="s">
        <v>21</v>
      </c>
      <c r="D17" s="2" t="s">
        <v>133</v>
      </c>
      <c r="E17" s="2">
        <v>200</v>
      </c>
      <c r="F17" s="2">
        <v>1.15E-2</v>
      </c>
      <c r="G17" s="2">
        <v>8.6999999999999994E-3</v>
      </c>
      <c r="H17" s="4">
        <f t="shared" si="0"/>
        <v>0.24347826086956526</v>
      </c>
      <c r="I17" s="2" t="s">
        <v>82</v>
      </c>
      <c r="J17" s="2" t="s">
        <v>134</v>
      </c>
      <c r="K17" s="2"/>
      <c r="L17" s="2"/>
      <c r="M17" s="155"/>
      <c r="N17" s="155"/>
      <c r="O17" s="2">
        <v>6</v>
      </c>
      <c r="P17" s="6">
        <v>70</v>
      </c>
      <c r="Q17" s="132">
        <f t="shared" si="4"/>
        <v>7.9</v>
      </c>
      <c r="R17" s="33">
        <f t="shared" si="1"/>
        <v>109.36708860759494</v>
      </c>
      <c r="S17" s="132">
        <f t="shared" si="2"/>
        <v>13.670886075949367</v>
      </c>
      <c r="T17" s="132">
        <f t="shared" si="3"/>
        <v>13.670886075949367</v>
      </c>
      <c r="W17" s="13"/>
      <c r="AD17" s="24">
        <v>45607</v>
      </c>
      <c r="AE17">
        <v>14</v>
      </c>
      <c r="AF17">
        <v>2</v>
      </c>
      <c r="AG17">
        <v>0.45</v>
      </c>
      <c r="AH17">
        <v>2.7</v>
      </c>
      <c r="AI17">
        <v>0.45</v>
      </c>
      <c r="AJ17">
        <v>0.6</v>
      </c>
      <c r="AK17">
        <v>0.2</v>
      </c>
      <c r="AL17">
        <v>0.14000000000000001</v>
      </c>
      <c r="AM17">
        <v>0.6</v>
      </c>
      <c r="AN17">
        <v>0.3</v>
      </c>
      <c r="AO17">
        <v>7.9</v>
      </c>
      <c r="AP17">
        <v>42</v>
      </c>
      <c r="AQ17">
        <v>102</v>
      </c>
      <c r="AR17">
        <v>102</v>
      </c>
      <c r="AS17">
        <v>102</v>
      </c>
      <c r="AT17">
        <v>40</v>
      </c>
      <c r="AU17">
        <v>20</v>
      </c>
      <c r="AV17">
        <v>40</v>
      </c>
      <c r="AW17">
        <v>20</v>
      </c>
      <c r="AX17">
        <v>70</v>
      </c>
      <c r="AY17">
        <v>360</v>
      </c>
      <c r="AZ17" t="s">
        <v>78</v>
      </c>
      <c r="BA17">
        <v>900</v>
      </c>
      <c r="BB17">
        <v>10</v>
      </c>
      <c r="CH17">
        <v>3</v>
      </c>
      <c r="CI17">
        <v>86</v>
      </c>
    </row>
    <row r="18" spans="1:87" x14ac:dyDescent="0.3">
      <c r="A18" s="2">
        <v>43</v>
      </c>
      <c r="B18" s="2" t="s">
        <v>84</v>
      </c>
      <c r="C18" s="2" t="s">
        <v>21</v>
      </c>
      <c r="D18" s="123" t="s">
        <v>135</v>
      </c>
      <c r="E18" s="2">
        <v>300</v>
      </c>
      <c r="F18" s="2">
        <v>9.1000000000000004E-3</v>
      </c>
      <c r="G18" s="2">
        <v>6.4000000000000003E-3</v>
      </c>
      <c r="H18" s="4">
        <f t="shared" si="0"/>
        <v>0.2967032967032967</v>
      </c>
      <c r="I18" s="123" t="s">
        <v>86</v>
      </c>
      <c r="J18" s="2" t="s">
        <v>136</v>
      </c>
      <c r="K18" s="2" t="s">
        <v>137</v>
      </c>
      <c r="L18" s="2" t="s">
        <v>96</v>
      </c>
      <c r="M18" s="155"/>
      <c r="N18" s="155"/>
      <c r="O18" s="2">
        <v>6</v>
      </c>
      <c r="P18" s="6"/>
      <c r="Q18" s="132" t="str">
        <f t="shared" si="4"/>
        <v/>
      </c>
      <c r="R18" s="33" t="str">
        <f t="shared" si="1"/>
        <v/>
      </c>
      <c r="S18" s="132" t="str">
        <f t="shared" si="2"/>
        <v/>
      </c>
      <c r="T18" s="132" t="str">
        <f t="shared" si="3"/>
        <v/>
      </c>
      <c r="W18" s="13"/>
      <c r="Y18"/>
      <c r="CH18">
        <v>1</v>
      </c>
      <c r="CI18">
        <v>71</v>
      </c>
    </row>
    <row r="19" spans="1:87" x14ac:dyDescent="0.3">
      <c r="A19" s="23">
        <v>105</v>
      </c>
      <c r="B19" s="2" t="s">
        <v>0</v>
      </c>
      <c r="C19" s="2" t="s">
        <v>21</v>
      </c>
      <c r="D19" s="2" t="s">
        <v>138</v>
      </c>
      <c r="E19" s="2">
        <v>200</v>
      </c>
      <c r="F19" s="2">
        <v>2.3099999999999999E-2</v>
      </c>
      <c r="G19" s="2">
        <v>1.7299999999999999E-2</v>
      </c>
      <c r="H19" s="4">
        <f t="shared" si="0"/>
        <v>0.25108225108225107</v>
      </c>
      <c r="I19" s="2" t="s">
        <v>82</v>
      </c>
      <c r="J19" s="2" t="s">
        <v>139</v>
      </c>
      <c r="K19" s="2" t="s">
        <v>132</v>
      </c>
      <c r="L19" s="2" t="s">
        <v>96</v>
      </c>
      <c r="M19" s="155">
        <v>4</v>
      </c>
      <c r="N19" s="155">
        <v>50</v>
      </c>
      <c r="O19" s="2">
        <v>6</v>
      </c>
      <c r="P19" s="6">
        <v>46</v>
      </c>
      <c r="Q19" s="132">
        <f t="shared" si="4"/>
        <v>11.4</v>
      </c>
      <c r="R19" s="33">
        <f t="shared" si="1"/>
        <v>75.78947368421052</v>
      </c>
      <c r="S19" s="132">
        <f t="shared" si="2"/>
        <v>9.473684210526315</v>
      </c>
      <c r="T19" s="132">
        <f t="shared" si="3"/>
        <v>9.473684210526315</v>
      </c>
      <c r="W19" s="13"/>
      <c r="AD19" s="22">
        <v>45604</v>
      </c>
      <c r="AE19">
        <v>13</v>
      </c>
      <c r="AF19">
        <v>3.5</v>
      </c>
      <c r="AG19">
        <v>0.4</v>
      </c>
      <c r="AH19">
        <v>3.7</v>
      </c>
      <c r="AI19">
        <v>0.5</v>
      </c>
      <c r="AJ19">
        <v>1.2</v>
      </c>
      <c r="AK19">
        <v>0.19</v>
      </c>
      <c r="AL19">
        <v>0.16</v>
      </c>
      <c r="AM19">
        <v>0.9</v>
      </c>
      <c r="AN19">
        <v>0.35</v>
      </c>
      <c r="AO19">
        <v>11.4</v>
      </c>
      <c r="AP19">
        <v>50</v>
      </c>
      <c r="AQ19">
        <v>107</v>
      </c>
      <c r="AR19">
        <v>107</v>
      </c>
      <c r="AS19">
        <v>107</v>
      </c>
      <c r="AT19">
        <v>49</v>
      </c>
      <c r="AU19">
        <v>20</v>
      </c>
      <c r="AV19">
        <v>40</v>
      </c>
      <c r="AW19">
        <v>20</v>
      </c>
      <c r="AX19">
        <v>65</v>
      </c>
      <c r="AY19">
        <v>386</v>
      </c>
      <c r="AZ19" t="s">
        <v>78</v>
      </c>
      <c r="BA19">
        <v>1000</v>
      </c>
      <c r="CH19">
        <v>4</v>
      </c>
      <c r="CI19">
        <v>37</v>
      </c>
    </row>
    <row r="20" spans="1:87" x14ac:dyDescent="0.3">
      <c r="A20" s="2">
        <v>113</v>
      </c>
      <c r="B20" s="2" t="s">
        <v>0</v>
      </c>
      <c r="C20" s="2" t="s">
        <v>21</v>
      </c>
      <c r="D20" s="2" t="s">
        <v>140</v>
      </c>
      <c r="E20" s="2">
        <v>300</v>
      </c>
      <c r="F20" s="2">
        <v>2.3099999999999999E-2</v>
      </c>
      <c r="G20" s="2">
        <v>1.7299999999999999E-2</v>
      </c>
      <c r="H20" s="4">
        <f t="shared" si="0"/>
        <v>0.25108225108225107</v>
      </c>
      <c r="I20" s="2" t="s">
        <v>82</v>
      </c>
      <c r="J20" s="2" t="s">
        <v>139</v>
      </c>
      <c r="K20" s="2" t="s">
        <v>129</v>
      </c>
      <c r="L20" s="2" t="s">
        <v>96</v>
      </c>
      <c r="M20" s="155"/>
      <c r="N20" s="155"/>
      <c r="O20" s="2">
        <v>6</v>
      </c>
      <c r="P20" s="6">
        <v>26</v>
      </c>
      <c r="Q20" s="132">
        <f t="shared" si="4"/>
        <v>22.153846153846153</v>
      </c>
      <c r="R20" s="33">
        <f t="shared" si="1"/>
        <v>26</v>
      </c>
      <c r="S20" s="132">
        <f t="shared" si="2"/>
        <v>3.25</v>
      </c>
      <c r="T20" s="132">
        <f t="shared" si="3"/>
        <v>3.25</v>
      </c>
      <c r="W20" s="13"/>
      <c r="CH20">
        <v>6</v>
      </c>
      <c r="CI20">
        <v>69</v>
      </c>
    </row>
    <row r="21" spans="1:87" x14ac:dyDescent="0.3">
      <c r="A21" s="2">
        <v>107</v>
      </c>
      <c r="B21" s="2" t="s">
        <v>0</v>
      </c>
      <c r="C21" s="2" t="s">
        <v>21</v>
      </c>
      <c r="D21" s="2" t="s">
        <v>141</v>
      </c>
      <c r="E21" s="2">
        <v>200</v>
      </c>
      <c r="F21" s="2">
        <v>3.4599999999999999E-2</v>
      </c>
      <c r="G21" s="2">
        <v>2.5999999999999999E-2</v>
      </c>
      <c r="H21" s="4">
        <f t="shared" si="0"/>
        <v>0.2485549132947977</v>
      </c>
      <c r="I21" s="2" t="s">
        <v>82</v>
      </c>
      <c r="J21" s="2" t="s">
        <v>142</v>
      </c>
      <c r="K21" s="2"/>
      <c r="L21" s="2"/>
      <c r="M21" s="155"/>
      <c r="N21" s="155"/>
      <c r="O21" s="2">
        <v>6</v>
      </c>
      <c r="P21" s="6">
        <v>55</v>
      </c>
      <c r="Q21" s="132">
        <f t="shared" si="4"/>
        <v>15.709090909090911</v>
      </c>
      <c r="R21" s="33">
        <f t="shared" si="1"/>
        <v>54.999999999999993</v>
      </c>
      <c r="S21" s="132">
        <f t="shared" si="2"/>
        <v>6.8749999999999991</v>
      </c>
      <c r="T21" s="132">
        <f t="shared" si="3"/>
        <v>6.8749999999999991</v>
      </c>
      <c r="W21" s="13"/>
      <c r="CH21">
        <v>5</v>
      </c>
      <c r="CI21">
        <v>33</v>
      </c>
    </row>
    <row r="22" spans="1:87" x14ac:dyDescent="0.3">
      <c r="A22" s="2">
        <v>44</v>
      </c>
      <c r="B22" s="2" t="s">
        <v>0</v>
      </c>
      <c r="C22" s="2" t="s">
        <v>21</v>
      </c>
      <c r="D22" s="123" t="s">
        <v>143</v>
      </c>
      <c r="E22" s="2">
        <v>300</v>
      </c>
      <c r="F22" s="2">
        <v>2.1700000000000001E-2</v>
      </c>
      <c r="G22" s="2">
        <v>1.4999999999999999E-2</v>
      </c>
      <c r="H22" s="4">
        <f t="shared" si="0"/>
        <v>0.30875576036866365</v>
      </c>
      <c r="I22" s="123" t="s">
        <v>86</v>
      </c>
      <c r="J22" s="2" t="s">
        <v>144</v>
      </c>
      <c r="K22" s="2" t="s">
        <v>129</v>
      </c>
      <c r="L22" s="2" t="s">
        <v>96</v>
      </c>
      <c r="M22" s="155"/>
      <c r="N22" s="155"/>
      <c r="O22" s="2">
        <v>6</v>
      </c>
      <c r="P22" s="6">
        <v>40</v>
      </c>
      <c r="Q22" s="132">
        <f t="shared" si="4"/>
        <v>14.4</v>
      </c>
      <c r="R22" s="33">
        <f t="shared" si="1"/>
        <v>40</v>
      </c>
      <c r="S22" s="132">
        <f t="shared" si="2"/>
        <v>5</v>
      </c>
      <c r="T22" s="132">
        <f t="shared" si="3"/>
        <v>5</v>
      </c>
      <c r="W22" s="13"/>
      <c r="Y22"/>
      <c r="CH22">
        <v>6</v>
      </c>
      <c r="CI22">
        <v>43</v>
      </c>
    </row>
    <row r="23" spans="1:87" x14ac:dyDescent="0.3">
      <c r="A23" s="2">
        <v>1911</v>
      </c>
      <c r="B23" s="2" t="s">
        <v>0</v>
      </c>
      <c r="C23" s="2" t="s">
        <v>21</v>
      </c>
      <c r="D23" s="2" t="s">
        <v>145</v>
      </c>
      <c r="E23" s="2">
        <v>300</v>
      </c>
      <c r="F23" s="2">
        <v>1.6799999999999999E-2</v>
      </c>
      <c r="G23" s="2">
        <v>1.2999999999999999E-2</v>
      </c>
      <c r="H23" s="4">
        <f t="shared" si="0"/>
        <v>0.22619047619047619</v>
      </c>
      <c r="I23" s="2" t="s">
        <v>82</v>
      </c>
      <c r="J23" s="2" t="s">
        <v>146</v>
      </c>
      <c r="K23" s="2" t="s">
        <v>90</v>
      </c>
      <c r="L23" s="2" t="s">
        <v>6</v>
      </c>
      <c r="M23" s="155"/>
      <c r="N23" s="155"/>
      <c r="O23" s="2">
        <v>4</v>
      </c>
      <c r="P23" s="6">
        <v>25</v>
      </c>
      <c r="Q23" s="132">
        <f t="shared" si="4"/>
        <v>15.36</v>
      </c>
      <c r="R23" s="33">
        <f t="shared" si="1"/>
        <v>25</v>
      </c>
      <c r="S23" s="132">
        <f t="shared" si="2"/>
        <v>3.125</v>
      </c>
      <c r="T23" s="132">
        <f t="shared" si="3"/>
        <v>3.125</v>
      </c>
      <c r="W23" s="13"/>
      <c r="CH23">
        <v>5</v>
      </c>
      <c r="CI23">
        <v>44</v>
      </c>
    </row>
    <row r="24" spans="1:87" x14ac:dyDescent="0.3">
      <c r="A24" s="2">
        <v>1935</v>
      </c>
      <c r="B24" s="2" t="s">
        <v>0</v>
      </c>
      <c r="C24" s="2" t="s">
        <v>21</v>
      </c>
      <c r="D24" s="2" t="s">
        <v>147</v>
      </c>
      <c r="E24" s="2">
        <v>300</v>
      </c>
      <c r="F24" s="2">
        <v>1.54E-2</v>
      </c>
      <c r="G24" s="2">
        <v>1.0500000000000001E-2</v>
      </c>
      <c r="H24" s="4">
        <f t="shared" si="0"/>
        <v>0.31818181818181818</v>
      </c>
      <c r="I24" s="2" t="s">
        <v>82</v>
      </c>
      <c r="J24" s="2" t="s">
        <v>148</v>
      </c>
      <c r="K24" s="2" t="s">
        <v>90</v>
      </c>
      <c r="L24" s="2" t="s">
        <v>6</v>
      </c>
      <c r="M24" s="155"/>
      <c r="N24" s="155"/>
      <c r="O24" s="2">
        <v>4</v>
      </c>
      <c r="P24" s="6">
        <v>30</v>
      </c>
      <c r="Q24" s="132">
        <f t="shared" si="4"/>
        <v>12.8</v>
      </c>
      <c r="R24" s="33">
        <f t="shared" si="1"/>
        <v>30</v>
      </c>
      <c r="S24" s="132">
        <f t="shared" si="2"/>
        <v>3.75</v>
      </c>
      <c r="T24" s="132">
        <f t="shared" si="3"/>
        <v>3.75</v>
      </c>
      <c r="W24" s="18"/>
      <c r="X24" s="18"/>
      <c r="Y24" s="160"/>
      <c r="Z24" s="18"/>
      <c r="AA24" s="18"/>
      <c r="AB24" s="18"/>
      <c r="AC24" s="18"/>
      <c r="AD24" s="18"/>
      <c r="CH24">
        <v>5</v>
      </c>
      <c r="CI24">
        <v>71</v>
      </c>
    </row>
    <row r="25" spans="1:87" x14ac:dyDescent="0.3">
      <c r="A25" s="2">
        <v>731</v>
      </c>
      <c r="B25" s="2" t="s">
        <v>0</v>
      </c>
      <c r="C25" s="2" t="s">
        <v>21</v>
      </c>
      <c r="D25" s="123" t="s">
        <v>149</v>
      </c>
      <c r="E25" s="2">
        <v>540</v>
      </c>
      <c r="F25" s="2">
        <v>1.32E-2</v>
      </c>
      <c r="G25" s="2">
        <v>9.4000000000000004E-3</v>
      </c>
      <c r="H25" s="4">
        <f t="shared" si="0"/>
        <v>0.28787878787878785</v>
      </c>
      <c r="I25" s="123" t="s">
        <v>86</v>
      </c>
      <c r="J25" s="2" t="s">
        <v>150</v>
      </c>
      <c r="K25" s="2" t="s">
        <v>105</v>
      </c>
      <c r="L25" s="2" t="s">
        <v>76</v>
      </c>
      <c r="M25" s="155"/>
      <c r="N25" s="155"/>
      <c r="O25" s="2">
        <v>4</v>
      </c>
      <c r="P25" s="6">
        <v>28</v>
      </c>
      <c r="Q25" s="132">
        <f t="shared" si="4"/>
        <v>7.6190476190476195</v>
      </c>
      <c r="R25" s="33">
        <f t="shared" si="1"/>
        <v>28</v>
      </c>
      <c r="S25" s="132">
        <f t="shared" si="2"/>
        <v>3.5</v>
      </c>
      <c r="T25" s="132">
        <f t="shared" si="3"/>
        <v>3.5</v>
      </c>
      <c r="W25" s="13"/>
      <c r="CH25">
        <v>4</v>
      </c>
      <c r="CI25">
        <v>90</v>
      </c>
    </row>
    <row r="26" spans="1:87" x14ac:dyDescent="0.3">
      <c r="A26" s="2">
        <v>732</v>
      </c>
      <c r="B26" s="2" t="s">
        <v>0</v>
      </c>
      <c r="C26" s="2" t="s">
        <v>21</v>
      </c>
      <c r="D26" s="2" t="s">
        <v>151</v>
      </c>
      <c r="E26" s="2">
        <v>540</v>
      </c>
      <c r="F26" s="2">
        <v>2.4299999999999999E-2</v>
      </c>
      <c r="G26" s="2">
        <v>1.0500000000000001E-2</v>
      </c>
      <c r="H26" s="4">
        <f t="shared" si="0"/>
        <v>0.5679012345679012</v>
      </c>
      <c r="I26" s="2" t="s">
        <v>98</v>
      </c>
      <c r="J26" s="2" t="s">
        <v>99</v>
      </c>
      <c r="K26" s="2" t="s">
        <v>105</v>
      </c>
      <c r="L26" s="2" t="s">
        <v>76</v>
      </c>
      <c r="M26" s="155"/>
      <c r="N26" s="155"/>
      <c r="O26" s="2">
        <v>4</v>
      </c>
      <c r="P26" s="6">
        <v>28</v>
      </c>
      <c r="Q26" s="132">
        <f t="shared" si="4"/>
        <v>7.6190476190476195</v>
      </c>
      <c r="R26" s="33">
        <f t="shared" si="1"/>
        <v>28</v>
      </c>
      <c r="S26" s="132">
        <f t="shared" si="2"/>
        <v>3.5</v>
      </c>
      <c r="T26" s="132">
        <f t="shared" si="3"/>
        <v>3.5</v>
      </c>
      <c r="W26" s="13"/>
      <c r="CH26">
        <v>5</v>
      </c>
      <c r="CI26">
        <v>72</v>
      </c>
    </row>
    <row r="27" spans="1:87" x14ac:dyDescent="0.3">
      <c r="A27" s="2">
        <v>1912</v>
      </c>
      <c r="B27" s="2" t="s">
        <v>0</v>
      </c>
      <c r="C27" s="2" t="s">
        <v>21</v>
      </c>
      <c r="D27" s="2" t="s">
        <v>152</v>
      </c>
      <c r="E27" s="2">
        <v>300</v>
      </c>
      <c r="F27" s="2">
        <v>2.23E-2</v>
      </c>
      <c r="G27" s="2">
        <v>1.6199999999999999E-2</v>
      </c>
      <c r="H27" s="4">
        <f t="shared" si="0"/>
        <v>0.27354260089686105</v>
      </c>
      <c r="I27" s="2" t="s">
        <v>82</v>
      </c>
      <c r="J27" s="2" t="s">
        <v>153</v>
      </c>
      <c r="K27" s="2" t="s">
        <v>129</v>
      </c>
      <c r="L27" s="2" t="s">
        <v>96</v>
      </c>
      <c r="M27" s="155"/>
      <c r="N27" s="155"/>
      <c r="O27" s="2">
        <v>4</v>
      </c>
      <c r="P27" s="6">
        <v>25</v>
      </c>
      <c r="Q27" s="132">
        <f t="shared" si="4"/>
        <v>15.36</v>
      </c>
      <c r="R27" s="33">
        <f t="shared" si="1"/>
        <v>25</v>
      </c>
      <c r="S27" s="132">
        <f t="shared" si="2"/>
        <v>3.125</v>
      </c>
      <c r="T27" s="132">
        <f t="shared" si="3"/>
        <v>3.125</v>
      </c>
      <c r="W27" s="13"/>
      <c r="CH27">
        <v>1</v>
      </c>
      <c r="CI27">
        <v>40</v>
      </c>
    </row>
    <row r="28" spans="1:87" x14ac:dyDescent="0.3">
      <c r="A28" s="2">
        <v>729</v>
      </c>
      <c r="B28" s="2" t="s">
        <v>0</v>
      </c>
      <c r="C28" s="2" t="s">
        <v>21</v>
      </c>
      <c r="D28" s="123" t="s">
        <v>154</v>
      </c>
      <c r="E28" s="2">
        <v>540</v>
      </c>
      <c r="F28" s="2">
        <v>1.7600000000000001E-2</v>
      </c>
      <c r="G28" s="2">
        <v>1.2800000000000001E-2</v>
      </c>
      <c r="H28" s="4">
        <f t="shared" si="0"/>
        <v>0.27272727272727276</v>
      </c>
      <c r="I28" s="123" t="s">
        <v>86</v>
      </c>
      <c r="J28" s="2" t="s">
        <v>155</v>
      </c>
      <c r="K28" s="2" t="s">
        <v>105</v>
      </c>
      <c r="L28" s="2" t="s">
        <v>76</v>
      </c>
      <c r="M28" s="155"/>
      <c r="N28" s="155"/>
      <c r="O28" s="2">
        <v>4</v>
      </c>
      <c r="P28" s="6">
        <v>30</v>
      </c>
      <c r="Q28" s="132">
        <f t="shared" si="4"/>
        <v>7.1111111111111107</v>
      </c>
      <c r="R28" s="33">
        <f t="shared" si="1"/>
        <v>30.000000000000004</v>
      </c>
      <c r="S28" s="132">
        <f t="shared" si="2"/>
        <v>3.7500000000000004</v>
      </c>
      <c r="T28" s="132">
        <f t="shared" si="3"/>
        <v>3.7500000000000004</v>
      </c>
      <c r="W28" s="13"/>
      <c r="CH28">
        <v>4</v>
      </c>
      <c r="CI28">
        <v>60</v>
      </c>
    </row>
    <row r="29" spans="1:87" x14ac:dyDescent="0.3">
      <c r="A29" s="2">
        <v>1913</v>
      </c>
      <c r="B29" s="2" t="s">
        <v>0</v>
      </c>
      <c r="C29" s="2" t="s">
        <v>21</v>
      </c>
      <c r="D29" s="2" t="s">
        <v>156</v>
      </c>
      <c r="E29" s="2">
        <v>300</v>
      </c>
      <c r="F29" s="2">
        <v>2.5100000000000001E-2</v>
      </c>
      <c r="G29" s="2">
        <v>1.8200000000000001E-2</v>
      </c>
      <c r="H29" s="4">
        <f t="shared" si="0"/>
        <v>0.27490039840637448</v>
      </c>
      <c r="I29" s="2" t="s">
        <v>82</v>
      </c>
      <c r="J29" s="2" t="s">
        <v>157</v>
      </c>
      <c r="K29" s="2" t="s">
        <v>129</v>
      </c>
      <c r="L29" s="2" t="s">
        <v>96</v>
      </c>
      <c r="M29" s="155"/>
      <c r="N29" s="155"/>
      <c r="O29" s="2">
        <v>4</v>
      </c>
      <c r="P29" s="6">
        <v>25</v>
      </c>
      <c r="Q29" s="132">
        <f t="shared" si="4"/>
        <v>15.36</v>
      </c>
      <c r="R29" s="33">
        <f t="shared" si="1"/>
        <v>25</v>
      </c>
      <c r="S29" s="132">
        <f t="shared" si="2"/>
        <v>3.125</v>
      </c>
      <c r="T29" s="132">
        <f t="shared" si="3"/>
        <v>3.125</v>
      </c>
      <c r="W29" s="13"/>
      <c r="CH29">
        <v>5</v>
      </c>
      <c r="CI29">
        <v>41</v>
      </c>
    </row>
    <row r="30" spans="1:87" x14ac:dyDescent="0.3">
      <c r="A30" s="2">
        <v>730</v>
      </c>
      <c r="B30" s="2" t="s">
        <v>0</v>
      </c>
      <c r="C30" s="2" t="s">
        <v>21</v>
      </c>
      <c r="D30" s="123" t="s">
        <v>158</v>
      </c>
      <c r="E30" s="2">
        <v>540</v>
      </c>
      <c r="F30" s="2">
        <v>1.9800000000000002E-2</v>
      </c>
      <c r="G30" s="2">
        <v>1.55E-2</v>
      </c>
      <c r="H30" s="4">
        <f t="shared" si="0"/>
        <v>0.21717171717171724</v>
      </c>
      <c r="I30" s="123" t="s">
        <v>86</v>
      </c>
      <c r="J30" s="2" t="s">
        <v>159</v>
      </c>
      <c r="K30" s="2" t="s">
        <v>105</v>
      </c>
      <c r="L30" s="2" t="s">
        <v>76</v>
      </c>
      <c r="M30" s="155"/>
      <c r="N30" s="155"/>
      <c r="O30" s="2">
        <v>4</v>
      </c>
      <c r="P30" s="6">
        <v>28</v>
      </c>
      <c r="Q30" s="132">
        <f t="shared" si="4"/>
        <v>7.6190476190476195</v>
      </c>
      <c r="R30" s="33">
        <f t="shared" si="1"/>
        <v>28</v>
      </c>
      <c r="S30" s="132">
        <f t="shared" si="2"/>
        <v>3.5</v>
      </c>
      <c r="T30" s="132">
        <f t="shared" si="3"/>
        <v>3.5</v>
      </c>
      <c r="W30" s="13"/>
      <c r="CH30">
        <v>3</v>
      </c>
      <c r="CI30">
        <v>55</v>
      </c>
    </row>
    <row r="31" spans="1:87" x14ac:dyDescent="0.3">
      <c r="A31" s="2">
        <v>1814</v>
      </c>
      <c r="B31" s="2" t="s">
        <v>0</v>
      </c>
      <c r="C31" s="2" t="s">
        <v>21</v>
      </c>
      <c r="D31" s="2" t="s">
        <v>160</v>
      </c>
      <c r="E31" s="2">
        <v>520</v>
      </c>
      <c r="F31" s="2">
        <v>2.5000000000000001E-2</v>
      </c>
      <c r="G31" s="2">
        <v>2.0400000000000001E-2</v>
      </c>
      <c r="H31" s="4">
        <f t="shared" si="0"/>
        <v>0.184</v>
      </c>
      <c r="I31" s="2" t="s">
        <v>73</v>
      </c>
      <c r="J31" s="2" t="s">
        <v>161</v>
      </c>
      <c r="K31" s="2" t="s">
        <v>95</v>
      </c>
      <c r="L31" s="2" t="s">
        <v>96</v>
      </c>
      <c r="M31" s="155"/>
      <c r="N31" s="155"/>
      <c r="O31" s="2">
        <v>2</v>
      </c>
      <c r="P31" s="6">
        <v>34</v>
      </c>
      <c r="Q31" s="132">
        <f t="shared" si="4"/>
        <v>3.2579185520361991</v>
      </c>
      <c r="R31" s="33">
        <f t="shared" si="1"/>
        <v>34</v>
      </c>
      <c r="S31" s="132">
        <f t="shared" si="2"/>
        <v>4.25</v>
      </c>
      <c r="T31" s="132">
        <f t="shared" si="3"/>
        <v>4.25</v>
      </c>
      <c r="W31" s="13"/>
      <c r="CH31">
        <v>5</v>
      </c>
      <c r="CI31">
        <v>52</v>
      </c>
    </row>
    <row r="32" spans="1:87" x14ac:dyDescent="0.3">
      <c r="A32" s="23">
        <v>1915</v>
      </c>
      <c r="B32" s="2" t="s">
        <v>0</v>
      </c>
      <c r="C32" s="2" t="s">
        <v>21</v>
      </c>
      <c r="D32" s="2" t="s">
        <v>162</v>
      </c>
      <c r="E32" s="2">
        <v>300</v>
      </c>
      <c r="F32" s="2">
        <v>2.5000000000000001E-2</v>
      </c>
      <c r="G32" s="2">
        <v>2.0400000000000001E-2</v>
      </c>
      <c r="H32" s="4">
        <f t="shared" si="0"/>
        <v>0.184</v>
      </c>
      <c r="I32" s="2" t="s">
        <v>73</v>
      </c>
      <c r="J32" s="2" t="s">
        <v>161</v>
      </c>
      <c r="K32" s="2" t="s">
        <v>163</v>
      </c>
      <c r="L32" s="2" t="s">
        <v>6</v>
      </c>
      <c r="M32" s="155">
        <v>1</v>
      </c>
      <c r="N32" s="155">
        <v>300</v>
      </c>
      <c r="O32" s="2">
        <v>2</v>
      </c>
      <c r="P32" s="40">
        <v>45</v>
      </c>
      <c r="Q32" s="132">
        <f t="shared" si="4"/>
        <v>4</v>
      </c>
      <c r="R32" s="33">
        <f t="shared" si="1"/>
        <v>48</v>
      </c>
      <c r="S32" s="132">
        <f t="shared" si="2"/>
        <v>6</v>
      </c>
      <c r="T32" s="132">
        <f t="shared" si="3"/>
        <v>6</v>
      </c>
      <c r="V32" s="28"/>
      <c r="W32" s="13"/>
      <c r="AD32" s="22">
        <v>45411</v>
      </c>
      <c r="AE32">
        <v>16</v>
      </c>
      <c r="AF32">
        <v>0.9</v>
      </c>
      <c r="AG32">
        <v>0.1</v>
      </c>
      <c r="AH32">
        <v>1</v>
      </c>
      <c r="AI32">
        <v>0.1</v>
      </c>
      <c r="AJ32">
        <v>0.3</v>
      </c>
      <c r="AK32">
        <v>0.36</v>
      </c>
      <c r="AL32">
        <v>0.2</v>
      </c>
      <c r="AM32">
        <v>0.14000000000000001</v>
      </c>
      <c r="AN32">
        <v>0.5</v>
      </c>
      <c r="AO32">
        <v>4</v>
      </c>
      <c r="AP32">
        <v>45</v>
      </c>
      <c r="AQ32">
        <v>104</v>
      </c>
      <c r="AR32">
        <v>109</v>
      </c>
      <c r="AS32">
        <v>114</v>
      </c>
      <c r="AT32">
        <v>40</v>
      </c>
      <c r="AY32">
        <v>383</v>
      </c>
      <c r="BC32">
        <v>111</v>
      </c>
      <c r="BD32">
        <v>112</v>
      </c>
      <c r="CH32">
        <v>5</v>
      </c>
      <c r="CI32">
        <v>53</v>
      </c>
    </row>
    <row r="33" spans="1:87" x14ac:dyDescent="0.3">
      <c r="A33" s="2">
        <v>1815</v>
      </c>
      <c r="B33" s="2" t="s">
        <v>0</v>
      </c>
      <c r="C33" s="2" t="s">
        <v>21</v>
      </c>
      <c r="D33" s="2" t="s">
        <v>164</v>
      </c>
      <c r="E33" s="2">
        <v>520</v>
      </c>
      <c r="F33" s="2">
        <v>2.5000000000000001E-2</v>
      </c>
      <c r="G33" s="2">
        <v>2.0400000000000001E-2</v>
      </c>
      <c r="H33" s="4">
        <f t="shared" si="0"/>
        <v>0.184</v>
      </c>
      <c r="I33" s="2" t="s">
        <v>73</v>
      </c>
      <c r="J33" s="2" t="s">
        <v>161</v>
      </c>
      <c r="K33" s="2" t="s">
        <v>95</v>
      </c>
      <c r="L33" s="2" t="s">
        <v>96</v>
      </c>
      <c r="M33" s="155"/>
      <c r="N33" s="155"/>
      <c r="O33" s="2">
        <v>2</v>
      </c>
      <c r="P33" s="6">
        <v>34</v>
      </c>
      <c r="Q33" s="132">
        <f t="shared" si="4"/>
        <v>3.2579185520361991</v>
      </c>
      <c r="R33" s="33">
        <f t="shared" si="1"/>
        <v>34</v>
      </c>
      <c r="S33" s="132">
        <f t="shared" si="2"/>
        <v>4.25</v>
      </c>
      <c r="T33" s="132">
        <f t="shared" si="3"/>
        <v>4.25</v>
      </c>
      <c r="W33" s="13"/>
      <c r="CH33">
        <v>5</v>
      </c>
      <c r="CI33">
        <v>30</v>
      </c>
    </row>
    <row r="34" spans="1:87" x14ac:dyDescent="0.3">
      <c r="A34" s="23">
        <v>1916</v>
      </c>
      <c r="B34" s="2" t="s">
        <v>0</v>
      </c>
      <c r="C34" s="2" t="s">
        <v>21</v>
      </c>
      <c r="D34" s="2" t="s">
        <v>165</v>
      </c>
      <c r="E34" s="2">
        <v>300</v>
      </c>
      <c r="F34" s="2">
        <v>2.5000000000000001E-2</v>
      </c>
      <c r="G34" s="2">
        <v>2.0400000000000001E-2</v>
      </c>
      <c r="H34" s="4">
        <f t="shared" si="0"/>
        <v>0.184</v>
      </c>
      <c r="I34" s="2" t="s">
        <v>73</v>
      </c>
      <c r="J34" s="2" t="s">
        <v>161</v>
      </c>
      <c r="K34" s="2" t="s">
        <v>163</v>
      </c>
      <c r="L34" s="2" t="s">
        <v>6</v>
      </c>
      <c r="M34" s="155">
        <v>1</v>
      </c>
      <c r="N34" s="155">
        <v>300</v>
      </c>
      <c r="O34" s="2">
        <v>2</v>
      </c>
      <c r="P34" s="6">
        <v>50</v>
      </c>
      <c r="Q34" s="132">
        <f t="shared" si="4"/>
        <v>3.6</v>
      </c>
      <c r="R34" s="33">
        <f t="shared" si="1"/>
        <v>53.333333333333329</v>
      </c>
      <c r="S34" s="132">
        <f t="shared" si="2"/>
        <v>6.6666666666666661</v>
      </c>
      <c r="T34" s="132">
        <f t="shared" si="3"/>
        <v>6.6666666666666661</v>
      </c>
      <c r="U34">
        <f>1000/R34</f>
        <v>18.75</v>
      </c>
      <c r="V34" s="5">
        <f>R34*0.85</f>
        <v>45.333333333333329</v>
      </c>
      <c r="W34" s="13"/>
      <c r="AD34" s="22">
        <v>45378</v>
      </c>
      <c r="AE34" t="s">
        <v>166</v>
      </c>
      <c r="AF34">
        <v>0.8</v>
      </c>
      <c r="AG34">
        <v>0.1</v>
      </c>
      <c r="AH34">
        <v>1</v>
      </c>
      <c r="AI34">
        <v>0.13</v>
      </c>
      <c r="AJ34">
        <v>0.25</v>
      </c>
      <c r="AK34">
        <v>0.14000000000000001</v>
      </c>
      <c r="AL34">
        <v>0.21</v>
      </c>
      <c r="AM34">
        <v>0.3</v>
      </c>
      <c r="AN34">
        <v>0.2</v>
      </c>
      <c r="AO34">
        <v>3.6</v>
      </c>
      <c r="AP34">
        <v>48</v>
      </c>
      <c r="AQ34">
        <v>103</v>
      </c>
      <c r="AR34">
        <v>103</v>
      </c>
      <c r="AS34">
        <v>103</v>
      </c>
      <c r="AT34">
        <v>40</v>
      </c>
      <c r="AU34">
        <v>20</v>
      </c>
      <c r="AV34">
        <v>40</v>
      </c>
      <c r="AW34">
        <v>20</v>
      </c>
      <c r="AX34">
        <v>100</v>
      </c>
      <c r="AY34">
        <v>294</v>
      </c>
      <c r="AZ34" t="s">
        <v>78</v>
      </c>
      <c r="BA34">
        <v>1200</v>
      </c>
      <c r="BB34">
        <v>10</v>
      </c>
      <c r="CH34">
        <v>2</v>
      </c>
      <c r="CI34">
        <v>44</v>
      </c>
    </row>
    <row r="35" spans="1:87" x14ac:dyDescent="0.3">
      <c r="A35" s="2">
        <v>1138</v>
      </c>
      <c r="B35" s="2" t="s">
        <v>0</v>
      </c>
      <c r="C35" s="2" t="s">
        <v>21</v>
      </c>
      <c r="D35" s="123" t="s">
        <v>167</v>
      </c>
      <c r="E35" s="2">
        <v>300</v>
      </c>
      <c r="F35" s="2">
        <v>2.5000000000000001E-2</v>
      </c>
      <c r="G35" s="2">
        <v>2.0400000000000001E-2</v>
      </c>
      <c r="H35" s="4">
        <f t="shared" si="0"/>
        <v>0.184</v>
      </c>
      <c r="I35" s="2" t="s">
        <v>73</v>
      </c>
      <c r="J35" s="2" t="s">
        <v>161</v>
      </c>
      <c r="K35" s="2" t="s">
        <v>163</v>
      </c>
      <c r="L35" s="2" t="s">
        <v>6</v>
      </c>
      <c r="M35" s="155"/>
      <c r="N35" s="155"/>
      <c r="O35" s="2">
        <v>2</v>
      </c>
      <c r="P35" s="6">
        <v>45</v>
      </c>
      <c r="Q35" s="132">
        <f t="shared" si="4"/>
        <v>4.2666666666666666</v>
      </c>
      <c r="R35" s="33">
        <f t="shared" si="1"/>
        <v>45</v>
      </c>
      <c r="S35" s="132">
        <f t="shared" si="2"/>
        <v>5.625</v>
      </c>
      <c r="T35" s="132">
        <f t="shared" si="3"/>
        <v>5.625</v>
      </c>
      <c r="W35" s="13"/>
      <c r="CH35">
        <v>6</v>
      </c>
      <c r="CI35">
        <v>80</v>
      </c>
    </row>
    <row r="36" spans="1:87" x14ac:dyDescent="0.3">
      <c r="A36" s="2">
        <v>1816</v>
      </c>
      <c r="B36" s="2" t="s">
        <v>0</v>
      </c>
      <c r="C36" s="2" t="s">
        <v>21</v>
      </c>
      <c r="D36" s="2" t="s">
        <v>168</v>
      </c>
      <c r="E36" s="2">
        <v>520</v>
      </c>
      <c r="F36" s="2">
        <v>2.5000000000000001E-2</v>
      </c>
      <c r="G36" s="2">
        <v>2.0400000000000001E-2</v>
      </c>
      <c r="H36" s="4">
        <f t="shared" ref="H36:H47" si="5">(F36-G36)/F36</f>
        <v>0.184</v>
      </c>
      <c r="I36" s="2" t="s">
        <v>82</v>
      </c>
      <c r="J36" s="2" t="s">
        <v>169</v>
      </c>
      <c r="K36" s="2" t="s">
        <v>105</v>
      </c>
      <c r="L36" s="2" t="s">
        <v>76</v>
      </c>
      <c r="M36" s="155"/>
      <c r="N36" s="155"/>
      <c r="O36" s="2">
        <v>2</v>
      </c>
      <c r="P36" s="6">
        <v>28</v>
      </c>
      <c r="Q36" s="132">
        <f t="shared" si="4"/>
        <v>3.9560439560439562</v>
      </c>
      <c r="R36" s="33">
        <f t="shared" ref="R36:R47" si="6">IFERROR(60*60*8*O36/E36/Q36,"")</f>
        <v>28</v>
      </c>
      <c r="S36" s="132">
        <f t="shared" ref="S36:S47" si="7">IFERROR(R36/8,"")</f>
        <v>3.5</v>
      </c>
      <c r="T36" s="132">
        <f t="shared" ref="T36:T47" si="8">IFERROR(IF(R36&gt;2,S36,""),"")</f>
        <v>3.5</v>
      </c>
      <c r="W36" s="13"/>
      <c r="CH36">
        <v>2</v>
      </c>
      <c r="CI36">
        <v>32</v>
      </c>
    </row>
    <row r="37" spans="1:87" x14ac:dyDescent="0.3">
      <c r="A37" s="2">
        <v>2079</v>
      </c>
      <c r="B37" s="2" t="s">
        <v>0</v>
      </c>
      <c r="C37" s="2" t="s">
        <v>21</v>
      </c>
      <c r="D37" s="2" t="s">
        <v>168</v>
      </c>
      <c r="E37" s="2">
        <v>200</v>
      </c>
      <c r="F37" s="2">
        <v>2.5000000000000001E-2</v>
      </c>
      <c r="G37" s="2">
        <v>2.0400000000000001E-2</v>
      </c>
      <c r="H37" s="4">
        <f t="shared" si="5"/>
        <v>0.184</v>
      </c>
      <c r="I37" s="2" t="s">
        <v>82</v>
      </c>
      <c r="J37" s="2" t="s">
        <v>169</v>
      </c>
      <c r="K37" s="2" t="s">
        <v>163</v>
      </c>
      <c r="L37" s="2" t="s">
        <v>6</v>
      </c>
      <c r="M37" s="155"/>
      <c r="N37" s="155"/>
      <c r="O37" s="2">
        <v>2</v>
      </c>
      <c r="P37" s="6">
        <v>73</v>
      </c>
      <c r="Q37" s="132">
        <f t="shared" si="4"/>
        <v>3.9452054794520546</v>
      </c>
      <c r="R37" s="33">
        <f t="shared" si="6"/>
        <v>73</v>
      </c>
      <c r="S37" s="132">
        <f t="shared" si="7"/>
        <v>9.125</v>
      </c>
      <c r="T37" s="132">
        <f t="shared" si="8"/>
        <v>9.125</v>
      </c>
      <c r="W37" s="13"/>
      <c r="CH37">
        <v>2</v>
      </c>
      <c r="CI37">
        <v>57</v>
      </c>
    </row>
    <row r="38" spans="1:87" x14ac:dyDescent="0.3">
      <c r="A38" s="2">
        <v>1817</v>
      </c>
      <c r="B38" s="23" t="s">
        <v>0</v>
      </c>
      <c r="C38" s="2" t="s">
        <v>21</v>
      </c>
      <c r="D38" s="2" t="s">
        <v>170</v>
      </c>
      <c r="E38" s="2">
        <v>200</v>
      </c>
      <c r="F38" s="2">
        <v>4.0300000000000002E-2</v>
      </c>
      <c r="G38" s="2">
        <v>3.4799999999999998E-2</v>
      </c>
      <c r="H38" s="4">
        <f t="shared" si="5"/>
        <v>0.13647642679900757</v>
      </c>
      <c r="I38" s="2" t="s">
        <v>82</v>
      </c>
      <c r="J38" s="2" t="s">
        <v>171</v>
      </c>
      <c r="K38" s="2" t="s">
        <v>105</v>
      </c>
      <c r="L38" s="2" t="s">
        <v>76</v>
      </c>
      <c r="M38" s="155"/>
      <c r="N38" s="155"/>
      <c r="O38" s="2">
        <v>2</v>
      </c>
      <c r="P38" s="6">
        <v>40</v>
      </c>
      <c r="Q38" s="132">
        <f t="shared" ref="Q38:Q47" si="9">IFERROR(IF(AO38&gt;1,AO38,60*60*8*O38/P38/E38),"")</f>
        <v>7.2</v>
      </c>
      <c r="R38" s="33">
        <f t="shared" si="6"/>
        <v>40</v>
      </c>
      <c r="S38" s="132">
        <f t="shared" si="7"/>
        <v>5</v>
      </c>
      <c r="T38" s="132">
        <f t="shared" si="8"/>
        <v>5</v>
      </c>
      <c r="W38" s="13"/>
      <c r="CH38">
        <v>6</v>
      </c>
      <c r="CI38">
        <v>82</v>
      </c>
    </row>
    <row r="39" spans="1:87" x14ac:dyDescent="0.3">
      <c r="A39" s="23">
        <v>1818</v>
      </c>
      <c r="B39" s="2" t="s">
        <v>0</v>
      </c>
      <c r="C39" s="2" t="s">
        <v>21</v>
      </c>
      <c r="D39" s="2" t="s">
        <v>172</v>
      </c>
      <c r="E39" s="2">
        <v>200</v>
      </c>
      <c r="F39" s="2">
        <v>2.9899999999999999E-2</v>
      </c>
      <c r="G39" s="2">
        <v>2.47E-2</v>
      </c>
      <c r="H39" s="4">
        <f t="shared" si="5"/>
        <v>0.17391304347826086</v>
      </c>
      <c r="I39" s="2" t="s">
        <v>82</v>
      </c>
      <c r="J39" s="2" t="s">
        <v>89</v>
      </c>
      <c r="K39" s="2" t="s">
        <v>163</v>
      </c>
      <c r="L39" s="2" t="s">
        <v>6</v>
      </c>
      <c r="M39" s="155">
        <v>1</v>
      </c>
      <c r="N39" s="155">
        <v>200</v>
      </c>
      <c r="O39" s="2">
        <v>2</v>
      </c>
      <c r="P39" s="6">
        <v>58</v>
      </c>
      <c r="Q39" s="132">
        <f t="shared" si="9"/>
        <v>4.5999999999999996</v>
      </c>
      <c r="R39" s="33">
        <f t="shared" si="6"/>
        <v>62.608695652173921</v>
      </c>
      <c r="S39" s="132">
        <f t="shared" si="7"/>
        <v>7.8260869565217401</v>
      </c>
      <c r="T39" s="132">
        <f t="shared" si="8"/>
        <v>7.8260869565217401</v>
      </c>
      <c r="W39" s="13"/>
      <c r="Z39" t="s">
        <v>7</v>
      </c>
      <c r="AD39" s="24">
        <v>45391</v>
      </c>
      <c r="AE39">
        <v>15</v>
      </c>
      <c r="AF39">
        <v>1</v>
      </c>
      <c r="AG39">
        <v>0.1</v>
      </c>
      <c r="AH39">
        <v>1</v>
      </c>
      <c r="AI39">
        <v>0.1</v>
      </c>
      <c r="AJ39">
        <v>0.5</v>
      </c>
      <c r="AK39">
        <v>0.2</v>
      </c>
      <c r="AL39">
        <v>0.16</v>
      </c>
      <c r="AM39">
        <v>0.7</v>
      </c>
      <c r="AN39">
        <v>0.3</v>
      </c>
      <c r="AO39">
        <v>4.5999999999999996</v>
      </c>
      <c r="AP39">
        <v>45</v>
      </c>
      <c r="AQ39">
        <v>106</v>
      </c>
      <c r="AR39">
        <v>106</v>
      </c>
      <c r="AS39">
        <v>106</v>
      </c>
      <c r="AT39">
        <v>50</v>
      </c>
      <c r="AU39">
        <v>20</v>
      </c>
      <c r="AV39">
        <v>40</v>
      </c>
      <c r="AW39">
        <v>20</v>
      </c>
      <c r="AX39">
        <v>100</v>
      </c>
      <c r="AY39">
        <v>297</v>
      </c>
      <c r="AZ39" t="s">
        <v>78</v>
      </c>
      <c r="BA39">
        <v>1000</v>
      </c>
      <c r="BB39">
        <v>10</v>
      </c>
      <c r="CH39">
        <v>3</v>
      </c>
      <c r="CI39">
        <v>52</v>
      </c>
    </row>
    <row r="40" spans="1:87" x14ac:dyDescent="0.3">
      <c r="A40" s="23">
        <v>1819</v>
      </c>
      <c r="B40" s="2" t="s">
        <v>0</v>
      </c>
      <c r="C40" s="2" t="s">
        <v>21</v>
      </c>
      <c r="D40" s="2" t="s">
        <v>173</v>
      </c>
      <c r="E40" s="2">
        <v>360</v>
      </c>
      <c r="F40" s="2">
        <v>3.4299999999999997E-2</v>
      </c>
      <c r="G40" s="2">
        <v>2.8299999999999999E-2</v>
      </c>
      <c r="H40" s="4">
        <f t="shared" si="5"/>
        <v>0.17492711370262387</v>
      </c>
      <c r="I40" s="2" t="s">
        <v>82</v>
      </c>
      <c r="J40" s="2" t="s">
        <v>174</v>
      </c>
      <c r="K40" s="2" t="s">
        <v>175</v>
      </c>
      <c r="L40" s="2" t="s">
        <v>96</v>
      </c>
      <c r="M40" s="155">
        <v>2</v>
      </c>
      <c r="N40" s="155">
        <v>180</v>
      </c>
      <c r="O40" s="2">
        <v>2</v>
      </c>
      <c r="P40" s="6">
        <v>41</v>
      </c>
      <c r="Q40" s="132">
        <f t="shared" si="9"/>
        <v>3.6</v>
      </c>
      <c r="R40" s="33">
        <f t="shared" si="6"/>
        <v>44.444444444444443</v>
      </c>
      <c r="S40" s="132">
        <f t="shared" si="7"/>
        <v>5.5555555555555554</v>
      </c>
      <c r="T40" s="132">
        <f t="shared" si="8"/>
        <v>5.5555555555555554</v>
      </c>
      <c r="W40" s="13"/>
      <c r="Z40" t="s">
        <v>7</v>
      </c>
      <c r="AD40" s="24">
        <v>45504</v>
      </c>
      <c r="AE40">
        <v>12</v>
      </c>
      <c r="AF40">
        <v>0.8</v>
      </c>
      <c r="AG40">
        <v>0.15</v>
      </c>
      <c r="AH40">
        <v>0.8</v>
      </c>
      <c r="AI40">
        <v>0.15</v>
      </c>
      <c r="AJ40">
        <v>0.4</v>
      </c>
      <c r="AK40">
        <v>0.12</v>
      </c>
      <c r="AL40">
        <v>0.16</v>
      </c>
      <c r="AM40">
        <v>0.33</v>
      </c>
      <c r="AN40">
        <v>0.15</v>
      </c>
      <c r="AO40">
        <v>3.6</v>
      </c>
      <c r="AP40">
        <v>51</v>
      </c>
      <c r="AQ40">
        <v>104</v>
      </c>
      <c r="AR40">
        <v>104</v>
      </c>
      <c r="AS40">
        <v>104</v>
      </c>
      <c r="AT40">
        <v>40</v>
      </c>
      <c r="AU40">
        <v>30</v>
      </c>
      <c r="AV40">
        <v>40</v>
      </c>
      <c r="AW40">
        <v>40</v>
      </c>
      <c r="AX40">
        <v>100</v>
      </c>
      <c r="AY40">
        <v>330</v>
      </c>
      <c r="AZ40" t="s">
        <v>78</v>
      </c>
      <c r="BA40">
        <v>2400</v>
      </c>
      <c r="BB40">
        <v>10</v>
      </c>
      <c r="CH40">
        <v>3</v>
      </c>
      <c r="CI40">
        <v>48</v>
      </c>
    </row>
    <row r="41" spans="1:87" x14ac:dyDescent="0.3">
      <c r="A41" s="2">
        <v>1820</v>
      </c>
      <c r="B41" s="2" t="s">
        <v>0</v>
      </c>
      <c r="C41" s="2" t="s">
        <v>21</v>
      </c>
      <c r="D41" s="123" t="s">
        <v>176</v>
      </c>
      <c r="E41" s="2">
        <v>900</v>
      </c>
      <c r="F41" s="2">
        <v>1.84E-2</v>
      </c>
      <c r="G41" s="2">
        <v>1.5800000000000002E-2</v>
      </c>
      <c r="H41" s="4">
        <f t="shared" si="5"/>
        <v>0.14130434782608686</v>
      </c>
      <c r="I41" s="2" t="s">
        <v>82</v>
      </c>
      <c r="J41" s="2" t="s">
        <v>177</v>
      </c>
      <c r="K41" s="2" t="s">
        <v>105</v>
      </c>
      <c r="L41" s="2" t="s">
        <v>76</v>
      </c>
      <c r="M41" s="155"/>
      <c r="N41" s="155"/>
      <c r="O41" s="2">
        <v>4</v>
      </c>
      <c r="P41" s="6">
        <v>20</v>
      </c>
      <c r="Q41" s="132">
        <f t="shared" si="9"/>
        <v>6.4</v>
      </c>
      <c r="R41" s="33">
        <f t="shared" si="6"/>
        <v>20</v>
      </c>
      <c r="S41" s="132">
        <f t="shared" si="7"/>
        <v>2.5</v>
      </c>
      <c r="T41" s="132">
        <f t="shared" si="8"/>
        <v>2.5</v>
      </c>
      <c r="W41" s="13"/>
      <c r="CH41">
        <v>5</v>
      </c>
      <c r="CI41">
        <v>33</v>
      </c>
    </row>
    <row r="42" spans="1:87" x14ac:dyDescent="0.3">
      <c r="A42" s="23">
        <v>1922</v>
      </c>
      <c r="B42" s="2" t="s">
        <v>0</v>
      </c>
      <c r="C42" s="2" t="s">
        <v>21</v>
      </c>
      <c r="D42" s="2" t="s">
        <v>176</v>
      </c>
      <c r="E42" s="2">
        <v>300</v>
      </c>
      <c r="F42" s="2">
        <v>1.84E-2</v>
      </c>
      <c r="G42" s="2">
        <v>1.5800000000000002E-2</v>
      </c>
      <c r="H42" s="4">
        <f t="shared" si="5"/>
        <v>0.14130434782608686</v>
      </c>
      <c r="I42" s="2" t="s">
        <v>82</v>
      </c>
      <c r="J42" s="2" t="s">
        <v>177</v>
      </c>
      <c r="K42" s="2" t="s">
        <v>90</v>
      </c>
      <c r="L42" s="2" t="s">
        <v>6</v>
      </c>
      <c r="M42" s="155">
        <v>3</v>
      </c>
      <c r="N42" s="155">
        <v>100</v>
      </c>
      <c r="O42" s="2">
        <v>4</v>
      </c>
      <c r="P42" s="6">
        <v>60</v>
      </c>
      <c r="Q42" s="132">
        <f t="shared" si="9"/>
        <v>5.0999999999999996</v>
      </c>
      <c r="R42" s="33">
        <f t="shared" si="6"/>
        <v>75.294117647058826</v>
      </c>
      <c r="S42" s="132">
        <f t="shared" si="7"/>
        <v>9.4117647058823533</v>
      </c>
      <c r="T42" s="132">
        <f t="shared" si="8"/>
        <v>9.4117647058823533</v>
      </c>
      <c r="W42" s="13"/>
      <c r="AD42" s="22">
        <v>45517</v>
      </c>
      <c r="AE42">
        <v>15</v>
      </c>
      <c r="AF42">
        <v>1.4</v>
      </c>
      <c r="AG42">
        <v>0.3</v>
      </c>
      <c r="AH42">
        <v>1.4</v>
      </c>
      <c r="AI42">
        <v>0.3</v>
      </c>
      <c r="AJ42">
        <v>0.5</v>
      </c>
      <c r="AK42">
        <v>0.18</v>
      </c>
      <c r="AL42">
        <v>0.18</v>
      </c>
      <c r="AM42">
        <v>0.4</v>
      </c>
      <c r="AN42">
        <v>0.17</v>
      </c>
      <c r="AO42">
        <v>5.0999999999999996</v>
      </c>
      <c r="AP42">
        <v>52</v>
      </c>
      <c r="AQ42">
        <v>109</v>
      </c>
      <c r="AR42">
        <v>109</v>
      </c>
      <c r="AS42">
        <v>107</v>
      </c>
      <c r="AT42">
        <v>38</v>
      </c>
      <c r="AU42">
        <v>20</v>
      </c>
      <c r="AV42">
        <v>40</v>
      </c>
      <c r="AW42">
        <v>20</v>
      </c>
      <c r="AX42">
        <v>100</v>
      </c>
      <c r="AY42">
        <v>450</v>
      </c>
      <c r="AZ42" t="s">
        <v>78</v>
      </c>
      <c r="BA42">
        <v>2000</v>
      </c>
      <c r="BB42">
        <v>10</v>
      </c>
      <c r="BE42" s="116">
        <f>AO42/BQ42-1</f>
        <v>-1.9230769230769384E-2</v>
      </c>
      <c r="BF42" s="22">
        <v>45404</v>
      </c>
      <c r="BG42">
        <v>12</v>
      </c>
      <c r="BH42">
        <v>1.3</v>
      </c>
      <c r="BI42">
        <v>0.3</v>
      </c>
      <c r="BJ42">
        <v>1.2</v>
      </c>
      <c r="BK42">
        <v>0.3</v>
      </c>
      <c r="BL42">
        <v>0.7</v>
      </c>
      <c r="BM42">
        <v>0.15</v>
      </c>
      <c r="BN42">
        <v>0.18</v>
      </c>
      <c r="BO42">
        <v>0.4</v>
      </c>
      <c r="BP42">
        <v>0.3</v>
      </c>
      <c r="BQ42">
        <v>5.2</v>
      </c>
      <c r="BR42">
        <v>49</v>
      </c>
      <c r="BS42">
        <v>106</v>
      </c>
      <c r="BT42">
        <v>106</v>
      </c>
      <c r="BU42">
        <v>106</v>
      </c>
      <c r="BV42">
        <v>40</v>
      </c>
      <c r="BW42">
        <v>38</v>
      </c>
      <c r="BX42">
        <v>40</v>
      </c>
      <c r="BY42">
        <v>40</v>
      </c>
      <c r="BZ42">
        <v>101</v>
      </c>
      <c r="CA42">
        <v>459</v>
      </c>
      <c r="CB42" t="s">
        <v>78</v>
      </c>
      <c r="CC42">
        <v>2000</v>
      </c>
      <c r="CD42">
        <v>10</v>
      </c>
      <c r="CH42">
        <v>1</v>
      </c>
      <c r="CI42">
        <v>41</v>
      </c>
    </row>
    <row r="43" spans="1:87" x14ac:dyDescent="0.3">
      <c r="A43" s="2">
        <v>1796</v>
      </c>
      <c r="B43" s="2" t="s">
        <v>84</v>
      </c>
      <c r="C43" s="2" t="s">
        <v>21</v>
      </c>
      <c r="D43" s="123" t="s">
        <v>178</v>
      </c>
      <c r="E43" s="2">
        <v>900</v>
      </c>
      <c r="F43" s="2">
        <v>1.01E-2</v>
      </c>
      <c r="G43" s="2">
        <v>1.14E-2</v>
      </c>
      <c r="H43" s="4">
        <f t="shared" si="5"/>
        <v>-0.1287128712871288</v>
      </c>
      <c r="I43" s="123" t="s">
        <v>86</v>
      </c>
      <c r="J43" s="2" t="s">
        <v>179</v>
      </c>
      <c r="K43" s="2" t="s">
        <v>105</v>
      </c>
      <c r="L43" s="2" t="s">
        <v>76</v>
      </c>
      <c r="M43" s="155"/>
      <c r="N43" s="155"/>
      <c r="O43" s="2">
        <v>4</v>
      </c>
      <c r="P43" s="6"/>
      <c r="Q43" s="132" t="str">
        <f t="shared" si="9"/>
        <v/>
      </c>
      <c r="R43" s="33" t="str">
        <f t="shared" si="6"/>
        <v/>
      </c>
      <c r="S43" s="132" t="str">
        <f t="shared" si="7"/>
        <v/>
      </c>
      <c r="T43" s="132" t="str">
        <f t="shared" si="8"/>
        <v/>
      </c>
      <c r="W43" s="13"/>
      <c r="CH43">
        <v>5</v>
      </c>
      <c r="CI43">
        <v>69</v>
      </c>
    </row>
    <row r="44" spans="1:87" x14ac:dyDescent="0.3">
      <c r="A44" s="23">
        <v>2088</v>
      </c>
      <c r="B44" s="2" t="s">
        <v>0</v>
      </c>
      <c r="C44" s="2" t="s">
        <v>21</v>
      </c>
      <c r="D44" s="2" t="s">
        <v>180</v>
      </c>
      <c r="E44" s="2">
        <v>300</v>
      </c>
      <c r="F44" s="2">
        <v>1.84E-2</v>
      </c>
      <c r="G44" s="2">
        <v>1.5800000000000002E-2</v>
      </c>
      <c r="H44" s="4">
        <f t="shared" si="5"/>
        <v>0.14130434782608686</v>
      </c>
      <c r="I44" s="2" t="s">
        <v>73</v>
      </c>
      <c r="J44" s="2" t="s">
        <v>181</v>
      </c>
      <c r="K44" s="2" t="s">
        <v>90</v>
      </c>
      <c r="L44" s="2" t="s">
        <v>6</v>
      </c>
      <c r="M44" s="155">
        <v>3</v>
      </c>
      <c r="N44" s="155">
        <v>100</v>
      </c>
      <c r="O44" s="2">
        <v>4</v>
      </c>
      <c r="P44" s="6">
        <v>60</v>
      </c>
      <c r="Q44" s="132">
        <f t="shared" si="9"/>
        <v>5.0999999999999996</v>
      </c>
      <c r="R44" s="33">
        <f t="shared" si="6"/>
        <v>75.294117647058826</v>
      </c>
      <c r="S44" s="132">
        <f t="shared" si="7"/>
        <v>9.4117647058823533</v>
      </c>
      <c r="T44" s="132">
        <f t="shared" si="8"/>
        <v>9.4117647058823533</v>
      </c>
      <c r="W44" s="13"/>
      <c r="AD44" s="22">
        <v>45517</v>
      </c>
      <c r="AE44">
        <v>15</v>
      </c>
      <c r="AF44">
        <v>1.4</v>
      </c>
      <c r="AG44">
        <v>0.3</v>
      </c>
      <c r="AH44">
        <v>1.4</v>
      </c>
      <c r="AI44">
        <v>0.3</v>
      </c>
      <c r="AJ44">
        <v>0.5</v>
      </c>
      <c r="AK44">
        <v>0.18</v>
      </c>
      <c r="AL44">
        <v>0.18</v>
      </c>
      <c r="AM44">
        <v>0.4</v>
      </c>
      <c r="AN44">
        <v>0.17</v>
      </c>
      <c r="AO44">
        <v>5.0999999999999996</v>
      </c>
      <c r="AP44">
        <v>52</v>
      </c>
      <c r="AQ44">
        <v>109</v>
      </c>
      <c r="AR44">
        <v>109</v>
      </c>
      <c r="AS44">
        <v>107</v>
      </c>
      <c r="AT44">
        <v>38</v>
      </c>
      <c r="AU44">
        <v>20</v>
      </c>
      <c r="AV44">
        <v>40</v>
      </c>
      <c r="AW44">
        <v>20</v>
      </c>
      <c r="AX44">
        <v>100</v>
      </c>
      <c r="AY44">
        <v>450</v>
      </c>
      <c r="AZ44" t="s">
        <v>78</v>
      </c>
      <c r="BA44">
        <v>2000</v>
      </c>
      <c r="BB44">
        <v>10</v>
      </c>
      <c r="BE44" s="116">
        <f>AO44/BQ44-1</f>
        <v>-1.9230769230769384E-2</v>
      </c>
      <c r="BF44" s="22">
        <v>45404</v>
      </c>
      <c r="BG44">
        <v>12</v>
      </c>
      <c r="BH44">
        <v>1.3</v>
      </c>
      <c r="BI44">
        <v>0.3</v>
      </c>
      <c r="BJ44">
        <v>1.2</v>
      </c>
      <c r="BK44">
        <v>0.3</v>
      </c>
      <c r="BL44">
        <v>0.7</v>
      </c>
      <c r="BM44">
        <v>0.15</v>
      </c>
      <c r="BN44">
        <v>0.18</v>
      </c>
      <c r="BO44">
        <v>0.4</v>
      </c>
      <c r="BP44">
        <v>0.3</v>
      </c>
      <c r="BQ44">
        <v>5.2</v>
      </c>
      <c r="BR44">
        <v>49</v>
      </c>
      <c r="BS44">
        <v>106</v>
      </c>
      <c r="BT44">
        <v>106</v>
      </c>
      <c r="BU44">
        <v>106</v>
      </c>
      <c r="BV44">
        <v>40</v>
      </c>
      <c r="BW44">
        <v>38</v>
      </c>
      <c r="BX44">
        <v>40</v>
      </c>
      <c r="BY44">
        <v>40</v>
      </c>
      <c r="BZ44">
        <v>101</v>
      </c>
      <c r="CA44">
        <v>459</v>
      </c>
      <c r="CB44" t="s">
        <v>78</v>
      </c>
      <c r="CC44">
        <v>2000</v>
      </c>
      <c r="CD44">
        <v>10</v>
      </c>
      <c r="CH44">
        <v>5</v>
      </c>
      <c r="CI44">
        <v>77</v>
      </c>
    </row>
    <row r="45" spans="1:87" x14ac:dyDescent="0.3">
      <c r="A45" s="23">
        <v>1821</v>
      </c>
      <c r="B45" s="2" t="s">
        <v>0</v>
      </c>
      <c r="C45" s="2" t="s">
        <v>21</v>
      </c>
      <c r="D45" s="2" t="s">
        <v>182</v>
      </c>
      <c r="E45" s="2">
        <v>360</v>
      </c>
      <c r="F45" s="2">
        <v>3.4299999999999997E-2</v>
      </c>
      <c r="G45" s="2">
        <v>2.8299999999999999E-2</v>
      </c>
      <c r="H45" s="4">
        <f t="shared" si="5"/>
        <v>0.17492711370262387</v>
      </c>
      <c r="I45" s="2" t="s">
        <v>82</v>
      </c>
      <c r="J45" s="2" t="s">
        <v>174</v>
      </c>
      <c r="K45" s="2" t="s">
        <v>175</v>
      </c>
      <c r="L45" s="2" t="s">
        <v>96</v>
      </c>
      <c r="M45" s="155">
        <v>2</v>
      </c>
      <c r="N45" s="155">
        <v>180</v>
      </c>
      <c r="O45" s="2">
        <v>2</v>
      </c>
      <c r="P45" s="6">
        <v>41</v>
      </c>
      <c r="Q45" s="132">
        <f t="shared" si="9"/>
        <v>3.6</v>
      </c>
      <c r="R45" s="33">
        <f t="shared" si="6"/>
        <v>44.444444444444443</v>
      </c>
      <c r="S45" s="132">
        <f t="shared" si="7"/>
        <v>5.5555555555555554</v>
      </c>
      <c r="T45" s="132">
        <f t="shared" si="8"/>
        <v>5.5555555555555554</v>
      </c>
      <c r="W45" s="13"/>
      <c r="Z45" t="s">
        <v>7</v>
      </c>
      <c r="AD45" s="24">
        <v>45376</v>
      </c>
      <c r="AE45">
        <v>12</v>
      </c>
      <c r="AF45">
        <v>1.1000000000000001</v>
      </c>
      <c r="AG45">
        <v>0.1</v>
      </c>
      <c r="AH45">
        <v>1.1000000000000001</v>
      </c>
      <c r="AI45">
        <v>0.1</v>
      </c>
      <c r="AJ45">
        <v>0.45</v>
      </c>
      <c r="AK45">
        <v>0.12</v>
      </c>
      <c r="AL45">
        <v>0.22</v>
      </c>
      <c r="AM45">
        <v>0.4</v>
      </c>
      <c r="AN45">
        <v>0.18</v>
      </c>
      <c r="AO45">
        <v>3.6</v>
      </c>
      <c r="AP45">
        <v>46</v>
      </c>
      <c r="AQ45">
        <v>106</v>
      </c>
      <c r="AR45">
        <v>106</v>
      </c>
      <c r="AS45">
        <v>106</v>
      </c>
      <c r="AT45">
        <v>40</v>
      </c>
      <c r="AU45">
        <v>30</v>
      </c>
      <c r="AV45">
        <v>40</v>
      </c>
      <c r="AW45">
        <v>40</v>
      </c>
      <c r="AX45">
        <v>101</v>
      </c>
      <c r="AY45">
        <v>331</v>
      </c>
      <c r="AZ45" t="s">
        <v>78</v>
      </c>
      <c r="BA45">
        <v>2500</v>
      </c>
      <c r="BB45">
        <v>10</v>
      </c>
      <c r="CH45">
        <v>6</v>
      </c>
      <c r="CI45">
        <v>64</v>
      </c>
    </row>
    <row r="46" spans="1:87" x14ac:dyDescent="0.3">
      <c r="A46" s="23">
        <v>2090</v>
      </c>
      <c r="B46" s="2" t="s">
        <v>0</v>
      </c>
      <c r="C46" s="2" t="s">
        <v>21</v>
      </c>
      <c r="D46" s="2" t="s">
        <v>183</v>
      </c>
      <c r="E46" s="2">
        <v>360</v>
      </c>
      <c r="F46" s="2">
        <v>3.4299999999999997E-2</v>
      </c>
      <c r="G46" s="2">
        <v>2.8299999999999999E-2</v>
      </c>
      <c r="H46" s="4">
        <f t="shared" si="5"/>
        <v>0.17492711370262387</v>
      </c>
      <c r="I46" s="2" t="s">
        <v>73</v>
      </c>
      <c r="J46" s="2" t="s">
        <v>184</v>
      </c>
      <c r="K46" s="2" t="s">
        <v>175</v>
      </c>
      <c r="L46" s="2" t="s">
        <v>96</v>
      </c>
      <c r="M46" s="155">
        <v>2</v>
      </c>
      <c r="N46" s="155">
        <v>180</v>
      </c>
      <c r="O46" s="2">
        <v>2</v>
      </c>
      <c r="P46" s="6">
        <v>41</v>
      </c>
      <c r="Q46" s="132">
        <f t="shared" si="9"/>
        <v>3.6</v>
      </c>
      <c r="R46" s="33">
        <f t="shared" si="6"/>
        <v>44.444444444444443</v>
      </c>
      <c r="S46" s="132">
        <f t="shared" si="7"/>
        <v>5.5555555555555554</v>
      </c>
      <c r="T46" s="132">
        <f t="shared" si="8"/>
        <v>5.5555555555555554</v>
      </c>
      <c r="W46" s="13"/>
      <c r="Z46" t="s">
        <v>7</v>
      </c>
      <c r="AD46" s="24">
        <v>45376</v>
      </c>
      <c r="AE46">
        <v>12</v>
      </c>
      <c r="AF46">
        <v>1.1000000000000001</v>
      </c>
      <c r="AG46">
        <v>0.1</v>
      </c>
      <c r="AH46">
        <v>1.1000000000000001</v>
      </c>
      <c r="AI46">
        <v>0.1</v>
      </c>
      <c r="AJ46">
        <v>0.45</v>
      </c>
      <c r="AK46">
        <v>0.12</v>
      </c>
      <c r="AL46">
        <v>0.22</v>
      </c>
      <c r="AM46">
        <v>0.4</v>
      </c>
      <c r="AN46">
        <v>0.18</v>
      </c>
      <c r="AO46">
        <v>3.6</v>
      </c>
      <c r="AP46">
        <v>46</v>
      </c>
      <c r="AQ46">
        <v>106</v>
      </c>
      <c r="AR46">
        <v>106</v>
      </c>
      <c r="AS46">
        <v>106</v>
      </c>
      <c r="AT46">
        <v>40</v>
      </c>
      <c r="AU46">
        <v>30</v>
      </c>
      <c r="AV46">
        <v>40</v>
      </c>
      <c r="AW46">
        <v>40</v>
      </c>
      <c r="AX46">
        <v>101</v>
      </c>
      <c r="AY46">
        <v>331</v>
      </c>
      <c r="AZ46" t="s">
        <v>78</v>
      </c>
      <c r="BA46">
        <v>2500</v>
      </c>
      <c r="BB46">
        <v>10</v>
      </c>
      <c r="CH46">
        <v>6</v>
      </c>
      <c r="CI46">
        <v>55</v>
      </c>
    </row>
    <row r="47" spans="1:87" x14ac:dyDescent="0.3">
      <c r="A47" s="23">
        <v>1822</v>
      </c>
      <c r="B47" s="2" t="s">
        <v>0</v>
      </c>
      <c r="C47" s="2" t="s">
        <v>21</v>
      </c>
      <c r="D47" s="171" t="s">
        <v>185</v>
      </c>
      <c r="E47" s="171">
        <v>200</v>
      </c>
      <c r="F47" s="2">
        <v>5.0599999999999999E-2</v>
      </c>
      <c r="G47" s="2">
        <v>4.2299999999999997E-2</v>
      </c>
      <c r="H47" s="4">
        <f t="shared" si="5"/>
        <v>0.16403162055335974</v>
      </c>
      <c r="I47" s="2" t="s">
        <v>73</v>
      </c>
      <c r="J47" s="2" t="s">
        <v>186</v>
      </c>
      <c r="K47" s="2" t="s">
        <v>5</v>
      </c>
      <c r="L47" s="2" t="s">
        <v>6</v>
      </c>
      <c r="M47" s="155">
        <v>2</v>
      </c>
      <c r="N47" s="155">
        <v>100</v>
      </c>
      <c r="O47" s="2">
        <v>2</v>
      </c>
      <c r="P47" s="6">
        <v>55</v>
      </c>
      <c r="Q47" s="132">
        <f t="shared" si="9"/>
        <v>4.8</v>
      </c>
      <c r="R47" s="33">
        <f t="shared" si="6"/>
        <v>60</v>
      </c>
      <c r="S47" s="132">
        <f t="shared" si="7"/>
        <v>7.5</v>
      </c>
      <c r="T47" s="132">
        <f t="shared" si="8"/>
        <v>7.5</v>
      </c>
      <c r="W47" s="13"/>
      <c r="AD47" s="24">
        <v>45559</v>
      </c>
      <c r="AE47">
        <v>13</v>
      </c>
      <c r="AF47">
        <v>0.9</v>
      </c>
      <c r="AG47">
        <v>0.2</v>
      </c>
      <c r="AH47">
        <v>1</v>
      </c>
      <c r="AI47">
        <v>0.33</v>
      </c>
      <c r="AJ47">
        <v>0.8</v>
      </c>
      <c r="AK47">
        <v>0.15</v>
      </c>
      <c r="AL47">
        <v>0.21</v>
      </c>
      <c r="AM47">
        <v>0.4</v>
      </c>
      <c r="AN47">
        <v>0.4</v>
      </c>
      <c r="AO47">
        <v>4.8</v>
      </c>
      <c r="AP47">
        <v>55</v>
      </c>
      <c r="AQ47">
        <v>112</v>
      </c>
      <c r="AR47">
        <v>108</v>
      </c>
      <c r="AS47">
        <v>109</v>
      </c>
      <c r="AT47">
        <v>45</v>
      </c>
      <c r="AU47">
        <v>30</v>
      </c>
      <c r="AV47">
        <v>80</v>
      </c>
      <c r="AW47">
        <v>30</v>
      </c>
      <c r="AX47">
        <v>100</v>
      </c>
      <c r="AY47">
        <v>400</v>
      </c>
      <c r="AZ47" t="s">
        <v>78</v>
      </c>
      <c r="BA47">
        <v>400</v>
      </c>
      <c r="BB47">
        <v>10</v>
      </c>
      <c r="CH47">
        <v>5</v>
      </c>
      <c r="CI47">
        <v>49</v>
      </c>
    </row>
    <row r="48" spans="1:87" x14ac:dyDescent="0.3">
      <c r="A48" s="23">
        <v>1823</v>
      </c>
      <c r="B48" s="2" t="s">
        <v>0</v>
      </c>
      <c r="C48" s="2" t="s">
        <v>21</v>
      </c>
      <c r="D48" s="2" t="s">
        <v>187</v>
      </c>
      <c r="E48" s="2">
        <v>200</v>
      </c>
      <c r="F48" s="2">
        <v>5.0599999999999999E-2</v>
      </c>
      <c r="G48" s="2">
        <v>4.2299999999999997E-2</v>
      </c>
      <c r="H48" s="4">
        <f t="shared" ref="H48:H74" si="10">(F48-G48)/F48</f>
        <v>0.16403162055335974</v>
      </c>
      <c r="I48" s="2" t="s">
        <v>73</v>
      </c>
      <c r="J48" s="2" t="s">
        <v>186</v>
      </c>
      <c r="K48" s="2" t="s">
        <v>5</v>
      </c>
      <c r="L48" s="2" t="s">
        <v>6</v>
      </c>
      <c r="M48" s="155">
        <v>2</v>
      </c>
      <c r="N48" s="155">
        <v>100</v>
      </c>
      <c r="O48" s="2">
        <v>2</v>
      </c>
      <c r="P48" s="6">
        <v>55</v>
      </c>
      <c r="Q48" s="132">
        <f t="shared" ref="Q48:Q65" si="11">IFERROR(IF(AO48&gt;1,AO48,60*60*8*O48/P48/E48),"")</f>
        <v>4.5999999999999996</v>
      </c>
      <c r="R48" s="33">
        <f t="shared" ref="R48:R70" si="12">IFERROR(60*60*8*O48/E48/Q48,"")</f>
        <v>62.608695652173921</v>
      </c>
      <c r="S48" s="132" t="s">
        <v>188</v>
      </c>
      <c r="T48" s="132" t="str">
        <f t="shared" ref="T48:T70" si="13">IFERROR(IF(R48&gt;2,S48,""),"")</f>
        <v>7,8</v>
      </c>
      <c r="W48" s="13"/>
      <c r="Z48" t="s">
        <v>7</v>
      </c>
      <c r="AD48" s="24">
        <v>45419</v>
      </c>
      <c r="AE48">
        <v>12</v>
      </c>
      <c r="AF48">
        <v>0.9</v>
      </c>
      <c r="AG48">
        <v>0.3</v>
      </c>
      <c r="AH48">
        <v>1</v>
      </c>
      <c r="AI48">
        <v>0.1</v>
      </c>
      <c r="AJ48">
        <v>0.14000000000000001</v>
      </c>
      <c r="AK48">
        <v>0.19</v>
      </c>
      <c r="AL48">
        <v>0.7</v>
      </c>
      <c r="AM48">
        <v>0.6</v>
      </c>
      <c r="AN48">
        <v>0.25</v>
      </c>
      <c r="AO48">
        <v>4.5999999999999996</v>
      </c>
      <c r="AP48">
        <v>50</v>
      </c>
      <c r="AQ48">
        <v>110</v>
      </c>
      <c r="AR48">
        <v>110</v>
      </c>
      <c r="AS48">
        <v>108</v>
      </c>
      <c r="AT48">
        <v>40</v>
      </c>
      <c r="AU48">
        <v>30</v>
      </c>
      <c r="AV48">
        <v>40</v>
      </c>
      <c r="AW48">
        <v>40</v>
      </c>
      <c r="AX48">
        <v>100</v>
      </c>
      <c r="AY48">
        <v>406</v>
      </c>
      <c r="AZ48" t="s">
        <v>78</v>
      </c>
      <c r="BA48">
        <v>1500</v>
      </c>
      <c r="BB48">
        <v>10</v>
      </c>
      <c r="CH48">
        <v>4</v>
      </c>
      <c r="CI48">
        <v>40</v>
      </c>
    </row>
    <row r="49" spans="1:87" x14ac:dyDescent="0.3">
      <c r="A49" s="2">
        <v>2021</v>
      </c>
      <c r="B49" s="2" t="s">
        <v>0</v>
      </c>
      <c r="C49" s="2" t="s">
        <v>21</v>
      </c>
      <c r="D49" s="2" t="s">
        <v>187</v>
      </c>
      <c r="E49" s="2">
        <v>200</v>
      </c>
      <c r="F49" s="2">
        <v>5.0599999999999999E-2</v>
      </c>
      <c r="G49" s="2">
        <v>4.2299999999999997E-2</v>
      </c>
      <c r="H49" s="4">
        <f t="shared" si="10"/>
        <v>0.16403162055335974</v>
      </c>
      <c r="I49" s="2" t="s">
        <v>82</v>
      </c>
      <c r="J49" s="2" t="s">
        <v>189</v>
      </c>
      <c r="K49" s="2" t="s">
        <v>5</v>
      </c>
      <c r="L49" s="2" t="s">
        <v>6</v>
      </c>
      <c r="M49" s="155">
        <v>2</v>
      </c>
      <c r="N49" s="155">
        <v>100</v>
      </c>
      <c r="O49" s="2">
        <v>2</v>
      </c>
      <c r="P49" s="6">
        <v>55</v>
      </c>
      <c r="Q49" s="132">
        <f t="shared" si="11"/>
        <v>4.5999999999999996</v>
      </c>
      <c r="R49" s="33">
        <f t="shared" si="12"/>
        <v>62.608695652173921</v>
      </c>
      <c r="S49" s="132">
        <f t="shared" ref="S49:S80" si="14">IFERROR(R49/8,"")</f>
        <v>7.8260869565217401</v>
      </c>
      <c r="T49" s="132">
        <f t="shared" si="13"/>
        <v>7.8260869565217401</v>
      </c>
      <c r="W49" s="13"/>
      <c r="Z49" t="s">
        <v>7</v>
      </c>
      <c r="AD49" s="24">
        <v>45419</v>
      </c>
      <c r="AE49">
        <v>12</v>
      </c>
      <c r="AF49">
        <v>0.9</v>
      </c>
      <c r="AG49">
        <v>0.3</v>
      </c>
      <c r="AH49">
        <v>1</v>
      </c>
      <c r="AI49">
        <v>0.1</v>
      </c>
      <c r="AJ49">
        <v>0.14000000000000001</v>
      </c>
      <c r="AK49">
        <v>0.19</v>
      </c>
      <c r="AL49">
        <v>0.7</v>
      </c>
      <c r="AM49">
        <v>0.6</v>
      </c>
      <c r="AN49">
        <v>0.25</v>
      </c>
      <c r="AO49">
        <v>4.5999999999999996</v>
      </c>
      <c r="AP49">
        <v>50</v>
      </c>
      <c r="AQ49">
        <v>110</v>
      </c>
      <c r="AR49">
        <v>110</v>
      </c>
      <c r="AS49">
        <v>108</v>
      </c>
      <c r="AT49">
        <v>40</v>
      </c>
      <c r="AU49">
        <v>30</v>
      </c>
      <c r="AV49">
        <v>40</v>
      </c>
      <c r="AW49">
        <v>40</v>
      </c>
      <c r="AX49">
        <v>100</v>
      </c>
      <c r="AY49">
        <v>406</v>
      </c>
      <c r="AZ49" t="s">
        <v>78</v>
      </c>
      <c r="BA49">
        <v>1500</v>
      </c>
      <c r="BB49">
        <v>10</v>
      </c>
      <c r="CH49">
        <v>3</v>
      </c>
      <c r="CI49">
        <v>86</v>
      </c>
    </row>
    <row r="50" spans="1:87" x14ac:dyDescent="0.3">
      <c r="A50" s="2">
        <v>1827</v>
      </c>
      <c r="B50" s="2" t="s">
        <v>0</v>
      </c>
      <c r="C50" s="2" t="s">
        <v>21</v>
      </c>
      <c r="D50" s="2" t="s">
        <v>190</v>
      </c>
      <c r="E50" s="2">
        <v>720</v>
      </c>
      <c r="F50" s="2">
        <v>1.15E-2</v>
      </c>
      <c r="G50" s="2">
        <v>8.9999999999999993E-3</v>
      </c>
      <c r="H50" s="4">
        <f t="shared" si="10"/>
        <v>0.21739130434782614</v>
      </c>
      <c r="I50" s="2" t="s">
        <v>82</v>
      </c>
      <c r="J50" s="2" t="s">
        <v>134</v>
      </c>
      <c r="K50" s="2" t="s">
        <v>105</v>
      </c>
      <c r="L50" s="2" t="s">
        <v>76</v>
      </c>
      <c r="M50" s="155"/>
      <c r="N50" s="155"/>
      <c r="O50" s="2">
        <v>3</v>
      </c>
      <c r="P50" s="6">
        <v>28</v>
      </c>
      <c r="Q50" s="132">
        <f t="shared" si="11"/>
        <v>4.2857142857142856</v>
      </c>
      <c r="R50" s="33">
        <f t="shared" si="12"/>
        <v>28</v>
      </c>
      <c r="S50" s="132">
        <f t="shared" si="14"/>
        <v>3.5</v>
      </c>
      <c r="T50" s="132">
        <f t="shared" si="13"/>
        <v>3.5</v>
      </c>
      <c r="W50" s="13"/>
      <c r="CH50">
        <v>6</v>
      </c>
      <c r="CI50">
        <v>59</v>
      </c>
    </row>
    <row r="51" spans="1:87" x14ac:dyDescent="0.3">
      <c r="A51" s="23">
        <v>2028</v>
      </c>
      <c r="B51" s="2" t="s">
        <v>0</v>
      </c>
      <c r="C51" s="2" t="s">
        <v>21</v>
      </c>
      <c r="D51" s="2" t="s">
        <v>191</v>
      </c>
      <c r="E51" s="2">
        <v>150</v>
      </c>
      <c r="F51" s="2">
        <v>1.15E-2</v>
      </c>
      <c r="G51" s="2">
        <v>8.9999999999999993E-3</v>
      </c>
      <c r="H51" s="91">
        <f t="shared" si="10"/>
        <v>0.21739130434782614</v>
      </c>
      <c r="I51" s="2" t="s">
        <v>82</v>
      </c>
      <c r="J51" s="2" t="s">
        <v>134</v>
      </c>
      <c r="K51" s="2"/>
      <c r="L51" s="2"/>
      <c r="M51" s="155"/>
      <c r="N51" s="155"/>
      <c r="O51" s="2">
        <v>3</v>
      </c>
      <c r="P51" s="6">
        <v>110</v>
      </c>
      <c r="Q51" s="132">
        <f t="shared" si="11"/>
        <v>4.2</v>
      </c>
      <c r="R51" s="33">
        <f t="shared" si="12"/>
        <v>137.14285714285714</v>
      </c>
      <c r="S51" s="132">
        <f t="shared" si="14"/>
        <v>17.142857142857142</v>
      </c>
      <c r="T51" s="132">
        <f t="shared" si="13"/>
        <v>17.142857142857142</v>
      </c>
      <c r="W51" s="13"/>
      <c r="Y51"/>
      <c r="Z51" t="s">
        <v>7</v>
      </c>
      <c r="AD51" s="24">
        <v>45605</v>
      </c>
      <c r="AE51">
        <v>12</v>
      </c>
      <c r="AF51">
        <v>1</v>
      </c>
      <c r="AG51">
        <v>0.2</v>
      </c>
      <c r="AH51">
        <v>1</v>
      </c>
      <c r="AI51">
        <v>0.2</v>
      </c>
      <c r="AJ51">
        <v>0.16</v>
      </c>
      <c r="AK51">
        <v>0.22</v>
      </c>
      <c r="AL51">
        <v>0.6</v>
      </c>
      <c r="AM51">
        <v>0.35</v>
      </c>
      <c r="AN51">
        <v>0.15</v>
      </c>
      <c r="AO51">
        <v>4.2</v>
      </c>
      <c r="AP51">
        <v>48</v>
      </c>
      <c r="AQ51">
        <v>100</v>
      </c>
      <c r="AR51">
        <v>102</v>
      </c>
      <c r="AS51">
        <v>102</v>
      </c>
      <c r="AT51">
        <v>36</v>
      </c>
      <c r="AU51">
        <v>20</v>
      </c>
      <c r="AV51">
        <v>40</v>
      </c>
      <c r="AW51">
        <v>20</v>
      </c>
      <c r="AX51">
        <v>101</v>
      </c>
      <c r="AY51">
        <v>189</v>
      </c>
      <c r="AZ51" t="s">
        <v>78</v>
      </c>
      <c r="BA51">
        <v>2200</v>
      </c>
      <c r="BB51">
        <v>10</v>
      </c>
      <c r="CH51">
        <v>3</v>
      </c>
      <c r="CI51">
        <v>36</v>
      </c>
    </row>
    <row r="52" spans="1:87" x14ac:dyDescent="0.3">
      <c r="A52" s="23">
        <v>2029</v>
      </c>
      <c r="B52" s="2" t="s">
        <v>0</v>
      </c>
      <c r="C52" s="2" t="s">
        <v>21</v>
      </c>
      <c r="D52" s="2" t="s">
        <v>192</v>
      </c>
      <c r="E52" s="2">
        <v>180</v>
      </c>
      <c r="F52" s="2">
        <v>1.15E-2</v>
      </c>
      <c r="G52" s="2">
        <v>8.9999999999999993E-3</v>
      </c>
      <c r="H52" s="91">
        <f t="shared" si="10"/>
        <v>0.21739130434782614</v>
      </c>
      <c r="I52" s="2" t="s">
        <v>82</v>
      </c>
      <c r="J52" s="2" t="s">
        <v>134</v>
      </c>
      <c r="K52" s="2"/>
      <c r="L52" s="2"/>
      <c r="M52" s="155"/>
      <c r="N52" s="155"/>
      <c r="O52" s="2">
        <v>3</v>
      </c>
      <c r="P52" s="6">
        <v>110</v>
      </c>
      <c r="Q52" s="132">
        <f t="shared" si="11"/>
        <v>4.2</v>
      </c>
      <c r="R52" s="33">
        <f t="shared" si="12"/>
        <v>114.28571428571428</v>
      </c>
      <c r="S52" s="132">
        <f t="shared" si="14"/>
        <v>14.285714285714285</v>
      </c>
      <c r="T52" s="132">
        <f t="shared" si="13"/>
        <v>14.285714285714285</v>
      </c>
      <c r="W52" s="13"/>
      <c r="Z52" t="s">
        <v>7</v>
      </c>
      <c r="AD52" s="24">
        <v>45605</v>
      </c>
      <c r="AE52">
        <v>12</v>
      </c>
      <c r="AF52">
        <v>1</v>
      </c>
      <c r="AG52">
        <v>0.2</v>
      </c>
      <c r="AH52">
        <v>1</v>
      </c>
      <c r="AI52">
        <v>0.2</v>
      </c>
      <c r="AJ52">
        <v>0.16</v>
      </c>
      <c r="AK52">
        <v>0.22</v>
      </c>
      <c r="AL52">
        <v>0.6</v>
      </c>
      <c r="AM52">
        <v>0.35</v>
      </c>
      <c r="AN52">
        <v>0.15</v>
      </c>
      <c r="AO52">
        <v>4.2</v>
      </c>
      <c r="AP52">
        <v>48</v>
      </c>
      <c r="AQ52">
        <v>100</v>
      </c>
      <c r="AR52">
        <v>102</v>
      </c>
      <c r="AS52">
        <v>102</v>
      </c>
      <c r="AT52">
        <v>36</v>
      </c>
      <c r="AU52">
        <v>20</v>
      </c>
      <c r="AV52">
        <v>40</v>
      </c>
      <c r="AW52">
        <v>20</v>
      </c>
      <c r="AX52">
        <v>101</v>
      </c>
      <c r="AY52">
        <v>189</v>
      </c>
      <c r="AZ52" t="s">
        <v>78</v>
      </c>
      <c r="BA52">
        <v>2200</v>
      </c>
      <c r="BB52">
        <v>10</v>
      </c>
      <c r="CH52">
        <v>6</v>
      </c>
      <c r="CI52">
        <v>79</v>
      </c>
    </row>
    <row r="53" spans="1:87" x14ac:dyDescent="0.3">
      <c r="A53" s="2">
        <v>2026</v>
      </c>
      <c r="B53" s="2" t="s">
        <v>0</v>
      </c>
      <c r="C53" s="2" t="s">
        <v>21</v>
      </c>
      <c r="D53" s="2" t="s">
        <v>193</v>
      </c>
      <c r="E53" s="2">
        <v>150</v>
      </c>
      <c r="F53" s="2">
        <v>1.09E-2</v>
      </c>
      <c r="G53" s="2">
        <v>7.4999999999999997E-3</v>
      </c>
      <c r="H53" s="4">
        <f t="shared" si="10"/>
        <v>0.31192660550458717</v>
      </c>
      <c r="I53" s="2" t="s">
        <v>98</v>
      </c>
      <c r="J53" s="2" t="s">
        <v>194</v>
      </c>
      <c r="K53" s="2"/>
      <c r="L53" s="2"/>
      <c r="M53" s="155">
        <v>6</v>
      </c>
      <c r="N53" s="155">
        <v>25</v>
      </c>
      <c r="O53" s="2">
        <v>3</v>
      </c>
      <c r="P53" s="6">
        <v>120</v>
      </c>
      <c r="Q53" s="132">
        <f t="shared" si="11"/>
        <v>4</v>
      </c>
      <c r="R53" s="33">
        <f t="shared" si="12"/>
        <v>144</v>
      </c>
      <c r="S53" s="132">
        <f t="shared" si="14"/>
        <v>18</v>
      </c>
      <c r="T53" s="132">
        <f t="shared" si="13"/>
        <v>18</v>
      </c>
      <c r="W53" s="13"/>
      <c r="Z53" t="s">
        <v>7</v>
      </c>
      <c r="AD53" s="24">
        <v>45420</v>
      </c>
      <c r="AE53">
        <v>13</v>
      </c>
      <c r="AF53">
        <v>1</v>
      </c>
      <c r="AG53">
        <v>0.1</v>
      </c>
      <c r="AH53">
        <v>1</v>
      </c>
      <c r="AI53">
        <v>0.15</v>
      </c>
      <c r="AJ53">
        <v>0.45</v>
      </c>
      <c r="AK53">
        <v>0.28000000000000003</v>
      </c>
      <c r="AL53">
        <v>0.12</v>
      </c>
      <c r="AM53">
        <v>0.41</v>
      </c>
      <c r="AN53">
        <v>0.1</v>
      </c>
      <c r="AO53">
        <v>4</v>
      </c>
      <c r="AP53">
        <v>44</v>
      </c>
      <c r="AQ53">
        <v>120</v>
      </c>
      <c r="AR53">
        <v>120</v>
      </c>
      <c r="AS53">
        <v>122</v>
      </c>
      <c r="AT53">
        <v>55</v>
      </c>
      <c r="AU53">
        <v>20</v>
      </c>
      <c r="AV53">
        <v>40</v>
      </c>
      <c r="AW53">
        <v>20</v>
      </c>
      <c r="AX53">
        <v>65</v>
      </c>
      <c r="AY53">
        <v>178</v>
      </c>
      <c r="AZ53" t="s">
        <v>78</v>
      </c>
      <c r="BA53">
        <v>500</v>
      </c>
      <c r="BB53">
        <v>10</v>
      </c>
      <c r="CH53">
        <v>1</v>
      </c>
      <c r="CI53">
        <v>71</v>
      </c>
    </row>
    <row r="54" spans="1:87" x14ac:dyDescent="0.3">
      <c r="A54" s="2">
        <v>1740</v>
      </c>
      <c r="B54" s="2" t="s">
        <v>84</v>
      </c>
      <c r="C54" s="2" t="s">
        <v>21</v>
      </c>
      <c r="D54" s="123" t="s">
        <v>195</v>
      </c>
      <c r="E54" s="2">
        <v>720</v>
      </c>
      <c r="F54" s="2">
        <v>1.32E-2</v>
      </c>
      <c r="G54" s="2">
        <v>8.8000000000000005E-3</v>
      </c>
      <c r="H54" s="4">
        <f t="shared" si="10"/>
        <v>0.33333333333333331</v>
      </c>
      <c r="I54" s="123" t="s">
        <v>86</v>
      </c>
      <c r="J54" s="2" t="s">
        <v>196</v>
      </c>
      <c r="K54" s="2" t="s">
        <v>105</v>
      </c>
      <c r="L54" s="2" t="s">
        <v>76</v>
      </c>
      <c r="M54" s="155"/>
      <c r="N54" s="155"/>
      <c r="O54" s="2">
        <v>3</v>
      </c>
      <c r="P54" s="6"/>
      <c r="Q54" s="132" t="str">
        <f t="shared" si="11"/>
        <v/>
      </c>
      <c r="R54" s="33" t="str">
        <f t="shared" si="12"/>
        <v/>
      </c>
      <c r="S54" s="132" t="str">
        <f t="shared" si="14"/>
        <v/>
      </c>
      <c r="T54" s="132" t="str">
        <f t="shared" si="13"/>
        <v/>
      </c>
      <c r="W54" s="13"/>
      <c r="CH54">
        <v>4</v>
      </c>
      <c r="CI54">
        <v>53</v>
      </c>
    </row>
    <row r="55" spans="1:87" x14ac:dyDescent="0.3">
      <c r="A55" s="23">
        <v>1826</v>
      </c>
      <c r="B55" s="2" t="s">
        <v>0</v>
      </c>
      <c r="C55" s="2" t="s">
        <v>21</v>
      </c>
      <c r="D55" s="2" t="s">
        <v>197</v>
      </c>
      <c r="E55" s="2">
        <v>720</v>
      </c>
      <c r="F55" s="2">
        <v>1.09E-2</v>
      </c>
      <c r="G55" s="2">
        <v>7.4999999999999997E-3</v>
      </c>
      <c r="H55" s="4">
        <f t="shared" si="10"/>
        <v>0.31192660550458717</v>
      </c>
      <c r="I55" s="2" t="s">
        <v>98</v>
      </c>
      <c r="J55" s="2" t="s">
        <v>194</v>
      </c>
      <c r="K55" s="2" t="s">
        <v>105</v>
      </c>
      <c r="L55" s="2" t="s">
        <v>76</v>
      </c>
      <c r="M55" s="155"/>
      <c r="N55" s="155"/>
      <c r="O55" s="2">
        <v>3</v>
      </c>
      <c r="P55" s="6">
        <v>25</v>
      </c>
      <c r="Q55" s="132">
        <f t="shared" si="11"/>
        <v>4</v>
      </c>
      <c r="R55" s="33">
        <f t="shared" si="12"/>
        <v>30</v>
      </c>
      <c r="S55" s="132">
        <f t="shared" si="14"/>
        <v>3.75</v>
      </c>
      <c r="T55" s="132">
        <f t="shared" si="13"/>
        <v>3.75</v>
      </c>
      <c r="W55" s="13"/>
      <c r="Z55" t="s">
        <v>7</v>
      </c>
      <c r="AD55" s="24">
        <v>45420</v>
      </c>
      <c r="AE55">
        <v>13</v>
      </c>
      <c r="AF55">
        <v>1</v>
      </c>
      <c r="AG55">
        <v>0.1</v>
      </c>
      <c r="AH55">
        <v>1</v>
      </c>
      <c r="AI55">
        <v>0.15</v>
      </c>
      <c r="AJ55">
        <v>0.45</v>
      </c>
      <c r="AK55">
        <v>0.28000000000000003</v>
      </c>
      <c r="AL55">
        <v>0.12</v>
      </c>
      <c r="AM55">
        <v>0.41</v>
      </c>
      <c r="AN55">
        <v>0.1</v>
      </c>
      <c r="AO55">
        <v>4</v>
      </c>
      <c r="AP55">
        <v>44</v>
      </c>
      <c r="AQ55">
        <v>120</v>
      </c>
      <c r="AR55">
        <v>120</v>
      </c>
      <c r="AS55">
        <v>122</v>
      </c>
      <c r="AT55">
        <v>55</v>
      </c>
      <c r="AU55">
        <v>20</v>
      </c>
      <c r="AV55">
        <v>40</v>
      </c>
      <c r="AW55">
        <v>20</v>
      </c>
      <c r="AX55">
        <v>65</v>
      </c>
      <c r="AY55">
        <v>178</v>
      </c>
      <c r="AZ55" t="s">
        <v>78</v>
      </c>
      <c r="BA55">
        <v>500</v>
      </c>
      <c r="BB55">
        <v>10</v>
      </c>
      <c r="CH55">
        <v>6</v>
      </c>
      <c r="CI55">
        <v>63</v>
      </c>
    </row>
    <row r="56" spans="1:87" x14ac:dyDescent="0.3">
      <c r="A56" s="23">
        <v>1828</v>
      </c>
      <c r="B56" s="2" t="s">
        <v>0</v>
      </c>
      <c r="C56" s="2" t="s">
        <v>21</v>
      </c>
      <c r="D56" s="2" t="s">
        <v>198</v>
      </c>
      <c r="E56" s="2">
        <v>720</v>
      </c>
      <c r="F56" s="2">
        <v>1.38E-2</v>
      </c>
      <c r="G56" s="2">
        <v>1.09E-2</v>
      </c>
      <c r="H56" s="4">
        <f t="shared" si="10"/>
        <v>0.21014492753623187</v>
      </c>
      <c r="I56" s="2" t="s">
        <v>82</v>
      </c>
      <c r="J56" s="2" t="s">
        <v>199</v>
      </c>
      <c r="K56" s="2" t="s">
        <v>200</v>
      </c>
      <c r="L56" s="2" t="s">
        <v>76</v>
      </c>
      <c r="M56" s="155"/>
      <c r="N56" s="155"/>
      <c r="O56" s="2">
        <v>3</v>
      </c>
      <c r="P56" s="30">
        <v>27</v>
      </c>
      <c r="Q56" s="132">
        <f t="shared" si="11"/>
        <v>4</v>
      </c>
      <c r="R56" s="33">
        <f t="shared" si="12"/>
        <v>30</v>
      </c>
      <c r="S56" s="132">
        <f t="shared" si="14"/>
        <v>3.75</v>
      </c>
      <c r="T56" s="132">
        <f t="shared" si="13"/>
        <v>3.75</v>
      </c>
      <c r="W56" s="13"/>
      <c r="Z56" t="s">
        <v>7</v>
      </c>
      <c r="AD56" s="24">
        <v>45418</v>
      </c>
      <c r="AE56">
        <v>13</v>
      </c>
      <c r="AF56">
        <v>1</v>
      </c>
      <c r="AG56">
        <v>0.1</v>
      </c>
      <c r="AH56">
        <v>1</v>
      </c>
      <c r="AI56">
        <v>0.1</v>
      </c>
      <c r="AJ56">
        <v>0.46</v>
      </c>
      <c r="AK56">
        <v>0.28000000000000003</v>
      </c>
      <c r="AL56">
        <v>0.12</v>
      </c>
      <c r="AM56">
        <v>0.4</v>
      </c>
      <c r="AN56">
        <v>0.1</v>
      </c>
      <c r="AO56">
        <v>4</v>
      </c>
      <c r="AP56">
        <v>49</v>
      </c>
      <c r="AQ56">
        <v>104</v>
      </c>
      <c r="AR56">
        <v>106</v>
      </c>
      <c r="AS56">
        <v>106</v>
      </c>
      <c r="AT56">
        <v>42</v>
      </c>
      <c r="AU56">
        <v>20</v>
      </c>
      <c r="AV56">
        <v>40</v>
      </c>
      <c r="AW56">
        <v>20</v>
      </c>
      <c r="AX56">
        <v>65</v>
      </c>
      <c r="AY56">
        <v>181</v>
      </c>
      <c r="AZ56" t="s">
        <v>78</v>
      </c>
      <c r="BA56">
        <v>500</v>
      </c>
      <c r="BB56">
        <v>10</v>
      </c>
      <c r="CH56">
        <v>4</v>
      </c>
      <c r="CI56">
        <v>48</v>
      </c>
    </row>
    <row r="57" spans="1:87" x14ac:dyDescent="0.3">
      <c r="A57" s="23">
        <v>2030</v>
      </c>
      <c r="B57" s="2" t="s">
        <v>0</v>
      </c>
      <c r="C57" s="2" t="s">
        <v>21</v>
      </c>
      <c r="D57" s="2" t="s">
        <v>201</v>
      </c>
      <c r="E57" s="2">
        <v>180</v>
      </c>
      <c r="F57" s="2">
        <v>1.38E-2</v>
      </c>
      <c r="G57" s="2">
        <v>1.09E-2</v>
      </c>
      <c r="H57" s="4">
        <f t="shared" si="10"/>
        <v>0.21014492753623187</v>
      </c>
      <c r="I57" s="2" t="s">
        <v>82</v>
      </c>
      <c r="J57" s="2" t="s">
        <v>199</v>
      </c>
      <c r="K57" s="2" t="s">
        <v>137</v>
      </c>
      <c r="L57" s="2" t="s">
        <v>6</v>
      </c>
      <c r="M57" s="155"/>
      <c r="N57" s="155"/>
      <c r="O57" s="2">
        <v>3</v>
      </c>
      <c r="P57" s="30">
        <v>27</v>
      </c>
      <c r="Q57" s="132">
        <f t="shared" si="11"/>
        <v>4</v>
      </c>
      <c r="R57" s="33">
        <f t="shared" si="12"/>
        <v>120</v>
      </c>
      <c r="S57" s="132">
        <f t="shared" si="14"/>
        <v>15</v>
      </c>
      <c r="T57" s="132">
        <f t="shared" si="13"/>
        <v>15</v>
      </c>
      <c r="W57" s="13"/>
      <c r="Y57"/>
      <c r="Z57" t="s">
        <v>7</v>
      </c>
      <c r="AD57" s="24">
        <v>45418</v>
      </c>
      <c r="AE57">
        <v>13</v>
      </c>
      <c r="AF57">
        <v>1</v>
      </c>
      <c r="AG57">
        <v>0.1</v>
      </c>
      <c r="AH57">
        <v>1</v>
      </c>
      <c r="AI57">
        <v>0.1</v>
      </c>
      <c r="AJ57">
        <v>0.46</v>
      </c>
      <c r="AK57">
        <v>0.28000000000000003</v>
      </c>
      <c r="AL57">
        <v>0.12</v>
      </c>
      <c r="AM57">
        <v>0.4</v>
      </c>
      <c r="AN57">
        <v>0.1</v>
      </c>
      <c r="AO57">
        <v>4</v>
      </c>
      <c r="AP57">
        <v>49</v>
      </c>
      <c r="AQ57">
        <v>104</v>
      </c>
      <c r="AR57">
        <v>106</v>
      </c>
      <c r="AS57">
        <v>106</v>
      </c>
      <c r="AT57">
        <v>42</v>
      </c>
      <c r="AU57">
        <v>20</v>
      </c>
      <c r="AV57">
        <v>40</v>
      </c>
      <c r="AW57">
        <v>20</v>
      </c>
      <c r="AX57">
        <v>65</v>
      </c>
      <c r="AY57">
        <v>181</v>
      </c>
      <c r="AZ57" t="s">
        <v>78</v>
      </c>
      <c r="BA57">
        <v>500</v>
      </c>
      <c r="BB57">
        <v>10</v>
      </c>
      <c r="CH57">
        <v>4</v>
      </c>
      <c r="CI57">
        <v>83</v>
      </c>
    </row>
    <row r="58" spans="1:87" x14ac:dyDescent="0.3">
      <c r="A58" s="2">
        <v>1787</v>
      </c>
      <c r="B58" s="2" t="s">
        <v>84</v>
      </c>
      <c r="C58" s="2" t="s">
        <v>21</v>
      </c>
      <c r="D58" s="123" t="s">
        <v>202</v>
      </c>
      <c r="E58" s="2">
        <v>720</v>
      </c>
      <c r="F58" s="2">
        <v>1.4999999999999999E-2</v>
      </c>
      <c r="G58" s="2">
        <v>1.0200000000000001E-2</v>
      </c>
      <c r="H58" s="4">
        <f t="shared" si="10"/>
        <v>0.31999999999999995</v>
      </c>
      <c r="I58" s="123" t="s">
        <v>86</v>
      </c>
      <c r="J58" s="2" t="s">
        <v>203</v>
      </c>
      <c r="K58" s="2" t="s">
        <v>200</v>
      </c>
      <c r="L58" s="2" t="s">
        <v>76</v>
      </c>
      <c r="M58" s="155"/>
      <c r="N58" s="155"/>
      <c r="O58" s="2">
        <v>3</v>
      </c>
      <c r="P58" s="6"/>
      <c r="Q58" s="132" t="str">
        <f t="shared" si="11"/>
        <v/>
      </c>
      <c r="R58" s="33" t="str">
        <f t="shared" si="12"/>
        <v/>
      </c>
      <c r="S58" s="132" t="str">
        <f t="shared" si="14"/>
        <v/>
      </c>
      <c r="T58" s="132" t="str">
        <f t="shared" si="13"/>
        <v/>
      </c>
      <c r="W58" s="13"/>
      <c r="CH58">
        <v>3</v>
      </c>
      <c r="CI58">
        <v>65</v>
      </c>
    </row>
    <row r="59" spans="1:87" x14ac:dyDescent="0.3">
      <c r="A59" s="23">
        <v>1829</v>
      </c>
      <c r="B59" s="2" t="s">
        <v>0</v>
      </c>
      <c r="C59" s="2" t="s">
        <v>21</v>
      </c>
      <c r="D59" s="2" t="s">
        <v>204</v>
      </c>
      <c r="E59" s="2">
        <v>720</v>
      </c>
      <c r="F59" s="2">
        <v>2.07E-2</v>
      </c>
      <c r="G59" s="2">
        <v>1.4999999999999999E-2</v>
      </c>
      <c r="H59" s="4">
        <f t="shared" si="10"/>
        <v>0.27536231884057971</v>
      </c>
      <c r="I59" s="2" t="s">
        <v>82</v>
      </c>
      <c r="J59" s="2" t="s">
        <v>205</v>
      </c>
      <c r="K59" s="2" t="s">
        <v>200</v>
      </c>
      <c r="L59" s="2" t="s">
        <v>76</v>
      </c>
      <c r="M59" s="155"/>
      <c r="N59" s="155"/>
      <c r="O59" s="2">
        <v>3</v>
      </c>
      <c r="P59" s="6">
        <v>21</v>
      </c>
      <c r="Q59" s="132">
        <f t="shared" si="11"/>
        <v>4.5999999999999996</v>
      </c>
      <c r="R59" s="33">
        <f t="shared" si="12"/>
        <v>26.086956521739133</v>
      </c>
      <c r="S59" s="132">
        <f t="shared" si="14"/>
        <v>3.2608695652173916</v>
      </c>
      <c r="T59" s="132">
        <f t="shared" si="13"/>
        <v>3.2608695652173916</v>
      </c>
      <c r="W59" s="13"/>
      <c r="Z59" t="s">
        <v>7</v>
      </c>
      <c r="AD59" s="24">
        <v>45414</v>
      </c>
      <c r="AE59">
        <v>13</v>
      </c>
      <c r="AF59">
        <v>1</v>
      </c>
      <c r="AG59">
        <v>0.2</v>
      </c>
      <c r="AH59">
        <v>1</v>
      </c>
      <c r="AI59">
        <v>0.2</v>
      </c>
      <c r="AJ59">
        <v>0.6</v>
      </c>
      <c r="AK59">
        <v>0.28000000000000003</v>
      </c>
      <c r="AL59">
        <v>0.12</v>
      </c>
      <c r="AM59">
        <v>0.6</v>
      </c>
      <c r="AN59">
        <v>0.2</v>
      </c>
      <c r="AO59">
        <v>4.5999999999999996</v>
      </c>
      <c r="AP59">
        <v>48</v>
      </c>
      <c r="AQ59">
        <v>106</v>
      </c>
      <c r="AR59">
        <v>106</v>
      </c>
      <c r="AS59">
        <v>105</v>
      </c>
      <c r="AT59">
        <v>42</v>
      </c>
      <c r="AU59">
        <v>20</v>
      </c>
      <c r="AV59">
        <v>40</v>
      </c>
      <c r="AW59">
        <v>20</v>
      </c>
      <c r="AX59">
        <v>65</v>
      </c>
      <c r="AY59">
        <v>180</v>
      </c>
      <c r="AZ59" t="s">
        <v>78</v>
      </c>
      <c r="BA59">
        <v>400</v>
      </c>
      <c r="BB59">
        <v>10</v>
      </c>
      <c r="CH59">
        <v>1</v>
      </c>
      <c r="CI59">
        <v>55</v>
      </c>
    </row>
    <row r="60" spans="1:87" x14ac:dyDescent="0.3">
      <c r="A60" s="2">
        <v>2031</v>
      </c>
      <c r="B60" s="2" t="s">
        <v>0</v>
      </c>
      <c r="C60" s="2" t="s">
        <v>21</v>
      </c>
      <c r="D60" s="2" t="s">
        <v>206</v>
      </c>
      <c r="E60" s="2">
        <v>150</v>
      </c>
      <c r="F60" s="2">
        <v>2.07E-2</v>
      </c>
      <c r="G60" s="2">
        <v>1.4999999999999999E-2</v>
      </c>
      <c r="H60" s="4">
        <f t="shared" si="10"/>
        <v>0.27536231884057971</v>
      </c>
      <c r="I60" s="2" t="s">
        <v>82</v>
      </c>
      <c r="J60" s="2" t="s">
        <v>205</v>
      </c>
      <c r="K60" s="2" t="s">
        <v>137</v>
      </c>
      <c r="L60" s="2" t="s">
        <v>6</v>
      </c>
      <c r="M60" s="155"/>
      <c r="N60" s="155"/>
      <c r="O60" s="2">
        <v>3</v>
      </c>
      <c r="P60" s="6">
        <v>101</v>
      </c>
      <c r="Q60" s="132">
        <f t="shared" si="11"/>
        <v>4.5999999999999996</v>
      </c>
      <c r="R60" s="33">
        <f t="shared" si="12"/>
        <v>125.21739130434784</v>
      </c>
      <c r="S60" s="132">
        <f t="shared" si="14"/>
        <v>15.65217391304348</v>
      </c>
      <c r="T60" s="132">
        <f t="shared" si="13"/>
        <v>15.65217391304348</v>
      </c>
      <c r="W60" s="13"/>
      <c r="Z60" t="s">
        <v>7</v>
      </c>
      <c r="AD60" s="24">
        <v>45414</v>
      </c>
      <c r="AE60">
        <v>13</v>
      </c>
      <c r="AF60">
        <v>1</v>
      </c>
      <c r="AG60">
        <v>0.2</v>
      </c>
      <c r="AH60">
        <v>1</v>
      </c>
      <c r="AI60">
        <v>0.2</v>
      </c>
      <c r="AJ60">
        <v>0.6</v>
      </c>
      <c r="AK60">
        <v>0.28000000000000003</v>
      </c>
      <c r="AL60">
        <v>0.12</v>
      </c>
      <c r="AM60">
        <v>0.6</v>
      </c>
      <c r="AN60">
        <v>0.2</v>
      </c>
      <c r="AO60">
        <v>4.5999999999999996</v>
      </c>
      <c r="AP60">
        <v>48</v>
      </c>
      <c r="AQ60">
        <v>106</v>
      </c>
      <c r="AR60">
        <v>106</v>
      </c>
      <c r="AS60">
        <v>105</v>
      </c>
      <c r="AT60">
        <v>42</v>
      </c>
      <c r="AU60">
        <v>20</v>
      </c>
      <c r="AV60">
        <v>40</v>
      </c>
      <c r="AW60">
        <v>20</v>
      </c>
      <c r="AX60">
        <v>65</v>
      </c>
      <c r="AY60">
        <v>180</v>
      </c>
      <c r="AZ60" t="s">
        <v>78</v>
      </c>
      <c r="BA60">
        <v>400</v>
      </c>
      <c r="BB60">
        <v>10</v>
      </c>
      <c r="CH60">
        <v>5</v>
      </c>
      <c r="CI60">
        <v>33</v>
      </c>
    </row>
    <row r="61" spans="1:87" x14ac:dyDescent="0.3">
      <c r="A61" s="2">
        <v>2034</v>
      </c>
      <c r="B61" s="2" t="s">
        <v>0</v>
      </c>
      <c r="C61" s="2" t="s">
        <v>21</v>
      </c>
      <c r="D61" s="2" t="s">
        <v>207</v>
      </c>
      <c r="E61" s="2">
        <v>150</v>
      </c>
      <c r="F61" s="2">
        <v>3.1600000000000003E-2</v>
      </c>
      <c r="G61" s="2">
        <v>2.2499999999999999E-2</v>
      </c>
      <c r="H61" s="4">
        <f t="shared" si="10"/>
        <v>0.28797468354430389</v>
      </c>
      <c r="I61" s="2" t="s">
        <v>208</v>
      </c>
      <c r="J61" s="25" t="s">
        <v>209</v>
      </c>
      <c r="K61" s="2"/>
      <c r="L61" s="2"/>
      <c r="M61" s="155"/>
      <c r="N61" s="155"/>
      <c r="O61" s="2"/>
      <c r="P61" s="2" t="s">
        <v>210</v>
      </c>
      <c r="Q61" s="132" t="str">
        <f t="shared" si="11"/>
        <v/>
      </c>
      <c r="R61" s="33" t="str">
        <f t="shared" si="12"/>
        <v/>
      </c>
      <c r="S61" s="132" t="str">
        <f t="shared" si="14"/>
        <v/>
      </c>
      <c r="T61" s="132" t="str">
        <f t="shared" si="13"/>
        <v/>
      </c>
      <c r="V61"/>
      <c r="W61" s="18"/>
      <c r="X61" s="18"/>
      <c r="Y61" s="160"/>
      <c r="Z61" s="18"/>
      <c r="AA61" s="18"/>
      <c r="AB61" s="18"/>
      <c r="AC61" s="18"/>
      <c r="AD61" s="18"/>
      <c r="CH61">
        <v>3</v>
      </c>
      <c r="CI61">
        <v>67</v>
      </c>
    </row>
    <row r="62" spans="1:87" x14ac:dyDescent="0.3">
      <c r="A62" s="2">
        <v>1739</v>
      </c>
      <c r="B62" s="2" t="s">
        <v>0</v>
      </c>
      <c r="C62" s="2" t="s">
        <v>21</v>
      </c>
      <c r="D62" s="2" t="s">
        <v>211</v>
      </c>
      <c r="E62" s="2">
        <v>720</v>
      </c>
      <c r="F62" s="2">
        <v>1.8800000000000001E-2</v>
      </c>
      <c r="G62" s="2">
        <v>1.2500000000000001E-2</v>
      </c>
      <c r="H62" s="4">
        <f t="shared" si="10"/>
        <v>0.33510638297872342</v>
      </c>
      <c r="I62" s="2" t="s">
        <v>82</v>
      </c>
      <c r="J62" s="2" t="s">
        <v>212</v>
      </c>
      <c r="K62" s="2" t="s">
        <v>213</v>
      </c>
      <c r="L62" s="2" t="s">
        <v>76</v>
      </c>
      <c r="M62" s="155"/>
      <c r="N62" s="155"/>
      <c r="O62" s="2">
        <v>3</v>
      </c>
      <c r="P62" s="6">
        <v>21</v>
      </c>
      <c r="Q62" s="132">
        <f t="shared" si="11"/>
        <v>5.7142857142857144</v>
      </c>
      <c r="R62" s="33">
        <f t="shared" si="12"/>
        <v>21</v>
      </c>
      <c r="S62" s="132">
        <f t="shared" si="14"/>
        <v>2.625</v>
      </c>
      <c r="T62" s="132">
        <f t="shared" si="13"/>
        <v>2.625</v>
      </c>
      <c r="W62" s="13"/>
      <c r="CH62">
        <v>4</v>
      </c>
      <c r="CI62">
        <v>62</v>
      </c>
    </row>
    <row r="63" spans="1:87" x14ac:dyDescent="0.3">
      <c r="A63" s="2">
        <v>1824</v>
      </c>
      <c r="B63" s="23" t="s">
        <v>0</v>
      </c>
      <c r="C63" s="2" t="s">
        <v>21</v>
      </c>
      <c r="D63" s="2" t="s">
        <v>214</v>
      </c>
      <c r="E63" s="2">
        <v>200</v>
      </c>
      <c r="F63" s="2">
        <v>3.78E-2</v>
      </c>
      <c r="G63" s="2">
        <v>3.2399999999999998E-2</v>
      </c>
      <c r="H63" s="4">
        <f t="shared" si="10"/>
        <v>0.1428571428571429</v>
      </c>
      <c r="I63" s="2" t="s">
        <v>82</v>
      </c>
      <c r="J63" s="2" t="s">
        <v>83</v>
      </c>
      <c r="K63" s="2" t="s">
        <v>90</v>
      </c>
      <c r="L63" s="2" t="s">
        <v>6</v>
      </c>
      <c r="M63" s="155"/>
      <c r="N63" s="155"/>
      <c r="O63" s="2">
        <v>2</v>
      </c>
      <c r="P63" s="6">
        <v>50</v>
      </c>
      <c r="Q63" s="132">
        <f t="shared" si="11"/>
        <v>5.76</v>
      </c>
      <c r="R63" s="33">
        <f t="shared" si="12"/>
        <v>50</v>
      </c>
      <c r="S63" s="132">
        <f t="shared" si="14"/>
        <v>6.25</v>
      </c>
      <c r="T63" s="132">
        <f t="shared" si="13"/>
        <v>6.25</v>
      </c>
      <c r="W63" s="13"/>
      <c r="CH63">
        <v>3</v>
      </c>
      <c r="CI63">
        <v>69</v>
      </c>
    </row>
    <row r="64" spans="1:87" x14ac:dyDescent="0.3">
      <c r="A64" s="2">
        <v>92</v>
      </c>
      <c r="B64" s="2" t="s">
        <v>84</v>
      </c>
      <c r="C64" s="2" t="s">
        <v>21</v>
      </c>
      <c r="D64" s="123" t="s">
        <v>215</v>
      </c>
      <c r="E64" s="2">
        <v>540</v>
      </c>
      <c r="F64" s="2">
        <v>1.24E-2</v>
      </c>
      <c r="G64" s="2">
        <v>7.9000000000000008E-3</v>
      </c>
      <c r="H64" s="4">
        <f t="shared" si="10"/>
        <v>0.36290322580645151</v>
      </c>
      <c r="I64" s="123" t="s">
        <v>86</v>
      </c>
      <c r="J64" s="2" t="s">
        <v>216</v>
      </c>
      <c r="K64" s="2" t="s">
        <v>105</v>
      </c>
      <c r="L64" s="2" t="s">
        <v>76</v>
      </c>
      <c r="M64" s="155"/>
      <c r="N64" s="155"/>
      <c r="O64" s="2">
        <v>6</v>
      </c>
      <c r="P64" s="6"/>
      <c r="Q64" s="132" t="str">
        <f t="shared" si="11"/>
        <v/>
      </c>
      <c r="R64" s="33" t="str">
        <f t="shared" si="12"/>
        <v/>
      </c>
      <c r="S64" s="132" t="str">
        <f t="shared" si="14"/>
        <v/>
      </c>
      <c r="T64" s="132" t="str">
        <f t="shared" si="13"/>
        <v/>
      </c>
      <c r="W64" s="13"/>
      <c r="CH64">
        <v>5</v>
      </c>
      <c r="CI64">
        <v>53</v>
      </c>
    </row>
    <row r="65" spans="1:87" x14ac:dyDescent="0.3">
      <c r="A65" s="2">
        <v>93</v>
      </c>
      <c r="B65" s="2" t="s">
        <v>84</v>
      </c>
      <c r="C65" s="2" t="s">
        <v>21</v>
      </c>
      <c r="D65" s="123" t="s">
        <v>217</v>
      </c>
      <c r="E65" s="2">
        <v>540</v>
      </c>
      <c r="F65" s="2">
        <v>1.04E-2</v>
      </c>
      <c r="G65" s="2">
        <v>6.6E-3</v>
      </c>
      <c r="H65" s="4">
        <f t="shared" si="10"/>
        <v>0.36538461538461536</v>
      </c>
      <c r="I65" s="123" t="s">
        <v>86</v>
      </c>
      <c r="J65" s="2" t="s">
        <v>218</v>
      </c>
      <c r="K65" s="2" t="s">
        <v>105</v>
      </c>
      <c r="L65" s="2" t="s">
        <v>76</v>
      </c>
      <c r="M65" s="155"/>
      <c r="N65" s="155"/>
      <c r="O65" s="2">
        <v>6</v>
      </c>
      <c r="P65" s="6"/>
      <c r="Q65" s="132" t="str">
        <f t="shared" si="11"/>
        <v/>
      </c>
      <c r="R65" s="33" t="str">
        <f t="shared" si="12"/>
        <v/>
      </c>
      <c r="S65" s="132" t="str">
        <f t="shared" si="14"/>
        <v/>
      </c>
      <c r="T65" s="132" t="str">
        <f t="shared" si="13"/>
        <v/>
      </c>
      <c r="W65" s="13"/>
      <c r="CH65">
        <v>3</v>
      </c>
      <c r="CI65">
        <v>41</v>
      </c>
    </row>
    <row r="66" spans="1:87" x14ac:dyDescent="0.3">
      <c r="A66" s="2">
        <v>98</v>
      </c>
      <c r="B66" s="23" t="s">
        <v>0</v>
      </c>
      <c r="C66" s="2" t="s">
        <v>21</v>
      </c>
      <c r="D66" s="2" t="s">
        <v>219</v>
      </c>
      <c r="E66" s="2">
        <v>60</v>
      </c>
      <c r="F66" s="2">
        <v>5.7700000000000001E-2</v>
      </c>
      <c r="G66" s="2">
        <v>4.5999999999999999E-2</v>
      </c>
      <c r="H66" s="4">
        <f t="shared" si="10"/>
        <v>0.20277296360485272</v>
      </c>
      <c r="I66" s="2" t="s">
        <v>98</v>
      </c>
      <c r="J66" s="2" t="s">
        <v>220</v>
      </c>
      <c r="K66" s="2" t="s">
        <v>105</v>
      </c>
      <c r="L66" s="2" t="s">
        <v>76</v>
      </c>
      <c r="M66" s="155"/>
      <c r="N66" s="155"/>
      <c r="O66" s="2">
        <v>1</v>
      </c>
      <c r="P66" s="6">
        <v>90</v>
      </c>
      <c r="Q66" s="132">
        <v>5.4</v>
      </c>
      <c r="R66" s="33">
        <f t="shared" si="12"/>
        <v>88.888888888888886</v>
      </c>
      <c r="S66" s="132">
        <f t="shared" si="14"/>
        <v>11.111111111111111</v>
      </c>
      <c r="T66" s="132">
        <f t="shared" si="13"/>
        <v>11.111111111111111</v>
      </c>
      <c r="W66" s="13"/>
      <c r="CH66">
        <v>1</v>
      </c>
      <c r="CI66">
        <v>72</v>
      </c>
    </row>
    <row r="67" spans="1:87" x14ac:dyDescent="0.3">
      <c r="A67" s="23">
        <v>99</v>
      </c>
      <c r="B67" s="2" t="s">
        <v>0</v>
      </c>
      <c r="C67" s="2" t="s">
        <v>21</v>
      </c>
      <c r="D67" s="2" t="s">
        <v>221</v>
      </c>
      <c r="E67" s="2">
        <v>160</v>
      </c>
      <c r="F67" s="2">
        <v>5.7700000000000001E-2</v>
      </c>
      <c r="G67" s="2">
        <v>4.5999999999999999E-2</v>
      </c>
      <c r="H67" s="4">
        <f t="shared" si="10"/>
        <v>0.20277296360485272</v>
      </c>
      <c r="I67" s="2" t="s">
        <v>98</v>
      </c>
      <c r="J67" s="2" t="s">
        <v>220</v>
      </c>
      <c r="K67" s="2" t="s">
        <v>222</v>
      </c>
      <c r="L67" s="2" t="s">
        <v>76</v>
      </c>
      <c r="M67" s="155"/>
      <c r="N67" s="155"/>
      <c r="O67" s="2">
        <v>1</v>
      </c>
      <c r="P67" s="6">
        <v>37</v>
      </c>
      <c r="Q67" s="132">
        <f t="shared" ref="Q67:Q97" si="15">IFERROR(IF(AO67&gt;1,AO67,60*60*8*O67/P67/E67),"")</f>
        <v>5.4</v>
      </c>
      <c r="R67" s="33">
        <f t="shared" si="12"/>
        <v>33.333333333333329</v>
      </c>
      <c r="S67" s="132">
        <f t="shared" si="14"/>
        <v>4.1666666666666661</v>
      </c>
      <c r="T67" s="132">
        <f t="shared" si="13"/>
        <v>4.1666666666666661</v>
      </c>
      <c r="W67" s="13"/>
      <c r="AD67" s="22">
        <v>45495</v>
      </c>
      <c r="AE67">
        <v>13</v>
      </c>
      <c r="AF67">
        <v>1.5</v>
      </c>
      <c r="AG67">
        <v>0.5</v>
      </c>
      <c r="AH67">
        <v>1.5</v>
      </c>
      <c r="AI67">
        <v>0.5</v>
      </c>
      <c r="AJ67">
        <v>0.8</v>
      </c>
      <c r="AK67">
        <v>0.11</v>
      </c>
      <c r="AL67">
        <v>0.18</v>
      </c>
      <c r="AM67">
        <v>0.4</v>
      </c>
      <c r="AN67">
        <v>0.5</v>
      </c>
      <c r="AO67">
        <v>5.4</v>
      </c>
      <c r="AP67">
        <v>56</v>
      </c>
      <c r="AQ67">
        <v>119</v>
      </c>
      <c r="AR67">
        <v>128</v>
      </c>
      <c r="AS67">
        <v>128</v>
      </c>
      <c r="AT67">
        <v>65</v>
      </c>
      <c r="AU67">
        <v>20</v>
      </c>
      <c r="AV67">
        <v>40</v>
      </c>
      <c r="AW67">
        <v>20</v>
      </c>
      <c r="AX67">
        <v>65</v>
      </c>
      <c r="AY67">
        <v>387</v>
      </c>
      <c r="AZ67" t="s">
        <v>78</v>
      </c>
      <c r="BA67">
        <v>600</v>
      </c>
      <c r="BB67">
        <v>10</v>
      </c>
      <c r="CH67">
        <v>3</v>
      </c>
      <c r="CI67">
        <v>85</v>
      </c>
    </row>
    <row r="68" spans="1:87" x14ac:dyDescent="0.3">
      <c r="A68" s="2">
        <v>51</v>
      </c>
      <c r="B68" s="2" t="s">
        <v>84</v>
      </c>
      <c r="C68" s="2" t="s">
        <v>21</v>
      </c>
      <c r="D68" s="2" t="s">
        <v>223</v>
      </c>
      <c r="E68" s="2">
        <v>160</v>
      </c>
      <c r="F68" s="2">
        <v>5.28E-2</v>
      </c>
      <c r="G68" s="2">
        <v>4.3700000000000003E-2</v>
      </c>
      <c r="H68" s="4">
        <f t="shared" si="10"/>
        <v>0.17234848484848478</v>
      </c>
      <c r="I68" s="2" t="s">
        <v>98</v>
      </c>
      <c r="J68" s="2" t="s">
        <v>220</v>
      </c>
      <c r="K68" s="2" t="s">
        <v>222</v>
      </c>
      <c r="L68" s="2" t="s">
        <v>76</v>
      </c>
      <c r="M68" s="155"/>
      <c r="N68" s="155"/>
      <c r="O68" s="2">
        <v>1</v>
      </c>
      <c r="P68" s="6">
        <v>58</v>
      </c>
      <c r="Q68" s="132">
        <f t="shared" si="15"/>
        <v>3.103448275862069</v>
      </c>
      <c r="R68" s="33">
        <f t="shared" si="12"/>
        <v>58</v>
      </c>
      <c r="S68" s="132">
        <f t="shared" si="14"/>
        <v>7.25</v>
      </c>
      <c r="T68" s="132">
        <f t="shared" si="13"/>
        <v>7.25</v>
      </c>
      <c r="W68" s="13"/>
      <c r="CH68">
        <v>1</v>
      </c>
      <c r="CI68">
        <v>64</v>
      </c>
    </row>
    <row r="69" spans="1:87" x14ac:dyDescent="0.3">
      <c r="A69" s="2">
        <v>628</v>
      </c>
      <c r="B69" s="23" t="s">
        <v>0</v>
      </c>
      <c r="C69" s="2" t="s">
        <v>21</v>
      </c>
      <c r="D69" s="2" t="s">
        <v>224</v>
      </c>
      <c r="E69" s="2">
        <v>200</v>
      </c>
      <c r="F69" s="2">
        <v>3.7199999999999997E-2</v>
      </c>
      <c r="G69" s="103">
        <v>2.6597999999999997E-2</v>
      </c>
      <c r="H69" s="4">
        <f t="shared" si="10"/>
        <v>0.28500000000000003</v>
      </c>
      <c r="I69" s="2" t="s">
        <v>98</v>
      </c>
      <c r="J69" s="2" t="s">
        <v>225</v>
      </c>
      <c r="K69" s="2" t="s">
        <v>175</v>
      </c>
      <c r="L69" s="2" t="s">
        <v>96</v>
      </c>
      <c r="M69" s="155"/>
      <c r="N69" s="155"/>
      <c r="O69" s="2">
        <v>2</v>
      </c>
      <c r="P69" s="6">
        <v>40</v>
      </c>
      <c r="Q69" s="132">
        <f t="shared" si="15"/>
        <v>7.2</v>
      </c>
      <c r="R69" s="33">
        <f t="shared" si="12"/>
        <v>40</v>
      </c>
      <c r="S69" s="132">
        <f t="shared" si="14"/>
        <v>5</v>
      </c>
      <c r="T69" s="132">
        <f t="shared" si="13"/>
        <v>5</v>
      </c>
      <c r="W69" s="13"/>
      <c r="CH69">
        <v>4</v>
      </c>
      <c r="CI69">
        <v>33</v>
      </c>
    </row>
    <row r="70" spans="1:87" x14ac:dyDescent="0.3">
      <c r="A70" s="2">
        <v>100</v>
      </c>
      <c r="B70" s="2" t="s">
        <v>0</v>
      </c>
      <c r="C70" s="2" t="s">
        <v>21</v>
      </c>
      <c r="D70" s="2" t="s">
        <v>226</v>
      </c>
      <c r="E70" s="2">
        <v>200</v>
      </c>
      <c r="F70" s="2">
        <v>2.8899999999999999E-2</v>
      </c>
      <c r="G70" s="2">
        <v>1.66E-2</v>
      </c>
      <c r="H70" s="4">
        <f t="shared" si="10"/>
        <v>0.4256055363321799</v>
      </c>
      <c r="I70" s="2" t="s">
        <v>98</v>
      </c>
      <c r="J70" s="2" t="s">
        <v>227</v>
      </c>
      <c r="K70" s="2" t="s">
        <v>200</v>
      </c>
      <c r="L70" s="2" t="s">
        <v>76</v>
      </c>
      <c r="M70" s="155"/>
      <c r="N70" s="155"/>
      <c r="O70" s="2">
        <v>4</v>
      </c>
      <c r="P70" s="6">
        <v>60</v>
      </c>
      <c r="Q70" s="132">
        <f t="shared" si="15"/>
        <v>9.6</v>
      </c>
      <c r="R70" s="33">
        <f t="shared" si="12"/>
        <v>60</v>
      </c>
      <c r="S70" s="132">
        <f t="shared" si="14"/>
        <v>7.5</v>
      </c>
      <c r="T70" s="132">
        <f t="shared" si="13"/>
        <v>7.5</v>
      </c>
      <c r="W70" s="13"/>
      <c r="CH70">
        <v>2</v>
      </c>
      <c r="CI70">
        <v>90</v>
      </c>
    </row>
    <row r="71" spans="1:87" x14ac:dyDescent="0.3">
      <c r="A71" s="23">
        <v>103</v>
      </c>
      <c r="B71" s="2" t="s">
        <v>0</v>
      </c>
      <c r="C71" s="2" t="s">
        <v>21</v>
      </c>
      <c r="D71" s="2" t="s">
        <v>228</v>
      </c>
      <c r="E71" s="2">
        <v>200</v>
      </c>
      <c r="F71" s="2">
        <v>3.9600000000000003E-2</v>
      </c>
      <c r="G71" s="2">
        <v>2.76E-2</v>
      </c>
      <c r="H71" s="4">
        <f t="shared" si="10"/>
        <v>0.30303030303030309</v>
      </c>
      <c r="I71" s="2" t="s">
        <v>98</v>
      </c>
      <c r="J71" s="2" t="s">
        <v>229</v>
      </c>
      <c r="K71" s="2" t="s">
        <v>230</v>
      </c>
      <c r="L71" s="2" t="s">
        <v>76</v>
      </c>
      <c r="M71" s="155">
        <v>2</v>
      </c>
      <c r="N71" s="155">
        <v>100</v>
      </c>
      <c r="O71" s="2">
        <v>2</v>
      </c>
      <c r="P71" s="6" t="s">
        <v>231</v>
      </c>
      <c r="Q71" s="132" t="str">
        <f t="shared" si="15"/>
        <v>7,1 - 4,4</v>
      </c>
      <c r="R71" s="137" t="s">
        <v>232</v>
      </c>
      <c r="S71" s="132" t="str">
        <f t="shared" si="14"/>
        <v/>
      </c>
      <c r="T71" s="132" t="s">
        <v>233</v>
      </c>
      <c r="U71" s="35">
        <v>65</v>
      </c>
      <c r="V71" s="41"/>
      <c r="W71" s="13"/>
      <c r="AD71" s="22" t="s">
        <v>234</v>
      </c>
      <c r="AE71" t="s">
        <v>235</v>
      </c>
      <c r="AF71" t="s">
        <v>236</v>
      </c>
      <c r="AG71" t="s">
        <v>237</v>
      </c>
      <c r="AH71" t="s">
        <v>238</v>
      </c>
      <c r="AI71" t="s">
        <v>237</v>
      </c>
      <c r="AJ71" t="s">
        <v>239</v>
      </c>
      <c r="AK71" t="s">
        <v>240</v>
      </c>
      <c r="AL71" t="s">
        <v>241</v>
      </c>
      <c r="AM71" t="s">
        <v>242</v>
      </c>
      <c r="AN71" t="s">
        <v>243</v>
      </c>
      <c r="AO71" t="s">
        <v>244</v>
      </c>
      <c r="AP71" t="s">
        <v>245</v>
      </c>
      <c r="AQ71" t="s">
        <v>246</v>
      </c>
      <c r="AR71" t="s">
        <v>247</v>
      </c>
      <c r="AS71" t="s">
        <v>248</v>
      </c>
      <c r="AT71" t="s">
        <v>249</v>
      </c>
      <c r="AU71" s="35" t="s">
        <v>250</v>
      </c>
      <c r="AV71" s="35" t="s">
        <v>251</v>
      </c>
      <c r="AW71" s="35" t="s">
        <v>250</v>
      </c>
      <c r="AX71" t="s">
        <v>252</v>
      </c>
      <c r="AY71" t="s">
        <v>253</v>
      </c>
      <c r="AZ71" t="s">
        <v>78</v>
      </c>
      <c r="BA71" s="35" t="s">
        <v>254</v>
      </c>
      <c r="BB71" s="35" t="s">
        <v>255</v>
      </c>
      <c r="BC71">
        <v>134</v>
      </c>
      <c r="BD71">
        <v>133</v>
      </c>
      <c r="CH71">
        <v>5</v>
      </c>
      <c r="CI71">
        <v>83</v>
      </c>
    </row>
    <row r="72" spans="1:87" x14ac:dyDescent="0.3">
      <c r="A72" s="23">
        <v>106</v>
      </c>
      <c r="B72" s="2" t="s">
        <v>0</v>
      </c>
      <c r="C72" s="2" t="s">
        <v>21</v>
      </c>
      <c r="D72" s="2" t="s">
        <v>256</v>
      </c>
      <c r="E72" s="2">
        <v>200</v>
      </c>
      <c r="F72" s="2">
        <v>4.7899999999999998E-2</v>
      </c>
      <c r="G72" s="2">
        <v>3.2000000000000001E-2</v>
      </c>
      <c r="H72" s="4">
        <f t="shared" si="10"/>
        <v>0.33194154488517741</v>
      </c>
      <c r="I72" s="2" t="s">
        <v>98</v>
      </c>
      <c r="J72" s="2" t="s">
        <v>257</v>
      </c>
      <c r="K72" s="2" t="s">
        <v>258</v>
      </c>
      <c r="L72" s="2" t="s">
        <v>76</v>
      </c>
      <c r="M72" s="155"/>
      <c r="N72" s="155"/>
      <c r="O72" s="2">
        <v>1</v>
      </c>
      <c r="P72" s="6">
        <v>40</v>
      </c>
      <c r="Q72" s="132">
        <f t="shared" si="15"/>
        <v>5.8</v>
      </c>
      <c r="R72" s="33">
        <f t="shared" ref="R72:R97" si="16">IFERROR(60*60*8*O72/E72/Q72,"")</f>
        <v>24.827586206896552</v>
      </c>
      <c r="S72" s="132">
        <f t="shared" si="14"/>
        <v>3.103448275862069</v>
      </c>
      <c r="T72" s="132">
        <f t="shared" ref="T72:T97" si="17">IFERROR(IF(R72&gt;2,S72,""),"")</f>
        <v>3.103448275862069</v>
      </c>
      <c r="W72" s="13"/>
      <c r="AD72" s="22">
        <v>45371</v>
      </c>
      <c r="AE72">
        <v>12</v>
      </c>
      <c r="AF72">
        <v>1.3</v>
      </c>
      <c r="AG72">
        <v>0.4</v>
      </c>
      <c r="AH72">
        <v>1.3</v>
      </c>
      <c r="AI72">
        <v>0.4</v>
      </c>
      <c r="AJ72">
        <v>1</v>
      </c>
      <c r="AK72">
        <v>0.12</v>
      </c>
      <c r="AL72">
        <v>0.22</v>
      </c>
      <c r="AM72">
        <v>0.55000000000000004</v>
      </c>
      <c r="AN72">
        <v>0.2</v>
      </c>
      <c r="AO72">
        <v>5.8</v>
      </c>
      <c r="AP72">
        <v>51</v>
      </c>
      <c r="AQ72">
        <v>138</v>
      </c>
      <c r="AR72">
        <v>135</v>
      </c>
      <c r="AS72">
        <v>135</v>
      </c>
      <c r="AT72">
        <v>60</v>
      </c>
      <c r="AU72">
        <v>33</v>
      </c>
      <c r="AV72">
        <v>40</v>
      </c>
      <c r="AW72">
        <v>40</v>
      </c>
      <c r="AX72">
        <v>100</v>
      </c>
      <c r="AY72">
        <v>310</v>
      </c>
      <c r="AZ72" t="s">
        <v>78</v>
      </c>
      <c r="BA72">
        <v>1600</v>
      </c>
      <c r="BB72">
        <v>10</v>
      </c>
      <c r="CH72">
        <v>6</v>
      </c>
      <c r="CI72">
        <v>46</v>
      </c>
    </row>
    <row r="73" spans="1:87" x14ac:dyDescent="0.3">
      <c r="A73" s="23">
        <v>108</v>
      </c>
      <c r="B73" s="2" t="s">
        <v>0</v>
      </c>
      <c r="C73" s="2" t="s">
        <v>21</v>
      </c>
      <c r="D73" s="2" t="s">
        <v>259</v>
      </c>
      <c r="E73" s="2">
        <v>100</v>
      </c>
      <c r="F73" s="2">
        <v>5.9400000000000001E-2</v>
      </c>
      <c r="G73" s="2">
        <v>4.4400000000000002E-2</v>
      </c>
      <c r="H73" s="4">
        <f t="shared" si="10"/>
        <v>0.25252525252525249</v>
      </c>
      <c r="I73" s="2" t="s">
        <v>98</v>
      </c>
      <c r="J73" s="2" t="s">
        <v>260</v>
      </c>
      <c r="K73" s="2" t="s">
        <v>261</v>
      </c>
      <c r="L73" s="2" t="s">
        <v>76</v>
      </c>
      <c r="M73" s="155">
        <v>2</v>
      </c>
      <c r="N73" s="155">
        <v>50</v>
      </c>
      <c r="O73" s="2">
        <v>1</v>
      </c>
      <c r="P73" s="6">
        <v>50</v>
      </c>
      <c r="Q73" s="132">
        <f t="shared" si="15"/>
        <v>4.5999999999999996</v>
      </c>
      <c r="R73" s="33">
        <f t="shared" si="16"/>
        <v>62.608695652173921</v>
      </c>
      <c r="S73" s="132">
        <f t="shared" si="14"/>
        <v>7.8260869565217401</v>
      </c>
      <c r="T73" s="132">
        <f t="shared" si="17"/>
        <v>7.8260869565217401</v>
      </c>
      <c r="W73" s="13"/>
      <c r="AD73" s="22">
        <v>45391</v>
      </c>
      <c r="AE73">
        <v>12</v>
      </c>
      <c r="AF73">
        <v>1.1000000000000001</v>
      </c>
      <c r="AG73">
        <v>0.5</v>
      </c>
      <c r="AH73">
        <v>1.1000000000000001</v>
      </c>
      <c r="AI73">
        <v>0.3</v>
      </c>
      <c r="AJ73">
        <v>0.6</v>
      </c>
      <c r="AK73">
        <v>0.11</v>
      </c>
      <c r="AL73">
        <v>0.17</v>
      </c>
      <c r="AM73">
        <v>0.2</v>
      </c>
      <c r="AN73">
        <v>0.12</v>
      </c>
      <c r="AO73">
        <v>4.5999999999999996</v>
      </c>
      <c r="AP73">
        <v>45</v>
      </c>
      <c r="AQ73">
        <v>132</v>
      </c>
      <c r="AR73">
        <v>136</v>
      </c>
      <c r="AS73">
        <v>135</v>
      </c>
      <c r="AT73">
        <v>60</v>
      </c>
      <c r="AU73">
        <v>38</v>
      </c>
      <c r="AV73">
        <v>40</v>
      </c>
      <c r="AW73">
        <v>40</v>
      </c>
      <c r="AX73">
        <v>101</v>
      </c>
      <c r="AY73">
        <v>352</v>
      </c>
      <c r="AZ73" t="s">
        <v>78</v>
      </c>
      <c r="BA73">
        <v>3000</v>
      </c>
      <c r="BB73">
        <v>10</v>
      </c>
      <c r="CH73">
        <v>2</v>
      </c>
      <c r="CI73">
        <v>44</v>
      </c>
    </row>
    <row r="74" spans="1:87" x14ac:dyDescent="0.3">
      <c r="A74" s="2">
        <v>109</v>
      </c>
      <c r="B74" s="2" t="s">
        <v>84</v>
      </c>
      <c r="C74" s="2" t="s">
        <v>21</v>
      </c>
      <c r="D74" s="2" t="s">
        <v>262</v>
      </c>
      <c r="E74" s="2">
        <v>160</v>
      </c>
      <c r="F74" s="2">
        <v>5.9400000000000001E-2</v>
      </c>
      <c r="G74" s="2">
        <v>4.4400000000000002E-2</v>
      </c>
      <c r="H74" s="4">
        <f t="shared" si="10"/>
        <v>0.25252525252525249</v>
      </c>
      <c r="I74" s="2" t="s">
        <v>98</v>
      </c>
      <c r="J74" s="2" t="s">
        <v>260</v>
      </c>
      <c r="K74" s="2" t="s">
        <v>258</v>
      </c>
      <c r="L74" s="2" t="s">
        <v>76</v>
      </c>
      <c r="M74" s="155"/>
      <c r="N74" s="155"/>
      <c r="O74" s="2">
        <v>1</v>
      </c>
      <c r="P74" s="6">
        <v>32</v>
      </c>
      <c r="Q74" s="132">
        <f t="shared" si="15"/>
        <v>5.625</v>
      </c>
      <c r="R74" s="33">
        <f t="shared" si="16"/>
        <v>32</v>
      </c>
      <c r="S74" s="132">
        <f t="shared" si="14"/>
        <v>4</v>
      </c>
      <c r="T74" s="132">
        <f t="shared" si="17"/>
        <v>4</v>
      </c>
      <c r="W74" s="13"/>
      <c r="CH74">
        <v>5</v>
      </c>
      <c r="CI74">
        <v>72</v>
      </c>
    </row>
    <row r="75" spans="1:87" x14ac:dyDescent="0.3">
      <c r="A75" s="2">
        <v>126</v>
      </c>
      <c r="B75" s="2" t="s">
        <v>0</v>
      </c>
      <c r="C75" s="2" t="s">
        <v>21</v>
      </c>
      <c r="D75" s="2" t="s">
        <v>263</v>
      </c>
      <c r="E75" s="2">
        <v>60</v>
      </c>
      <c r="F75" s="2"/>
      <c r="G75" s="2">
        <v>0.1065</v>
      </c>
      <c r="H75" s="4"/>
      <c r="I75" s="2" t="s">
        <v>264</v>
      </c>
      <c r="J75" s="2" t="s">
        <v>265</v>
      </c>
      <c r="K75" s="2"/>
      <c r="L75" s="2"/>
      <c r="M75" s="155"/>
      <c r="N75" s="155"/>
      <c r="O75" s="2">
        <v>1</v>
      </c>
      <c r="P75" s="6">
        <v>20</v>
      </c>
      <c r="Q75" s="132">
        <f t="shared" si="15"/>
        <v>24</v>
      </c>
      <c r="R75" s="33">
        <f t="shared" si="16"/>
        <v>20</v>
      </c>
      <c r="S75" s="132">
        <f t="shared" si="14"/>
        <v>2.5</v>
      </c>
      <c r="T75" s="132">
        <f t="shared" si="17"/>
        <v>2.5</v>
      </c>
      <c r="W75" s="13"/>
      <c r="CH75">
        <v>6</v>
      </c>
      <c r="CI75">
        <v>66</v>
      </c>
    </row>
    <row r="76" spans="1:87" x14ac:dyDescent="0.3">
      <c r="A76" s="2">
        <v>1956</v>
      </c>
      <c r="B76" s="2" t="s">
        <v>0</v>
      </c>
      <c r="C76" s="2" t="s">
        <v>21</v>
      </c>
      <c r="D76" s="123" t="s">
        <v>266</v>
      </c>
      <c r="E76" s="2">
        <v>400</v>
      </c>
      <c r="F76" s="2">
        <v>7.4000000000000003E-3</v>
      </c>
      <c r="G76" s="2">
        <v>5.5999999999999999E-3</v>
      </c>
      <c r="H76" s="4">
        <f t="shared" ref="H76:H97" si="18">(F76-G76)/F76</f>
        <v>0.24324324324324328</v>
      </c>
      <c r="I76" s="123" t="s">
        <v>86</v>
      </c>
      <c r="J76" s="2" t="s">
        <v>267</v>
      </c>
      <c r="K76" s="2" t="s">
        <v>90</v>
      </c>
      <c r="L76" s="2" t="s">
        <v>6</v>
      </c>
      <c r="M76" s="155"/>
      <c r="N76" s="155"/>
      <c r="O76" s="2">
        <v>12</v>
      </c>
      <c r="P76" s="6"/>
      <c r="Q76" s="132" t="str">
        <f t="shared" si="15"/>
        <v/>
      </c>
      <c r="R76" s="33" t="str">
        <f t="shared" si="16"/>
        <v/>
      </c>
      <c r="S76" s="132" t="str">
        <f t="shared" si="14"/>
        <v/>
      </c>
      <c r="T76" s="132" t="str">
        <f t="shared" si="17"/>
        <v/>
      </c>
      <c r="W76" s="13"/>
      <c r="AI76" s="20"/>
      <c r="CH76">
        <v>2</v>
      </c>
      <c r="CI76">
        <v>34</v>
      </c>
    </row>
    <row r="77" spans="1:87" x14ac:dyDescent="0.3">
      <c r="A77" s="2">
        <v>1957</v>
      </c>
      <c r="B77" s="2" t="s">
        <v>0</v>
      </c>
      <c r="C77" s="2" t="s">
        <v>21</v>
      </c>
      <c r="D77" s="123" t="s">
        <v>268</v>
      </c>
      <c r="E77" s="2">
        <v>400</v>
      </c>
      <c r="F77" s="2">
        <v>8.6E-3</v>
      </c>
      <c r="G77" s="2">
        <v>6.0000000000000001E-3</v>
      </c>
      <c r="H77" s="4">
        <f t="shared" si="18"/>
        <v>0.30232558139534882</v>
      </c>
      <c r="I77" s="123" t="s">
        <v>86</v>
      </c>
      <c r="J77" s="2" t="s">
        <v>94</v>
      </c>
      <c r="K77" s="2" t="s">
        <v>90</v>
      </c>
      <c r="L77" s="2" t="s">
        <v>6</v>
      </c>
      <c r="M77" s="155"/>
      <c r="N77" s="155"/>
      <c r="O77" s="2">
        <v>9</v>
      </c>
      <c r="P77" s="6"/>
      <c r="Q77" s="132" t="str">
        <f t="shared" si="15"/>
        <v/>
      </c>
      <c r="R77" s="33" t="str">
        <f t="shared" si="16"/>
        <v/>
      </c>
      <c r="S77" s="132" t="str">
        <f t="shared" si="14"/>
        <v/>
      </c>
      <c r="T77" s="132" t="str">
        <f t="shared" si="17"/>
        <v/>
      </c>
      <c r="W77" s="13"/>
      <c r="AI77" s="20"/>
      <c r="CH77">
        <v>2</v>
      </c>
      <c r="CI77">
        <v>43</v>
      </c>
    </row>
    <row r="78" spans="1:87" x14ac:dyDescent="0.3">
      <c r="A78" s="2">
        <v>1958</v>
      </c>
      <c r="B78" s="2" t="s">
        <v>0</v>
      </c>
      <c r="C78" s="2" t="s">
        <v>21</v>
      </c>
      <c r="D78" s="123" t="s">
        <v>269</v>
      </c>
      <c r="E78" s="2">
        <v>400</v>
      </c>
      <c r="F78" s="2">
        <v>1.15E-2</v>
      </c>
      <c r="G78" s="2">
        <v>8.0000000000000002E-3</v>
      </c>
      <c r="H78" s="4">
        <f t="shared" si="18"/>
        <v>0.30434782608695649</v>
      </c>
      <c r="I78" s="123" t="s">
        <v>86</v>
      </c>
      <c r="J78" s="2" t="s">
        <v>270</v>
      </c>
      <c r="K78" s="2" t="s">
        <v>90</v>
      </c>
      <c r="L78" s="2" t="s">
        <v>6</v>
      </c>
      <c r="M78" s="155"/>
      <c r="N78" s="155"/>
      <c r="O78" s="2">
        <v>9</v>
      </c>
      <c r="P78" s="6"/>
      <c r="Q78" s="132" t="str">
        <f t="shared" si="15"/>
        <v/>
      </c>
      <c r="R78" s="33" t="str">
        <f t="shared" si="16"/>
        <v/>
      </c>
      <c r="S78" s="132" t="str">
        <f t="shared" si="14"/>
        <v/>
      </c>
      <c r="T78" s="132" t="str">
        <f t="shared" si="17"/>
        <v/>
      </c>
      <c r="W78" s="13"/>
      <c r="AI78" s="20"/>
      <c r="CH78">
        <v>5</v>
      </c>
      <c r="CI78">
        <v>43</v>
      </c>
    </row>
    <row r="79" spans="1:87" x14ac:dyDescent="0.3">
      <c r="A79" s="2">
        <v>31</v>
      </c>
      <c r="B79" s="2" t="s">
        <v>84</v>
      </c>
      <c r="C79" s="2" t="s">
        <v>21</v>
      </c>
      <c r="D79" s="123" t="s">
        <v>271</v>
      </c>
      <c r="E79" s="2">
        <v>500</v>
      </c>
      <c r="F79" s="2">
        <v>2.4199999999999999E-2</v>
      </c>
      <c r="G79" s="2">
        <v>0.02</v>
      </c>
      <c r="H79" s="4">
        <f t="shared" si="18"/>
        <v>0.17355371900826441</v>
      </c>
      <c r="I79" s="123" t="s">
        <v>86</v>
      </c>
      <c r="J79" s="2" t="s">
        <v>272</v>
      </c>
      <c r="K79" s="2" t="s">
        <v>105</v>
      </c>
      <c r="L79" s="2" t="s">
        <v>76</v>
      </c>
      <c r="M79" s="155"/>
      <c r="N79" s="155"/>
      <c r="O79" s="2">
        <v>3</v>
      </c>
      <c r="P79" s="6"/>
      <c r="Q79" s="132" t="str">
        <f t="shared" si="15"/>
        <v/>
      </c>
      <c r="R79" s="33" t="str">
        <f t="shared" si="16"/>
        <v/>
      </c>
      <c r="S79" s="132" t="str">
        <f t="shared" si="14"/>
        <v/>
      </c>
      <c r="T79" s="132" t="str">
        <f t="shared" si="17"/>
        <v/>
      </c>
      <c r="W79" s="13"/>
      <c r="Y79"/>
      <c r="CH79">
        <v>6</v>
      </c>
      <c r="CI79">
        <v>37</v>
      </c>
    </row>
    <row r="80" spans="1:87" x14ac:dyDescent="0.3">
      <c r="A80" s="2">
        <v>1965</v>
      </c>
      <c r="B80" s="2" t="s">
        <v>0</v>
      </c>
      <c r="C80" s="2" t="s">
        <v>21</v>
      </c>
      <c r="D80" s="123" t="s">
        <v>271</v>
      </c>
      <c r="E80" s="2">
        <v>300</v>
      </c>
      <c r="F80" s="2">
        <v>2.4500000000000001E-2</v>
      </c>
      <c r="G80" s="2">
        <v>0.02</v>
      </c>
      <c r="H80" s="4">
        <f t="shared" si="18"/>
        <v>0.18367346938775511</v>
      </c>
      <c r="I80" s="123" t="s">
        <v>86</v>
      </c>
      <c r="J80" s="2" t="s">
        <v>272</v>
      </c>
      <c r="K80" s="2" t="s">
        <v>90</v>
      </c>
      <c r="L80" s="2" t="s">
        <v>6</v>
      </c>
      <c r="M80" s="155"/>
      <c r="N80" s="155"/>
      <c r="O80" s="2">
        <v>3</v>
      </c>
      <c r="P80" s="6">
        <v>50</v>
      </c>
      <c r="Q80" s="132">
        <f t="shared" si="15"/>
        <v>5.76</v>
      </c>
      <c r="R80" s="33">
        <f t="shared" si="16"/>
        <v>50</v>
      </c>
      <c r="S80" s="132">
        <f t="shared" si="14"/>
        <v>6.25</v>
      </c>
      <c r="T80" s="132">
        <f t="shared" si="17"/>
        <v>6.25</v>
      </c>
      <c r="W80" s="13"/>
      <c r="AI80" s="20"/>
      <c r="CH80">
        <v>2</v>
      </c>
      <c r="CI80">
        <v>31</v>
      </c>
    </row>
    <row r="81" spans="1:87" x14ac:dyDescent="0.3">
      <c r="A81" s="2">
        <v>1960</v>
      </c>
      <c r="B81" s="2" t="s">
        <v>0</v>
      </c>
      <c r="C81" s="2" t="s">
        <v>21</v>
      </c>
      <c r="D81" s="123" t="s">
        <v>273</v>
      </c>
      <c r="E81" s="2">
        <v>300</v>
      </c>
      <c r="F81" s="2">
        <v>1.32E-2</v>
      </c>
      <c r="G81" s="2">
        <v>9.4000000000000004E-3</v>
      </c>
      <c r="H81" s="4">
        <f t="shared" si="18"/>
        <v>0.28787878787878785</v>
      </c>
      <c r="I81" s="123" t="s">
        <v>86</v>
      </c>
      <c r="J81" s="2" t="s">
        <v>274</v>
      </c>
      <c r="K81" s="2" t="s">
        <v>90</v>
      </c>
      <c r="L81" s="2" t="s">
        <v>6</v>
      </c>
      <c r="M81" s="155"/>
      <c r="N81" s="155"/>
      <c r="O81" s="2">
        <v>4</v>
      </c>
      <c r="P81" s="6"/>
      <c r="Q81" s="132" t="str">
        <f t="shared" si="15"/>
        <v/>
      </c>
      <c r="R81" s="33" t="str">
        <f t="shared" si="16"/>
        <v/>
      </c>
      <c r="S81" s="132" t="str">
        <f t="shared" ref="S81:S97" si="19">IFERROR(R81/8,"")</f>
        <v/>
      </c>
      <c r="T81" s="132" t="str">
        <f t="shared" si="17"/>
        <v/>
      </c>
      <c r="W81" s="13"/>
      <c r="AI81" s="20"/>
      <c r="CH81">
        <v>2</v>
      </c>
      <c r="CI81">
        <v>42</v>
      </c>
    </row>
    <row r="82" spans="1:87" x14ac:dyDescent="0.3">
      <c r="A82" s="2">
        <v>1961</v>
      </c>
      <c r="B82" s="2" t="s">
        <v>0</v>
      </c>
      <c r="C82" s="2" t="s">
        <v>21</v>
      </c>
      <c r="D82" s="123" t="s">
        <v>275</v>
      </c>
      <c r="E82" s="2">
        <v>300</v>
      </c>
      <c r="F82" s="2">
        <v>1.7600000000000001E-2</v>
      </c>
      <c r="G82" s="2">
        <v>1.2800000000000001E-2</v>
      </c>
      <c r="H82" s="4">
        <f t="shared" si="18"/>
        <v>0.27272727272727276</v>
      </c>
      <c r="I82" s="123" t="s">
        <v>86</v>
      </c>
      <c r="J82" s="2" t="s">
        <v>155</v>
      </c>
      <c r="K82" s="2" t="s">
        <v>129</v>
      </c>
      <c r="L82" s="2" t="s">
        <v>96</v>
      </c>
      <c r="M82" s="155"/>
      <c r="N82" s="155"/>
      <c r="O82" s="2">
        <v>4</v>
      </c>
      <c r="P82" s="6"/>
      <c r="Q82" s="132" t="str">
        <f t="shared" si="15"/>
        <v/>
      </c>
      <c r="R82" s="33" t="str">
        <f t="shared" si="16"/>
        <v/>
      </c>
      <c r="S82" s="132" t="str">
        <f t="shared" si="19"/>
        <v/>
      </c>
      <c r="T82" s="132" t="str">
        <f t="shared" si="17"/>
        <v/>
      </c>
      <c r="W82" s="13"/>
      <c r="AI82" s="20"/>
      <c r="CH82">
        <v>4</v>
      </c>
      <c r="CI82">
        <v>31</v>
      </c>
    </row>
    <row r="83" spans="1:87" x14ac:dyDescent="0.3">
      <c r="A83" s="2">
        <v>1962</v>
      </c>
      <c r="B83" s="2" t="s">
        <v>0</v>
      </c>
      <c r="C83" s="2" t="s">
        <v>21</v>
      </c>
      <c r="D83" s="123" t="s">
        <v>276</v>
      </c>
      <c r="E83" s="2">
        <v>300</v>
      </c>
      <c r="F83" s="2">
        <v>1.9800000000000002E-2</v>
      </c>
      <c r="G83" s="2">
        <v>1.55E-2</v>
      </c>
      <c r="H83" s="4">
        <f t="shared" si="18"/>
        <v>0.21717171717171724</v>
      </c>
      <c r="I83" s="123" t="s">
        <v>86</v>
      </c>
      <c r="J83" s="2" t="s">
        <v>277</v>
      </c>
      <c r="K83" s="2" t="s">
        <v>129</v>
      </c>
      <c r="L83" s="2" t="s">
        <v>96</v>
      </c>
      <c r="M83" s="155"/>
      <c r="N83" s="155"/>
      <c r="O83" s="2">
        <v>4</v>
      </c>
      <c r="P83" s="6"/>
      <c r="Q83" s="132" t="str">
        <f t="shared" si="15"/>
        <v/>
      </c>
      <c r="R83" s="33" t="str">
        <f t="shared" si="16"/>
        <v/>
      </c>
      <c r="S83" s="132" t="str">
        <f t="shared" si="19"/>
        <v/>
      </c>
      <c r="T83" s="132" t="str">
        <f t="shared" si="17"/>
        <v/>
      </c>
      <c r="W83" s="13"/>
      <c r="AI83" s="20"/>
      <c r="CH83">
        <v>1</v>
      </c>
      <c r="CI83">
        <v>36</v>
      </c>
    </row>
    <row r="84" spans="1:87" x14ac:dyDescent="0.3">
      <c r="A84" s="2">
        <v>32</v>
      </c>
      <c r="B84" s="2" t="s">
        <v>84</v>
      </c>
      <c r="C84" s="2" t="s">
        <v>21</v>
      </c>
      <c r="D84" s="123" t="s">
        <v>278</v>
      </c>
      <c r="E84" s="2">
        <v>520</v>
      </c>
      <c r="F84" s="2">
        <v>1.9599999999999999E-2</v>
      </c>
      <c r="G84" s="2">
        <v>1.5900000000000001E-2</v>
      </c>
      <c r="H84" s="4">
        <f t="shared" si="18"/>
        <v>0.18877551020408156</v>
      </c>
      <c r="I84" s="123" t="s">
        <v>86</v>
      </c>
      <c r="J84" s="2" t="s">
        <v>179</v>
      </c>
      <c r="K84" s="2" t="s">
        <v>105</v>
      </c>
      <c r="L84" s="2" t="s">
        <v>76</v>
      </c>
      <c r="M84" s="155"/>
      <c r="N84" s="155"/>
      <c r="O84" s="2">
        <v>2</v>
      </c>
      <c r="P84" s="6"/>
      <c r="Q84" s="132" t="str">
        <f t="shared" si="15"/>
        <v/>
      </c>
      <c r="R84" s="33" t="str">
        <f t="shared" si="16"/>
        <v/>
      </c>
      <c r="S84" s="132" t="str">
        <f t="shared" si="19"/>
        <v/>
      </c>
      <c r="T84" s="132" t="str">
        <f t="shared" si="17"/>
        <v/>
      </c>
      <c r="W84" s="13"/>
      <c r="Y84"/>
      <c r="CH84">
        <v>5</v>
      </c>
      <c r="CI84">
        <v>61</v>
      </c>
    </row>
    <row r="85" spans="1:87" x14ac:dyDescent="0.3">
      <c r="A85" s="2">
        <v>1966</v>
      </c>
      <c r="B85" s="2" t="s">
        <v>0</v>
      </c>
      <c r="C85" s="2" t="s">
        <v>21</v>
      </c>
      <c r="D85" s="123" t="s">
        <v>278</v>
      </c>
      <c r="E85" s="2">
        <v>300</v>
      </c>
      <c r="F85" s="2">
        <v>1.9599999999999999E-2</v>
      </c>
      <c r="G85" s="2">
        <v>1.5900000000000001E-2</v>
      </c>
      <c r="H85" s="4">
        <f t="shared" si="18"/>
        <v>0.18877551020408156</v>
      </c>
      <c r="I85" s="123" t="s">
        <v>86</v>
      </c>
      <c r="J85" s="2" t="s">
        <v>179</v>
      </c>
      <c r="K85" s="2" t="s">
        <v>163</v>
      </c>
      <c r="L85" s="2" t="s">
        <v>6</v>
      </c>
      <c r="M85" s="155"/>
      <c r="N85" s="155"/>
      <c r="O85" s="2">
        <v>2</v>
      </c>
      <c r="P85" s="6">
        <v>50</v>
      </c>
      <c r="Q85" s="132">
        <f t="shared" si="15"/>
        <v>3.84</v>
      </c>
      <c r="R85" s="33">
        <f t="shared" si="16"/>
        <v>50</v>
      </c>
      <c r="S85" s="132">
        <f t="shared" si="19"/>
        <v>6.25</v>
      </c>
      <c r="T85" s="132">
        <f t="shared" si="17"/>
        <v>6.25</v>
      </c>
      <c r="W85" s="13"/>
      <c r="AI85" s="20"/>
      <c r="CH85">
        <v>3</v>
      </c>
      <c r="CI85">
        <v>64</v>
      </c>
    </row>
    <row r="86" spans="1:87" x14ac:dyDescent="0.3">
      <c r="A86" s="2">
        <v>34</v>
      </c>
      <c r="B86" s="2" t="s">
        <v>84</v>
      </c>
      <c r="C86" s="2" t="s">
        <v>21</v>
      </c>
      <c r="D86" s="123" t="s">
        <v>279</v>
      </c>
      <c r="E86" s="2">
        <v>520</v>
      </c>
      <c r="F86" s="2">
        <v>1.9599999999999999E-2</v>
      </c>
      <c r="G86" s="2">
        <v>1.5900000000000001E-2</v>
      </c>
      <c r="H86" s="4">
        <f t="shared" si="18"/>
        <v>0.18877551020408156</v>
      </c>
      <c r="I86" s="123" t="s">
        <v>86</v>
      </c>
      <c r="J86" s="2" t="s">
        <v>179</v>
      </c>
      <c r="K86" s="2" t="s">
        <v>105</v>
      </c>
      <c r="L86" s="2" t="s">
        <v>76</v>
      </c>
      <c r="M86" s="155"/>
      <c r="N86" s="155"/>
      <c r="O86" s="2">
        <v>2</v>
      </c>
      <c r="P86" s="6"/>
      <c r="Q86" s="132" t="str">
        <f t="shared" si="15"/>
        <v/>
      </c>
      <c r="R86" s="33" t="str">
        <f t="shared" si="16"/>
        <v/>
      </c>
      <c r="S86" s="132" t="str">
        <f t="shared" si="19"/>
        <v/>
      </c>
      <c r="T86" s="132" t="str">
        <f t="shared" si="17"/>
        <v/>
      </c>
      <c r="W86" s="13"/>
      <c r="Y86"/>
      <c r="CH86">
        <v>6</v>
      </c>
      <c r="CI86">
        <v>30</v>
      </c>
    </row>
    <row r="87" spans="1:87" x14ac:dyDescent="0.3">
      <c r="A87" s="2">
        <v>1967</v>
      </c>
      <c r="B87" s="2" t="s">
        <v>0</v>
      </c>
      <c r="C87" s="2" t="s">
        <v>21</v>
      </c>
      <c r="D87" s="123" t="s">
        <v>279</v>
      </c>
      <c r="E87" s="2">
        <v>300</v>
      </c>
      <c r="F87" s="2">
        <v>1.9599999999999999E-2</v>
      </c>
      <c r="G87" s="2">
        <v>1.5900000000000001E-2</v>
      </c>
      <c r="H87" s="4">
        <f t="shared" si="18"/>
        <v>0.18877551020408156</v>
      </c>
      <c r="I87" s="123" t="s">
        <v>86</v>
      </c>
      <c r="J87" s="2" t="s">
        <v>179</v>
      </c>
      <c r="K87" s="2" t="s">
        <v>163</v>
      </c>
      <c r="L87" s="2" t="s">
        <v>6</v>
      </c>
      <c r="M87" s="155"/>
      <c r="N87" s="155"/>
      <c r="O87" s="2">
        <v>2</v>
      </c>
      <c r="P87" s="6">
        <v>50</v>
      </c>
      <c r="Q87" s="132">
        <f t="shared" si="15"/>
        <v>3.84</v>
      </c>
      <c r="R87" s="33">
        <f t="shared" si="16"/>
        <v>50</v>
      </c>
      <c r="S87" s="132">
        <f t="shared" si="19"/>
        <v>6.25</v>
      </c>
      <c r="T87" s="132">
        <f t="shared" si="17"/>
        <v>6.25</v>
      </c>
      <c r="W87" s="13"/>
      <c r="AI87" s="20"/>
      <c r="CH87">
        <v>5</v>
      </c>
      <c r="CI87">
        <v>82</v>
      </c>
    </row>
    <row r="88" spans="1:87" x14ac:dyDescent="0.3">
      <c r="A88" s="2">
        <v>36</v>
      </c>
      <c r="B88" s="2" t="s">
        <v>84</v>
      </c>
      <c r="C88" s="2" t="s">
        <v>21</v>
      </c>
      <c r="D88" s="123" t="s">
        <v>280</v>
      </c>
      <c r="E88" s="2">
        <v>520</v>
      </c>
      <c r="F88" s="2">
        <v>1.9599999999999999E-2</v>
      </c>
      <c r="G88" s="2">
        <v>1.5900000000000001E-2</v>
      </c>
      <c r="H88" s="4">
        <f t="shared" si="18"/>
        <v>0.18877551020408156</v>
      </c>
      <c r="I88" s="123" t="s">
        <v>86</v>
      </c>
      <c r="J88" s="2" t="s">
        <v>179</v>
      </c>
      <c r="K88" s="2" t="s">
        <v>105</v>
      </c>
      <c r="L88" s="2" t="s">
        <v>76</v>
      </c>
      <c r="M88" s="155"/>
      <c r="N88" s="155"/>
      <c r="O88" s="2">
        <v>2</v>
      </c>
      <c r="P88" s="6"/>
      <c r="Q88" s="132" t="str">
        <f t="shared" si="15"/>
        <v/>
      </c>
      <c r="R88" s="33" t="str">
        <f t="shared" si="16"/>
        <v/>
      </c>
      <c r="S88" s="132" t="str">
        <f t="shared" si="19"/>
        <v/>
      </c>
      <c r="T88" s="132" t="str">
        <f t="shared" si="17"/>
        <v/>
      </c>
      <c r="W88" s="13"/>
      <c r="Y88"/>
      <c r="CH88">
        <v>2</v>
      </c>
      <c r="CI88">
        <v>40</v>
      </c>
    </row>
    <row r="89" spans="1:87" x14ac:dyDescent="0.3">
      <c r="A89" s="2">
        <v>1968</v>
      </c>
      <c r="B89" s="2" t="s">
        <v>0</v>
      </c>
      <c r="C89" s="2" t="s">
        <v>21</v>
      </c>
      <c r="D89" s="123" t="s">
        <v>280</v>
      </c>
      <c r="E89" s="2">
        <v>250</v>
      </c>
      <c r="F89" s="2">
        <v>1.9599999999999999E-2</v>
      </c>
      <c r="G89" s="2">
        <v>1.5900000000000001E-2</v>
      </c>
      <c r="H89" s="4">
        <f t="shared" si="18"/>
        <v>0.18877551020408156</v>
      </c>
      <c r="I89" s="123" t="s">
        <v>86</v>
      </c>
      <c r="J89" s="2" t="s">
        <v>179</v>
      </c>
      <c r="K89" s="2" t="s">
        <v>163</v>
      </c>
      <c r="L89" s="2" t="s">
        <v>6</v>
      </c>
      <c r="M89" s="155"/>
      <c r="N89" s="155"/>
      <c r="O89" s="2">
        <v>2</v>
      </c>
      <c r="P89" s="6">
        <v>60</v>
      </c>
      <c r="Q89" s="132">
        <f t="shared" si="15"/>
        <v>3.84</v>
      </c>
      <c r="R89" s="33">
        <f t="shared" si="16"/>
        <v>60.000000000000007</v>
      </c>
      <c r="S89" s="132">
        <f t="shared" si="19"/>
        <v>7.5000000000000009</v>
      </c>
      <c r="T89" s="132">
        <f t="shared" si="17"/>
        <v>7.5000000000000009</v>
      </c>
      <c r="W89" s="13"/>
      <c r="AI89" s="20"/>
      <c r="CH89">
        <v>4</v>
      </c>
      <c r="CI89">
        <v>84</v>
      </c>
    </row>
    <row r="90" spans="1:87" x14ac:dyDescent="0.3">
      <c r="A90" s="2">
        <v>37</v>
      </c>
      <c r="B90" s="2" t="s">
        <v>84</v>
      </c>
      <c r="C90" s="2" t="s">
        <v>21</v>
      </c>
      <c r="D90" s="123" t="s">
        <v>281</v>
      </c>
      <c r="E90" s="2">
        <v>200</v>
      </c>
      <c r="F90" s="2">
        <v>3.1399999999999997E-2</v>
      </c>
      <c r="G90" s="2">
        <v>2.64E-2</v>
      </c>
      <c r="H90" s="4">
        <f t="shared" si="18"/>
        <v>0.15923566878980885</v>
      </c>
      <c r="I90" s="123" t="s">
        <v>86</v>
      </c>
      <c r="J90" s="2" t="s">
        <v>282</v>
      </c>
      <c r="K90" s="2" t="s">
        <v>105</v>
      </c>
      <c r="L90" s="2" t="s">
        <v>76</v>
      </c>
      <c r="M90" s="155"/>
      <c r="N90" s="155"/>
      <c r="O90" s="2">
        <v>2</v>
      </c>
      <c r="P90" s="6"/>
      <c r="Q90" s="132" t="str">
        <f t="shared" si="15"/>
        <v/>
      </c>
      <c r="R90" s="33" t="str">
        <f t="shared" si="16"/>
        <v/>
      </c>
      <c r="S90" s="132" t="str">
        <f t="shared" si="19"/>
        <v/>
      </c>
      <c r="T90" s="132" t="str">
        <f t="shared" si="17"/>
        <v/>
      </c>
      <c r="W90" s="13"/>
      <c r="Y90"/>
      <c r="CH90">
        <v>2</v>
      </c>
      <c r="CI90">
        <v>61</v>
      </c>
    </row>
    <row r="91" spans="1:87" x14ac:dyDescent="0.3">
      <c r="A91" s="2">
        <v>40</v>
      </c>
      <c r="B91" s="2" t="s">
        <v>84</v>
      </c>
      <c r="C91" s="2" t="s">
        <v>21</v>
      </c>
      <c r="D91" s="123" t="s">
        <v>283</v>
      </c>
      <c r="E91" s="2">
        <v>200</v>
      </c>
      <c r="F91" s="2">
        <v>2.35E-2</v>
      </c>
      <c r="G91" s="2">
        <v>1.89E-2</v>
      </c>
      <c r="H91" s="4">
        <f t="shared" si="18"/>
        <v>0.19574468085106383</v>
      </c>
      <c r="I91" s="123" t="s">
        <v>86</v>
      </c>
      <c r="J91" s="2" t="s">
        <v>94</v>
      </c>
      <c r="K91" s="2" t="s">
        <v>163</v>
      </c>
      <c r="L91" s="2" t="s">
        <v>6</v>
      </c>
      <c r="M91" s="155"/>
      <c r="N91" s="155"/>
      <c r="O91" s="2">
        <v>2</v>
      </c>
      <c r="P91" s="6"/>
      <c r="Q91" s="132" t="str">
        <f t="shared" si="15"/>
        <v/>
      </c>
      <c r="R91" s="33" t="str">
        <f t="shared" si="16"/>
        <v/>
      </c>
      <c r="S91" s="132" t="str">
        <f t="shared" si="19"/>
        <v/>
      </c>
      <c r="T91" s="132" t="str">
        <f t="shared" si="17"/>
        <v/>
      </c>
      <c r="W91" s="13"/>
      <c r="Y91"/>
      <c r="CH91">
        <v>4</v>
      </c>
      <c r="CI91">
        <v>81</v>
      </c>
    </row>
    <row r="92" spans="1:87" x14ac:dyDescent="0.3">
      <c r="A92" s="2">
        <v>41</v>
      </c>
      <c r="B92" s="2" t="s">
        <v>84</v>
      </c>
      <c r="C92" s="2" t="s">
        <v>21</v>
      </c>
      <c r="D92" s="123" t="s">
        <v>284</v>
      </c>
      <c r="E92" s="2">
        <v>360</v>
      </c>
      <c r="F92" s="2">
        <v>2.7E-2</v>
      </c>
      <c r="G92" s="2">
        <v>2.1499999999999998E-2</v>
      </c>
      <c r="H92" s="4">
        <f t="shared" si="18"/>
        <v>0.20370370370370375</v>
      </c>
      <c r="I92" s="123" t="s">
        <v>86</v>
      </c>
      <c r="J92" s="2" t="s">
        <v>285</v>
      </c>
      <c r="K92" s="2" t="s">
        <v>105</v>
      </c>
      <c r="L92" s="2" t="s">
        <v>76</v>
      </c>
      <c r="M92" s="155"/>
      <c r="N92" s="155"/>
      <c r="O92" s="2">
        <v>2</v>
      </c>
      <c r="P92" s="6"/>
      <c r="Q92" s="132" t="str">
        <f t="shared" si="15"/>
        <v/>
      </c>
      <c r="R92" s="33" t="str">
        <f t="shared" si="16"/>
        <v/>
      </c>
      <c r="S92" s="132" t="str">
        <f t="shared" si="19"/>
        <v/>
      </c>
      <c r="T92" s="132" t="str">
        <f t="shared" si="17"/>
        <v/>
      </c>
      <c r="W92" s="13"/>
      <c r="Y92"/>
      <c r="CH92">
        <v>4</v>
      </c>
      <c r="CI92">
        <v>44</v>
      </c>
    </row>
    <row r="93" spans="1:87" x14ac:dyDescent="0.3">
      <c r="A93" s="2">
        <v>42</v>
      </c>
      <c r="B93" s="2" t="s">
        <v>84</v>
      </c>
      <c r="C93" s="2" t="s">
        <v>21</v>
      </c>
      <c r="D93" s="123" t="s">
        <v>286</v>
      </c>
      <c r="E93" s="2">
        <v>360</v>
      </c>
      <c r="F93" s="2">
        <v>2.7E-2</v>
      </c>
      <c r="G93" s="2">
        <v>2.1499999999999998E-2</v>
      </c>
      <c r="H93" s="4">
        <f t="shared" si="18"/>
        <v>0.20370370370370375</v>
      </c>
      <c r="I93" s="123" t="s">
        <v>86</v>
      </c>
      <c r="J93" s="2" t="s">
        <v>285</v>
      </c>
      <c r="K93" s="2" t="s">
        <v>105</v>
      </c>
      <c r="L93" s="2" t="s">
        <v>76</v>
      </c>
      <c r="M93" s="155"/>
      <c r="N93" s="155"/>
      <c r="O93" s="2">
        <v>2</v>
      </c>
      <c r="P93" s="6"/>
      <c r="Q93" s="132" t="str">
        <f t="shared" si="15"/>
        <v/>
      </c>
      <c r="R93" s="33" t="str">
        <f t="shared" si="16"/>
        <v/>
      </c>
      <c r="S93" s="132" t="str">
        <f t="shared" si="19"/>
        <v/>
      </c>
      <c r="T93" s="132" t="str">
        <f t="shared" si="17"/>
        <v/>
      </c>
      <c r="W93" s="13"/>
      <c r="Y93"/>
      <c r="CH93">
        <v>5</v>
      </c>
      <c r="CI93">
        <v>34</v>
      </c>
    </row>
    <row r="94" spans="1:87" x14ac:dyDescent="0.3">
      <c r="A94" s="2">
        <v>1969</v>
      </c>
      <c r="B94" s="2" t="s">
        <v>0</v>
      </c>
      <c r="C94" s="2" t="s">
        <v>21</v>
      </c>
      <c r="D94" s="123" t="s">
        <v>287</v>
      </c>
      <c r="E94" s="2">
        <v>300</v>
      </c>
      <c r="F94" s="2">
        <v>1.44E-2</v>
      </c>
      <c r="G94" s="2">
        <v>1.14E-2</v>
      </c>
      <c r="H94" s="4">
        <f t="shared" si="18"/>
        <v>0.20833333333333329</v>
      </c>
      <c r="I94" s="123" t="s">
        <v>86</v>
      </c>
      <c r="J94" s="2" t="s">
        <v>288</v>
      </c>
      <c r="K94" s="2" t="s">
        <v>90</v>
      </c>
      <c r="L94" s="2" t="s">
        <v>6</v>
      </c>
      <c r="M94" s="155"/>
      <c r="N94" s="155"/>
      <c r="O94" s="2">
        <v>4</v>
      </c>
      <c r="P94" s="6">
        <v>60</v>
      </c>
      <c r="Q94" s="132">
        <f t="shared" si="15"/>
        <v>6.4</v>
      </c>
      <c r="R94" s="33">
        <f t="shared" si="16"/>
        <v>60</v>
      </c>
      <c r="S94" s="132">
        <f t="shared" si="19"/>
        <v>7.5</v>
      </c>
      <c r="T94" s="132">
        <f t="shared" si="17"/>
        <v>7.5</v>
      </c>
      <c r="W94" s="13"/>
      <c r="AI94" s="20"/>
      <c r="CH94">
        <v>2</v>
      </c>
      <c r="CI94">
        <v>31</v>
      </c>
    </row>
    <row r="95" spans="1:87" x14ac:dyDescent="0.3">
      <c r="A95" s="2">
        <v>45</v>
      </c>
      <c r="B95" s="2" t="s">
        <v>84</v>
      </c>
      <c r="C95" s="2" t="s">
        <v>21</v>
      </c>
      <c r="D95" s="123" t="s">
        <v>289</v>
      </c>
      <c r="E95" s="2">
        <v>360</v>
      </c>
      <c r="F95" s="2">
        <v>2.7E-2</v>
      </c>
      <c r="G95" s="2">
        <v>2.1499999999999998E-2</v>
      </c>
      <c r="H95" s="4">
        <f t="shared" si="18"/>
        <v>0.20370370370370375</v>
      </c>
      <c r="I95" s="123" t="s">
        <v>86</v>
      </c>
      <c r="J95" s="2" t="s">
        <v>285</v>
      </c>
      <c r="K95" s="2" t="s">
        <v>105</v>
      </c>
      <c r="L95" s="2" t="s">
        <v>76</v>
      </c>
      <c r="M95" s="155"/>
      <c r="N95" s="155"/>
      <c r="O95" s="2">
        <v>2</v>
      </c>
      <c r="P95" s="6"/>
      <c r="Q95" s="132" t="str">
        <f t="shared" si="15"/>
        <v/>
      </c>
      <c r="R95" s="33" t="str">
        <f t="shared" si="16"/>
        <v/>
      </c>
      <c r="S95" s="132" t="str">
        <f t="shared" si="19"/>
        <v/>
      </c>
      <c r="T95" s="132" t="str">
        <f t="shared" si="17"/>
        <v/>
      </c>
      <c r="W95" s="13"/>
      <c r="Y95"/>
      <c r="CH95">
        <v>3</v>
      </c>
      <c r="CI95">
        <v>45</v>
      </c>
    </row>
    <row r="96" spans="1:87" x14ac:dyDescent="0.3">
      <c r="A96" s="2">
        <v>48</v>
      </c>
      <c r="B96" s="2" t="s">
        <v>84</v>
      </c>
      <c r="C96" s="2" t="s">
        <v>21</v>
      </c>
      <c r="D96" s="123" t="s">
        <v>290</v>
      </c>
      <c r="E96" s="2">
        <v>200</v>
      </c>
      <c r="F96" s="2">
        <v>3.9699999999999999E-2</v>
      </c>
      <c r="G96" s="2">
        <v>3.2800000000000003E-2</v>
      </c>
      <c r="H96" s="4">
        <f t="shared" si="18"/>
        <v>0.17380352644836264</v>
      </c>
      <c r="I96" s="123" t="s">
        <v>86</v>
      </c>
      <c r="J96" s="2" t="s">
        <v>291</v>
      </c>
      <c r="K96" s="2" t="s">
        <v>5</v>
      </c>
      <c r="L96" s="2" t="s">
        <v>6</v>
      </c>
      <c r="M96" s="155"/>
      <c r="N96" s="155"/>
      <c r="O96" s="2">
        <v>2</v>
      </c>
      <c r="P96" s="6"/>
      <c r="Q96" s="132" t="str">
        <f t="shared" si="15"/>
        <v/>
      </c>
      <c r="R96" s="33" t="str">
        <f t="shared" si="16"/>
        <v/>
      </c>
      <c r="S96" s="132" t="str">
        <f t="shared" si="19"/>
        <v/>
      </c>
      <c r="T96" s="132" t="str">
        <f t="shared" si="17"/>
        <v/>
      </c>
      <c r="W96" s="13"/>
      <c r="Y96"/>
      <c r="CH96">
        <v>4</v>
      </c>
      <c r="CI96">
        <v>43</v>
      </c>
    </row>
    <row r="97" spans="1:87" x14ac:dyDescent="0.3">
      <c r="A97" s="2">
        <v>50</v>
      </c>
      <c r="B97" s="2" t="s">
        <v>84</v>
      </c>
      <c r="C97" s="2" t="s">
        <v>21</v>
      </c>
      <c r="D97" s="123" t="s">
        <v>292</v>
      </c>
      <c r="E97" s="2">
        <v>200</v>
      </c>
      <c r="F97" s="2">
        <v>3.9699999999999999E-2</v>
      </c>
      <c r="G97" s="2">
        <v>3.2800000000000003E-2</v>
      </c>
      <c r="H97" s="4">
        <f t="shared" si="18"/>
        <v>0.17380352644836264</v>
      </c>
      <c r="I97" s="123" t="s">
        <v>86</v>
      </c>
      <c r="J97" s="2" t="s">
        <v>291</v>
      </c>
      <c r="K97" s="2" t="s">
        <v>5</v>
      </c>
      <c r="L97" s="2" t="s">
        <v>6</v>
      </c>
      <c r="M97" s="155"/>
      <c r="N97" s="155"/>
      <c r="O97" s="2">
        <v>2</v>
      </c>
      <c r="P97" s="6"/>
      <c r="Q97" s="132" t="str">
        <f t="shared" si="15"/>
        <v/>
      </c>
      <c r="R97" s="33" t="str">
        <f t="shared" si="16"/>
        <v/>
      </c>
      <c r="S97" s="132" t="str">
        <f t="shared" si="19"/>
        <v/>
      </c>
      <c r="T97" s="132" t="str">
        <f t="shared" si="17"/>
        <v/>
      </c>
      <c r="W97" s="13"/>
      <c r="CH97">
        <v>4</v>
      </c>
      <c r="CI97">
        <v>62</v>
      </c>
    </row>
    <row r="98" spans="1:87" x14ac:dyDescent="0.3">
      <c r="A98" s="2">
        <v>53</v>
      </c>
      <c r="B98" s="2" t="s">
        <v>84</v>
      </c>
      <c r="C98" s="2" t="s">
        <v>21</v>
      </c>
      <c r="D98" s="123" t="s">
        <v>293</v>
      </c>
      <c r="E98" s="2">
        <v>400</v>
      </c>
      <c r="F98" s="2">
        <v>2.9700000000000001E-2</v>
      </c>
      <c r="G98" s="2">
        <v>2.53E-2</v>
      </c>
      <c r="H98" s="4">
        <f t="shared" ref="H98:H107" si="20">(F98-G98)/F98</f>
        <v>0.1481481481481482</v>
      </c>
      <c r="I98" s="123" t="s">
        <v>86</v>
      </c>
      <c r="J98" s="2" t="s">
        <v>294</v>
      </c>
      <c r="K98" s="2" t="s">
        <v>222</v>
      </c>
      <c r="L98" s="2" t="s">
        <v>76</v>
      </c>
      <c r="M98" s="155"/>
      <c r="N98" s="155"/>
      <c r="O98" s="2">
        <v>2</v>
      </c>
      <c r="P98" s="6"/>
      <c r="Q98" s="132" t="str">
        <f t="shared" ref="Q98" si="21">IFERROR(IF(AO98&gt;1,AO98,60*60*8*O98/P98/E98),"")</f>
        <v/>
      </c>
      <c r="R98" s="33" t="str">
        <f t="shared" ref="R98:R103" si="22">IFERROR(60*60*8*O98/E98/Q98,"")</f>
        <v/>
      </c>
      <c r="S98" s="132" t="str">
        <f t="shared" ref="S98:S99" si="23">IFERROR(R98/8,"")</f>
        <v/>
      </c>
      <c r="T98" s="132" t="str">
        <f t="shared" ref="T98:T103" si="24">IFERROR(IF(R98&gt;2,S98,""),"")</f>
        <v/>
      </c>
      <c r="W98" s="13"/>
      <c r="CH98">
        <v>5</v>
      </c>
      <c r="CI98">
        <v>44</v>
      </c>
    </row>
    <row r="99" spans="1:87" x14ac:dyDescent="0.3">
      <c r="A99" s="2">
        <v>1970</v>
      </c>
      <c r="B99" s="2" t="s">
        <v>0</v>
      </c>
      <c r="C99" s="2" t="s">
        <v>21</v>
      </c>
      <c r="D99" s="123" t="s">
        <v>293</v>
      </c>
      <c r="E99" s="2">
        <v>200</v>
      </c>
      <c r="F99" s="2">
        <v>2.9700000000000001E-2</v>
      </c>
      <c r="G99" s="2">
        <v>2.53E-2</v>
      </c>
      <c r="H99" s="4">
        <f t="shared" si="20"/>
        <v>0.1481481481481482</v>
      </c>
      <c r="I99" s="123" t="s">
        <v>86</v>
      </c>
      <c r="J99" s="2" t="s">
        <v>294</v>
      </c>
      <c r="K99" s="2" t="s">
        <v>90</v>
      </c>
      <c r="L99" s="2" t="s">
        <v>6</v>
      </c>
      <c r="M99" s="155"/>
      <c r="N99" s="155"/>
      <c r="O99" s="2">
        <v>2</v>
      </c>
      <c r="P99" s="6">
        <v>60</v>
      </c>
      <c r="Q99" s="132">
        <f t="shared" ref="Q99:Q125" si="25">IFERROR(IF(AO99&gt;1,AO99,60*60*8*O99/P99/E99),"")</f>
        <v>4.8</v>
      </c>
      <c r="R99" s="33">
        <f t="shared" si="22"/>
        <v>60</v>
      </c>
      <c r="S99" s="132">
        <f t="shared" si="23"/>
        <v>7.5</v>
      </c>
      <c r="T99" s="132">
        <f t="shared" si="24"/>
        <v>7.5</v>
      </c>
      <c r="W99" s="13"/>
      <c r="AI99" s="20"/>
      <c r="CH99">
        <v>3</v>
      </c>
      <c r="CI99">
        <v>58</v>
      </c>
    </row>
    <row r="100" spans="1:87" x14ac:dyDescent="0.3">
      <c r="A100" s="2">
        <v>115</v>
      </c>
      <c r="B100" s="2" t="s">
        <v>84</v>
      </c>
      <c r="C100" s="2" t="s">
        <v>21</v>
      </c>
      <c r="D100" s="123" t="s">
        <v>295</v>
      </c>
      <c r="E100" s="2">
        <v>60</v>
      </c>
      <c r="F100" s="2">
        <v>6.2899999999999998E-2</v>
      </c>
      <c r="G100" s="2">
        <v>5.2600000000000001E-2</v>
      </c>
      <c r="H100" s="4">
        <f t="shared" si="20"/>
        <v>0.163751987281399</v>
      </c>
      <c r="I100" s="123" t="s">
        <v>86</v>
      </c>
      <c r="J100" s="2" t="s">
        <v>296</v>
      </c>
      <c r="K100" s="2"/>
      <c r="L100" s="2"/>
      <c r="M100" s="155"/>
      <c r="N100" s="155"/>
      <c r="O100" s="2">
        <v>1</v>
      </c>
      <c r="P100" s="6"/>
      <c r="Q100" s="132" t="str">
        <f t="shared" si="25"/>
        <v/>
      </c>
      <c r="R100" s="33" t="str">
        <f t="shared" si="22"/>
        <v/>
      </c>
      <c r="S100" s="132" t="str">
        <f t="shared" ref="S100:S131" si="26">IFERROR(R100/8,"")</f>
        <v/>
      </c>
      <c r="T100" s="132" t="str">
        <f t="shared" si="24"/>
        <v/>
      </c>
      <c r="W100" s="13"/>
      <c r="CH100">
        <v>5</v>
      </c>
      <c r="CI100">
        <v>49</v>
      </c>
    </row>
    <row r="101" spans="1:87" x14ac:dyDescent="0.3">
      <c r="A101" s="2">
        <v>116</v>
      </c>
      <c r="B101" s="2" t="s">
        <v>84</v>
      </c>
      <c r="C101" s="2" t="s">
        <v>21</v>
      </c>
      <c r="D101" s="123" t="s">
        <v>297</v>
      </c>
      <c r="E101" s="2">
        <v>160</v>
      </c>
      <c r="F101" s="2">
        <v>7.6899999999999996E-2</v>
      </c>
      <c r="G101" s="2">
        <v>6.3399999999999998E-2</v>
      </c>
      <c r="H101" s="4">
        <f t="shared" si="20"/>
        <v>0.17555266579973991</v>
      </c>
      <c r="I101" s="123" t="s">
        <v>86</v>
      </c>
      <c r="J101" s="2" t="s">
        <v>298</v>
      </c>
      <c r="K101" s="2" t="s">
        <v>222</v>
      </c>
      <c r="L101" s="2" t="s">
        <v>76</v>
      </c>
      <c r="M101" s="155"/>
      <c r="N101" s="155"/>
      <c r="O101" s="2">
        <v>1</v>
      </c>
      <c r="P101" s="6"/>
      <c r="Q101" s="132" t="str">
        <f t="shared" si="25"/>
        <v/>
      </c>
      <c r="R101" s="33" t="str">
        <f t="shared" si="22"/>
        <v/>
      </c>
      <c r="S101" s="132" t="str">
        <f t="shared" si="26"/>
        <v/>
      </c>
      <c r="T101" s="132" t="str">
        <f t="shared" si="24"/>
        <v/>
      </c>
      <c r="W101" s="13"/>
      <c r="CH101">
        <v>6</v>
      </c>
      <c r="CI101">
        <v>78</v>
      </c>
    </row>
    <row r="102" spans="1:87" x14ac:dyDescent="0.3">
      <c r="A102" s="2">
        <v>52</v>
      </c>
      <c r="B102" s="2" t="s">
        <v>84</v>
      </c>
      <c r="C102" s="2" t="s">
        <v>21</v>
      </c>
      <c r="D102" s="123" t="s">
        <v>299</v>
      </c>
      <c r="E102" s="2">
        <v>160</v>
      </c>
      <c r="F102" s="2">
        <v>5.3100000000000001E-2</v>
      </c>
      <c r="G102" s="2">
        <v>4.6199999999999998E-2</v>
      </c>
      <c r="H102" s="4">
        <f t="shared" si="20"/>
        <v>0.12994350282485881</v>
      </c>
      <c r="I102" s="123" t="s">
        <v>86</v>
      </c>
      <c r="J102" s="2" t="s">
        <v>300</v>
      </c>
      <c r="K102" s="2" t="s">
        <v>222</v>
      </c>
      <c r="L102" s="2" t="s">
        <v>76</v>
      </c>
      <c r="M102" s="155"/>
      <c r="N102" s="155"/>
      <c r="O102" s="2">
        <v>2</v>
      </c>
      <c r="P102" s="6"/>
      <c r="Q102" s="132" t="str">
        <f t="shared" si="25"/>
        <v/>
      </c>
      <c r="R102" s="33" t="str">
        <f t="shared" si="22"/>
        <v/>
      </c>
      <c r="S102" s="132" t="str">
        <f t="shared" si="26"/>
        <v/>
      </c>
      <c r="T102" s="132" t="str">
        <f t="shared" si="24"/>
        <v/>
      </c>
      <c r="W102" s="13"/>
      <c r="CH102">
        <v>4</v>
      </c>
      <c r="CI102">
        <v>36</v>
      </c>
    </row>
    <row r="103" spans="1:87" x14ac:dyDescent="0.3">
      <c r="A103" s="2">
        <v>117</v>
      </c>
      <c r="B103" s="2" t="s">
        <v>0</v>
      </c>
      <c r="C103" s="2" t="s">
        <v>21</v>
      </c>
      <c r="D103" s="123" t="s">
        <v>301</v>
      </c>
      <c r="E103" s="2">
        <v>200</v>
      </c>
      <c r="F103" s="2">
        <v>3.0700000000000002E-2</v>
      </c>
      <c r="G103" s="2">
        <v>1.95E-2</v>
      </c>
      <c r="H103" s="4">
        <f t="shared" si="20"/>
        <v>0.36482084690553751</v>
      </c>
      <c r="I103" s="123" t="s">
        <v>86</v>
      </c>
      <c r="J103" s="2" t="s">
        <v>302</v>
      </c>
      <c r="K103" s="2" t="s">
        <v>5</v>
      </c>
      <c r="L103" s="2" t="s">
        <v>6</v>
      </c>
      <c r="M103" s="155"/>
      <c r="N103" s="155"/>
      <c r="O103" s="2">
        <v>4</v>
      </c>
      <c r="P103" s="6">
        <v>60</v>
      </c>
      <c r="Q103" s="132">
        <f t="shared" si="25"/>
        <v>9.6</v>
      </c>
      <c r="R103" s="33">
        <f t="shared" si="22"/>
        <v>60</v>
      </c>
      <c r="S103" s="132">
        <f t="shared" si="26"/>
        <v>7.5</v>
      </c>
      <c r="T103" s="132">
        <f t="shared" si="24"/>
        <v>7.5</v>
      </c>
      <c r="W103" s="13"/>
      <c r="CH103">
        <v>3</v>
      </c>
      <c r="CI103">
        <v>32</v>
      </c>
    </row>
    <row r="104" spans="1:87" x14ac:dyDescent="0.3">
      <c r="A104" s="2">
        <v>118</v>
      </c>
      <c r="B104" s="2" t="s">
        <v>0</v>
      </c>
      <c r="C104" s="2" t="s">
        <v>21</v>
      </c>
      <c r="D104" s="123" t="s">
        <v>303</v>
      </c>
      <c r="E104" s="2">
        <v>200</v>
      </c>
      <c r="F104" s="2">
        <v>3.0700000000000002E-2</v>
      </c>
      <c r="G104" s="2">
        <v>1.95E-2</v>
      </c>
      <c r="H104" s="4">
        <f t="shared" si="20"/>
        <v>0.36482084690553751</v>
      </c>
      <c r="I104" s="123" t="s">
        <v>86</v>
      </c>
      <c r="J104" s="2" t="s">
        <v>302</v>
      </c>
      <c r="K104" s="2" t="s">
        <v>5</v>
      </c>
      <c r="L104" s="2" t="s">
        <v>6</v>
      </c>
      <c r="M104" s="155"/>
      <c r="N104" s="155"/>
      <c r="O104" s="2">
        <v>4</v>
      </c>
      <c r="P104" s="6">
        <v>60</v>
      </c>
      <c r="Q104" s="132">
        <f t="shared" si="25"/>
        <v>9.6</v>
      </c>
      <c r="R104" s="33">
        <f t="shared" ref="R104:R135" si="27">IFERROR(60*60*8*O104/E104/Q104,"")</f>
        <v>60</v>
      </c>
      <c r="S104" s="132">
        <f t="shared" si="26"/>
        <v>7.5</v>
      </c>
      <c r="T104" s="132">
        <f t="shared" ref="T104:T125" si="28">IFERROR(IF(R104&gt;2,S104,""),"")</f>
        <v>7.5</v>
      </c>
      <c r="W104" s="13"/>
      <c r="CH104">
        <v>2</v>
      </c>
      <c r="CI104">
        <v>76</v>
      </c>
    </row>
    <row r="105" spans="1:87" x14ac:dyDescent="0.3">
      <c r="A105" s="2">
        <v>120</v>
      </c>
      <c r="B105" s="2" t="s">
        <v>84</v>
      </c>
      <c r="C105" s="2" t="s">
        <v>21</v>
      </c>
      <c r="D105" s="123" t="s">
        <v>304</v>
      </c>
      <c r="E105" s="2">
        <v>200</v>
      </c>
      <c r="F105" s="2">
        <v>3.8800000000000001E-2</v>
      </c>
      <c r="G105" s="2">
        <v>2.4400000000000002E-2</v>
      </c>
      <c r="H105" s="4">
        <f t="shared" si="20"/>
        <v>0.37113402061855666</v>
      </c>
      <c r="I105" s="123" t="s">
        <v>86</v>
      </c>
      <c r="J105" s="2" t="s">
        <v>203</v>
      </c>
      <c r="K105" s="2" t="s">
        <v>305</v>
      </c>
      <c r="L105" s="2" t="s">
        <v>96</v>
      </c>
      <c r="M105" s="155"/>
      <c r="N105" s="155"/>
      <c r="O105" s="2">
        <v>2</v>
      </c>
      <c r="P105" s="6"/>
      <c r="Q105" s="132" t="str">
        <f t="shared" si="25"/>
        <v/>
      </c>
      <c r="R105" s="33" t="str">
        <f t="shared" si="27"/>
        <v/>
      </c>
      <c r="S105" s="132" t="str">
        <f t="shared" si="26"/>
        <v/>
      </c>
      <c r="T105" s="132" t="str">
        <f t="shared" si="28"/>
        <v/>
      </c>
      <c r="W105" s="13"/>
      <c r="CH105">
        <v>2</v>
      </c>
      <c r="CI105">
        <v>61</v>
      </c>
    </row>
    <row r="106" spans="1:87" x14ac:dyDescent="0.3">
      <c r="A106" s="2">
        <v>125</v>
      </c>
      <c r="B106" s="2" t="s">
        <v>84</v>
      </c>
      <c r="C106" s="2" t="s">
        <v>21</v>
      </c>
      <c r="D106" s="123" t="s">
        <v>306</v>
      </c>
      <c r="E106" s="2">
        <v>200</v>
      </c>
      <c r="F106" s="2">
        <v>4.7399999999999998E-2</v>
      </c>
      <c r="G106" s="2">
        <v>3.32E-2</v>
      </c>
      <c r="H106" s="4">
        <f t="shared" si="20"/>
        <v>0.29957805907172991</v>
      </c>
      <c r="I106" s="123" t="s">
        <v>86</v>
      </c>
      <c r="J106" s="2" t="s">
        <v>307</v>
      </c>
      <c r="K106" s="2" t="s">
        <v>305</v>
      </c>
      <c r="L106" s="2" t="s">
        <v>96</v>
      </c>
      <c r="M106" s="155"/>
      <c r="N106" s="155"/>
      <c r="O106" s="2">
        <v>2</v>
      </c>
      <c r="P106" s="6"/>
      <c r="Q106" s="132" t="str">
        <f t="shared" si="25"/>
        <v/>
      </c>
      <c r="R106" s="33" t="str">
        <f t="shared" si="27"/>
        <v/>
      </c>
      <c r="S106" s="132" t="str">
        <f t="shared" si="26"/>
        <v/>
      </c>
      <c r="T106" s="132" t="str">
        <f t="shared" si="28"/>
        <v/>
      </c>
      <c r="W106" s="13"/>
      <c r="CH106">
        <v>3</v>
      </c>
      <c r="CI106">
        <v>39</v>
      </c>
    </row>
    <row r="107" spans="1:87" x14ac:dyDescent="0.3">
      <c r="A107" s="2">
        <v>121</v>
      </c>
      <c r="B107" s="2" t="s">
        <v>84</v>
      </c>
      <c r="C107" s="2" t="s">
        <v>21</v>
      </c>
      <c r="D107" s="123" t="s">
        <v>308</v>
      </c>
      <c r="E107" s="2">
        <v>200</v>
      </c>
      <c r="F107" s="2">
        <v>2.58E-2</v>
      </c>
      <c r="G107" s="2">
        <v>1.84E-2</v>
      </c>
      <c r="H107" s="4">
        <f t="shared" si="20"/>
        <v>0.2868217054263566</v>
      </c>
      <c r="I107" s="123" t="s">
        <v>86</v>
      </c>
      <c r="J107" s="2" t="s">
        <v>309</v>
      </c>
      <c r="K107" s="2" t="s">
        <v>5</v>
      </c>
      <c r="L107" s="2" t="s">
        <v>6</v>
      </c>
      <c r="M107" s="155"/>
      <c r="N107" s="155"/>
      <c r="O107" s="2">
        <v>2</v>
      </c>
      <c r="P107" s="6"/>
      <c r="Q107" s="132" t="str">
        <f t="shared" si="25"/>
        <v/>
      </c>
      <c r="R107" s="33" t="str">
        <f t="shared" si="27"/>
        <v/>
      </c>
      <c r="S107" s="132" t="str">
        <f t="shared" si="26"/>
        <v/>
      </c>
      <c r="T107" s="132" t="str">
        <f t="shared" si="28"/>
        <v/>
      </c>
      <c r="W107" s="13"/>
      <c r="CH107">
        <v>6</v>
      </c>
      <c r="CI107">
        <v>73</v>
      </c>
    </row>
    <row r="108" spans="1:87" x14ac:dyDescent="0.3">
      <c r="A108" s="2">
        <v>127</v>
      </c>
      <c r="B108" s="2" t="s">
        <v>84</v>
      </c>
      <c r="C108" s="2" t="s">
        <v>21</v>
      </c>
      <c r="D108" s="123" t="s">
        <v>310</v>
      </c>
      <c r="E108" s="2">
        <v>200</v>
      </c>
      <c r="F108" s="2">
        <v>3.4500000000000003E-2</v>
      </c>
      <c r="G108" s="2">
        <v>2.4400000000000002E-2</v>
      </c>
      <c r="H108" s="4">
        <f t="shared" ref="H108:H139" si="29">(F108-G108)/F108</f>
        <v>0.29275362318840581</v>
      </c>
      <c r="I108" s="123" t="s">
        <v>86</v>
      </c>
      <c r="J108" s="2" t="s">
        <v>203</v>
      </c>
      <c r="K108" s="2" t="s">
        <v>5</v>
      </c>
      <c r="L108" s="2" t="s">
        <v>6</v>
      </c>
      <c r="M108" s="155"/>
      <c r="N108" s="155"/>
      <c r="O108" s="2">
        <v>2</v>
      </c>
      <c r="P108" s="6"/>
      <c r="Q108" s="132" t="str">
        <f t="shared" si="25"/>
        <v/>
      </c>
      <c r="R108" s="33" t="str">
        <f t="shared" si="27"/>
        <v/>
      </c>
      <c r="S108" s="132" t="str">
        <f t="shared" si="26"/>
        <v/>
      </c>
      <c r="T108" s="132" t="str">
        <f t="shared" si="28"/>
        <v/>
      </c>
      <c r="W108" s="13"/>
      <c r="CH108">
        <v>4</v>
      </c>
      <c r="CI108">
        <v>56</v>
      </c>
    </row>
    <row r="109" spans="1:87" x14ac:dyDescent="0.3">
      <c r="A109" s="2">
        <v>124</v>
      </c>
      <c r="B109" s="2" t="s">
        <v>84</v>
      </c>
      <c r="C109" s="2" t="s">
        <v>21</v>
      </c>
      <c r="D109" s="123" t="s">
        <v>311</v>
      </c>
      <c r="E109" s="2">
        <v>200</v>
      </c>
      <c r="F109" s="2">
        <v>3.0099999999999998E-2</v>
      </c>
      <c r="G109" s="2">
        <v>2.0899999999999998E-2</v>
      </c>
      <c r="H109" s="4">
        <f t="shared" si="29"/>
        <v>0.30564784053156147</v>
      </c>
      <c r="I109" s="123" t="s">
        <v>86</v>
      </c>
      <c r="J109" s="2" t="s">
        <v>196</v>
      </c>
      <c r="K109" s="2" t="s">
        <v>5</v>
      </c>
      <c r="L109" s="2" t="s">
        <v>6</v>
      </c>
      <c r="M109" s="155"/>
      <c r="N109" s="155"/>
      <c r="O109" s="2">
        <v>2</v>
      </c>
      <c r="P109" s="6"/>
      <c r="Q109" s="132" t="str">
        <f t="shared" si="25"/>
        <v/>
      </c>
      <c r="R109" s="33" t="str">
        <f t="shared" si="27"/>
        <v/>
      </c>
      <c r="S109" s="132" t="str">
        <f t="shared" si="26"/>
        <v/>
      </c>
      <c r="T109" s="132" t="str">
        <f t="shared" si="28"/>
        <v/>
      </c>
      <c r="W109" s="13"/>
      <c r="CH109">
        <v>5</v>
      </c>
      <c r="CI109">
        <v>71</v>
      </c>
    </row>
    <row r="110" spans="1:87" x14ac:dyDescent="0.3">
      <c r="A110" s="2">
        <v>128</v>
      </c>
      <c r="B110" s="2" t="s">
        <v>84</v>
      </c>
      <c r="C110" s="2" t="s">
        <v>21</v>
      </c>
      <c r="D110" s="123" t="s">
        <v>312</v>
      </c>
      <c r="E110" s="2">
        <v>200</v>
      </c>
      <c r="F110" s="2">
        <v>3.8800000000000001E-2</v>
      </c>
      <c r="G110" s="2">
        <v>2.7199999999999998E-2</v>
      </c>
      <c r="H110" s="4">
        <f t="shared" si="29"/>
        <v>0.2989690721649485</v>
      </c>
      <c r="I110" s="123" t="s">
        <v>86</v>
      </c>
      <c r="J110" s="2" t="s">
        <v>313</v>
      </c>
      <c r="K110" s="2" t="s">
        <v>5</v>
      </c>
      <c r="L110" s="2" t="s">
        <v>6</v>
      </c>
      <c r="M110" s="155"/>
      <c r="N110" s="155"/>
      <c r="O110" s="2">
        <v>2</v>
      </c>
      <c r="P110" s="6"/>
      <c r="Q110" s="132" t="str">
        <f t="shared" si="25"/>
        <v/>
      </c>
      <c r="R110" s="33" t="str">
        <f t="shared" si="27"/>
        <v/>
      </c>
      <c r="S110" s="132" t="str">
        <f t="shared" si="26"/>
        <v/>
      </c>
      <c r="T110" s="132" t="str">
        <f t="shared" si="28"/>
        <v/>
      </c>
      <c r="W110" s="13"/>
      <c r="CH110">
        <v>4</v>
      </c>
      <c r="CI110">
        <v>45</v>
      </c>
    </row>
    <row r="111" spans="1:87" x14ac:dyDescent="0.3">
      <c r="A111" s="2">
        <v>129</v>
      </c>
      <c r="B111" s="2" t="s">
        <v>84</v>
      </c>
      <c r="C111" s="2" t="s">
        <v>21</v>
      </c>
      <c r="D111" s="123" t="s">
        <v>314</v>
      </c>
      <c r="E111" s="2">
        <v>200</v>
      </c>
      <c r="F111" s="2">
        <v>4.0800000000000003E-2</v>
      </c>
      <c r="G111" s="2">
        <v>2.8199999999999999E-2</v>
      </c>
      <c r="H111" s="4">
        <f t="shared" si="29"/>
        <v>0.30882352941176477</v>
      </c>
      <c r="I111" s="123" t="s">
        <v>86</v>
      </c>
      <c r="J111" s="2" t="s">
        <v>315</v>
      </c>
      <c r="K111" s="2" t="s">
        <v>305</v>
      </c>
      <c r="L111" s="2" t="s">
        <v>96</v>
      </c>
      <c r="M111" s="155"/>
      <c r="N111" s="155"/>
      <c r="O111" s="2">
        <v>2</v>
      </c>
      <c r="P111" s="6"/>
      <c r="Q111" s="132" t="str">
        <f t="shared" si="25"/>
        <v/>
      </c>
      <c r="R111" s="33" t="str">
        <f t="shared" si="27"/>
        <v/>
      </c>
      <c r="S111" s="132" t="str">
        <f t="shared" si="26"/>
        <v/>
      </c>
      <c r="T111" s="132" t="str">
        <f t="shared" si="28"/>
        <v/>
      </c>
      <c r="W111" s="13"/>
      <c r="CH111">
        <v>5</v>
      </c>
      <c r="CI111">
        <v>59</v>
      </c>
    </row>
    <row r="112" spans="1:87" x14ac:dyDescent="0.3">
      <c r="A112" s="2">
        <v>130</v>
      </c>
      <c r="B112" s="2" t="s">
        <v>84</v>
      </c>
      <c r="C112" s="2" t="s">
        <v>21</v>
      </c>
      <c r="D112" s="123" t="s">
        <v>316</v>
      </c>
      <c r="E112" s="2">
        <v>200</v>
      </c>
      <c r="F112" s="2">
        <v>3.5700000000000003E-2</v>
      </c>
      <c r="G112" s="2">
        <v>2.06E-2</v>
      </c>
      <c r="H112" s="4">
        <f t="shared" si="29"/>
        <v>0.42296918767507008</v>
      </c>
      <c r="I112" s="123" t="s">
        <v>86</v>
      </c>
      <c r="J112" s="2" t="s">
        <v>317</v>
      </c>
      <c r="K112" s="2" t="s">
        <v>5</v>
      </c>
      <c r="L112" s="2" t="s">
        <v>6</v>
      </c>
      <c r="M112" s="155"/>
      <c r="N112" s="155"/>
      <c r="O112" s="2">
        <v>2</v>
      </c>
      <c r="P112" s="6"/>
      <c r="Q112" s="132" t="str">
        <f t="shared" si="25"/>
        <v/>
      </c>
      <c r="R112" s="33" t="str">
        <f t="shared" si="27"/>
        <v/>
      </c>
      <c r="S112" s="132" t="str">
        <f t="shared" si="26"/>
        <v/>
      </c>
      <c r="T112" s="132" t="str">
        <f t="shared" si="28"/>
        <v/>
      </c>
      <c r="W112" s="13"/>
      <c r="CH112">
        <v>1</v>
      </c>
      <c r="CI112">
        <v>55</v>
      </c>
    </row>
    <row r="113" spans="1:87" x14ac:dyDescent="0.3">
      <c r="A113" s="2">
        <v>131</v>
      </c>
      <c r="B113" s="2" t="s">
        <v>84</v>
      </c>
      <c r="C113" s="2" t="s">
        <v>21</v>
      </c>
      <c r="D113" s="123" t="s">
        <v>318</v>
      </c>
      <c r="E113" s="2">
        <v>200</v>
      </c>
      <c r="F113" s="2">
        <v>4.0800000000000003E-2</v>
      </c>
      <c r="G113" s="2">
        <v>2.41E-2</v>
      </c>
      <c r="H113" s="4">
        <f t="shared" si="29"/>
        <v>0.40931372549019612</v>
      </c>
      <c r="I113" s="123" t="s">
        <v>86</v>
      </c>
      <c r="J113" s="2" t="s">
        <v>315</v>
      </c>
      <c r="K113" s="2" t="s">
        <v>5</v>
      </c>
      <c r="L113" s="2" t="s">
        <v>6</v>
      </c>
      <c r="M113" s="155"/>
      <c r="N113" s="155"/>
      <c r="O113" s="2">
        <v>2</v>
      </c>
      <c r="P113" s="6"/>
      <c r="Q113" s="132" t="str">
        <f t="shared" si="25"/>
        <v/>
      </c>
      <c r="R113" s="33" t="str">
        <f t="shared" si="27"/>
        <v/>
      </c>
      <c r="S113" s="132" t="str">
        <f t="shared" si="26"/>
        <v/>
      </c>
      <c r="T113" s="132" t="str">
        <f t="shared" si="28"/>
        <v/>
      </c>
      <c r="W113" s="13"/>
      <c r="CH113">
        <v>6</v>
      </c>
      <c r="CI113">
        <v>40</v>
      </c>
    </row>
    <row r="114" spans="1:87" x14ac:dyDescent="0.3">
      <c r="A114" s="2">
        <v>132</v>
      </c>
      <c r="B114" s="2" t="s">
        <v>84</v>
      </c>
      <c r="C114" s="2" t="s">
        <v>21</v>
      </c>
      <c r="D114" s="123" t="s">
        <v>319</v>
      </c>
      <c r="E114" s="2">
        <v>200</v>
      </c>
      <c r="F114" s="2">
        <v>6.93E-2</v>
      </c>
      <c r="G114" s="2">
        <v>4.3400000000000001E-2</v>
      </c>
      <c r="H114" s="4">
        <f t="shared" si="29"/>
        <v>0.3737373737373737</v>
      </c>
      <c r="I114" s="123" t="s">
        <v>86</v>
      </c>
      <c r="J114" s="2" t="s">
        <v>320</v>
      </c>
      <c r="K114" s="2" t="s">
        <v>261</v>
      </c>
      <c r="L114" s="2" t="s">
        <v>76</v>
      </c>
      <c r="M114" s="155"/>
      <c r="N114" s="155"/>
      <c r="O114" s="2">
        <v>1</v>
      </c>
      <c r="P114" s="6"/>
      <c r="Q114" s="132" t="str">
        <f t="shared" si="25"/>
        <v/>
      </c>
      <c r="R114" s="33" t="str">
        <f t="shared" si="27"/>
        <v/>
      </c>
      <c r="S114" s="132" t="str">
        <f t="shared" si="26"/>
        <v/>
      </c>
      <c r="T114" s="132" t="str">
        <f t="shared" si="28"/>
        <v/>
      </c>
      <c r="W114" s="13"/>
      <c r="CH114">
        <v>4</v>
      </c>
      <c r="CI114">
        <v>55</v>
      </c>
    </row>
    <row r="115" spans="1:87" x14ac:dyDescent="0.3">
      <c r="A115" s="2">
        <v>133</v>
      </c>
      <c r="B115" s="2" t="s">
        <v>84</v>
      </c>
      <c r="C115" s="2" t="s">
        <v>21</v>
      </c>
      <c r="D115" s="123" t="s">
        <v>321</v>
      </c>
      <c r="E115" s="2">
        <v>200</v>
      </c>
      <c r="F115" s="2">
        <v>5.5399999999999998E-2</v>
      </c>
      <c r="G115" s="2">
        <v>3.3500000000000002E-2</v>
      </c>
      <c r="H115" s="4">
        <f t="shared" si="29"/>
        <v>0.39530685920577613</v>
      </c>
      <c r="I115" s="123" t="s">
        <v>86</v>
      </c>
      <c r="J115" s="2" t="s">
        <v>322</v>
      </c>
      <c r="K115" s="2" t="s">
        <v>261</v>
      </c>
      <c r="L115" s="2" t="s">
        <v>76</v>
      </c>
      <c r="M115" s="155"/>
      <c r="N115" s="155"/>
      <c r="O115" s="2">
        <v>1</v>
      </c>
      <c r="P115" s="6"/>
      <c r="Q115" s="132" t="str">
        <f t="shared" si="25"/>
        <v/>
      </c>
      <c r="R115" s="33" t="str">
        <f t="shared" si="27"/>
        <v/>
      </c>
      <c r="S115" s="132" t="str">
        <f t="shared" si="26"/>
        <v/>
      </c>
      <c r="T115" s="132" t="str">
        <f t="shared" si="28"/>
        <v/>
      </c>
      <c r="W115" s="13"/>
      <c r="CH115">
        <v>1</v>
      </c>
      <c r="CI115">
        <v>75</v>
      </c>
    </row>
    <row r="116" spans="1:87" x14ac:dyDescent="0.3">
      <c r="A116" s="2">
        <v>135</v>
      </c>
      <c r="B116" s="2" t="s">
        <v>84</v>
      </c>
      <c r="C116" s="2" t="s">
        <v>21</v>
      </c>
      <c r="D116" s="123" t="s">
        <v>323</v>
      </c>
      <c r="E116" s="2">
        <v>200</v>
      </c>
      <c r="F116" s="2">
        <v>7.6200000000000004E-2</v>
      </c>
      <c r="G116" s="2">
        <v>5.1499999999999997E-2</v>
      </c>
      <c r="H116" s="4">
        <f t="shared" si="29"/>
        <v>0.32414698162729666</v>
      </c>
      <c r="I116" s="123" t="s">
        <v>86</v>
      </c>
      <c r="J116" s="2" t="s">
        <v>324</v>
      </c>
      <c r="K116" s="2" t="s">
        <v>261</v>
      </c>
      <c r="L116" s="2" t="s">
        <v>76</v>
      </c>
      <c r="M116" s="155"/>
      <c r="N116" s="155"/>
      <c r="O116" s="2">
        <v>1</v>
      </c>
      <c r="P116" s="6"/>
      <c r="Q116" s="132" t="str">
        <f t="shared" si="25"/>
        <v/>
      </c>
      <c r="R116" s="33" t="str">
        <f t="shared" si="27"/>
        <v/>
      </c>
      <c r="S116" s="132" t="str">
        <f t="shared" si="26"/>
        <v/>
      </c>
      <c r="T116" s="132" t="str">
        <f t="shared" si="28"/>
        <v/>
      </c>
      <c r="W116" s="13"/>
      <c r="CH116">
        <v>6</v>
      </c>
      <c r="CI116">
        <v>57</v>
      </c>
    </row>
    <row r="117" spans="1:87" x14ac:dyDescent="0.3">
      <c r="A117" s="2">
        <v>136</v>
      </c>
      <c r="B117" s="2" t="s">
        <v>84</v>
      </c>
      <c r="C117" s="2" t="s">
        <v>21</v>
      </c>
      <c r="D117" s="123" t="s">
        <v>325</v>
      </c>
      <c r="E117" s="2">
        <v>160</v>
      </c>
      <c r="F117" s="2">
        <v>8.3199999999999996E-2</v>
      </c>
      <c r="G117" s="2">
        <v>5.62E-2</v>
      </c>
      <c r="H117" s="4">
        <f t="shared" si="29"/>
        <v>0.32451923076923073</v>
      </c>
      <c r="I117" s="123" t="s">
        <v>86</v>
      </c>
      <c r="J117" s="2" t="s">
        <v>326</v>
      </c>
      <c r="K117" s="2" t="s">
        <v>261</v>
      </c>
      <c r="L117" s="2" t="s">
        <v>76</v>
      </c>
      <c r="M117" s="155"/>
      <c r="N117" s="155"/>
      <c r="O117" s="2">
        <v>1</v>
      </c>
      <c r="P117" s="6"/>
      <c r="Q117" s="132" t="str">
        <f t="shared" si="25"/>
        <v/>
      </c>
      <c r="R117" s="33" t="str">
        <f t="shared" si="27"/>
        <v/>
      </c>
      <c r="S117" s="132" t="str">
        <f t="shared" si="26"/>
        <v/>
      </c>
      <c r="T117" s="132" t="str">
        <f t="shared" si="28"/>
        <v/>
      </c>
      <c r="W117" s="13"/>
      <c r="CH117">
        <v>1</v>
      </c>
      <c r="CI117">
        <v>85</v>
      </c>
    </row>
    <row r="118" spans="1:87" x14ac:dyDescent="0.3">
      <c r="A118" s="2">
        <v>134</v>
      </c>
      <c r="B118" s="2" t="s">
        <v>84</v>
      </c>
      <c r="C118" s="2" t="s">
        <v>21</v>
      </c>
      <c r="D118" s="123" t="s">
        <v>327</v>
      </c>
      <c r="E118" s="2">
        <v>160</v>
      </c>
      <c r="F118" s="2">
        <v>6.93E-2</v>
      </c>
      <c r="G118" s="2">
        <v>4.3400000000000001E-2</v>
      </c>
      <c r="H118" s="4">
        <f t="shared" si="29"/>
        <v>0.3737373737373737</v>
      </c>
      <c r="I118" s="123" t="s">
        <v>86</v>
      </c>
      <c r="J118" s="2" t="s">
        <v>320</v>
      </c>
      <c r="K118" s="2" t="s">
        <v>261</v>
      </c>
      <c r="L118" s="2" t="s">
        <v>76</v>
      </c>
      <c r="M118" s="155"/>
      <c r="N118" s="155"/>
      <c r="O118" s="2">
        <v>1</v>
      </c>
      <c r="P118" s="6"/>
      <c r="Q118" s="132" t="str">
        <f t="shared" si="25"/>
        <v/>
      </c>
      <c r="R118" s="33" t="str">
        <f t="shared" si="27"/>
        <v/>
      </c>
      <c r="S118" s="132" t="str">
        <f t="shared" si="26"/>
        <v/>
      </c>
      <c r="T118" s="132" t="str">
        <f t="shared" si="28"/>
        <v/>
      </c>
      <c r="W118" s="13"/>
      <c r="CH118">
        <v>3</v>
      </c>
      <c r="CI118">
        <v>65</v>
      </c>
    </row>
    <row r="119" spans="1:87" x14ac:dyDescent="0.3">
      <c r="A119" s="2">
        <v>101</v>
      </c>
      <c r="B119" s="23" t="s">
        <v>0</v>
      </c>
      <c r="C119" s="2" t="s">
        <v>21</v>
      </c>
      <c r="D119" s="2" t="s">
        <v>328</v>
      </c>
      <c r="E119" s="2">
        <v>60</v>
      </c>
      <c r="F119" s="2">
        <v>7.1199999999999999E-2</v>
      </c>
      <c r="G119" s="2">
        <v>6.0499999999999998E-2</v>
      </c>
      <c r="H119" s="4">
        <f t="shared" si="29"/>
        <v>0.1502808988764045</v>
      </c>
      <c r="I119" s="2" t="s">
        <v>73</v>
      </c>
      <c r="J119" s="2" t="s">
        <v>329</v>
      </c>
      <c r="K119" s="2"/>
      <c r="L119" s="2"/>
      <c r="M119" s="155"/>
      <c r="N119" s="155"/>
      <c r="O119" s="2">
        <v>1</v>
      </c>
      <c r="P119" s="6">
        <v>85</v>
      </c>
      <c r="Q119" s="132">
        <f t="shared" si="25"/>
        <v>5.6470588235294112</v>
      </c>
      <c r="R119" s="33">
        <f t="shared" si="27"/>
        <v>85.000000000000014</v>
      </c>
      <c r="S119" s="132">
        <f t="shared" si="26"/>
        <v>10.625000000000002</v>
      </c>
      <c r="T119" s="132">
        <f t="shared" si="28"/>
        <v>10.625000000000002</v>
      </c>
      <c r="U119" s="35" t="s">
        <v>16</v>
      </c>
      <c r="W119" s="13"/>
      <c r="CH119">
        <v>3</v>
      </c>
      <c r="CI119">
        <v>73</v>
      </c>
    </row>
    <row r="120" spans="1:87" x14ac:dyDescent="0.3">
      <c r="A120" s="2">
        <v>38</v>
      </c>
      <c r="B120" s="2" t="s">
        <v>0</v>
      </c>
      <c r="C120" s="2" t="s">
        <v>21</v>
      </c>
      <c r="D120" s="2" t="s">
        <v>330</v>
      </c>
      <c r="E120" s="2">
        <v>160</v>
      </c>
      <c r="F120" s="2">
        <v>8.8999999999999996E-2</v>
      </c>
      <c r="G120" s="2">
        <v>7.4300000000000005E-2</v>
      </c>
      <c r="H120" s="4">
        <f t="shared" si="29"/>
        <v>0.16516853932584261</v>
      </c>
      <c r="I120" s="2" t="s">
        <v>73</v>
      </c>
      <c r="J120" s="2" t="s">
        <v>331</v>
      </c>
      <c r="K120" s="2" t="s">
        <v>222</v>
      </c>
      <c r="L120" s="2" t="s">
        <v>76</v>
      </c>
      <c r="M120" s="155"/>
      <c r="N120" s="155"/>
      <c r="O120" s="2">
        <v>1</v>
      </c>
      <c r="P120" s="6">
        <v>20</v>
      </c>
      <c r="Q120" s="132">
        <f t="shared" si="25"/>
        <v>9</v>
      </c>
      <c r="R120" s="33">
        <f t="shared" si="27"/>
        <v>20</v>
      </c>
      <c r="S120" s="132">
        <f t="shared" si="26"/>
        <v>2.5</v>
      </c>
      <c r="T120" s="132">
        <f t="shared" si="28"/>
        <v>2.5</v>
      </c>
      <c r="W120" s="13"/>
      <c r="Y120"/>
      <c r="CH120">
        <v>6</v>
      </c>
      <c r="CI120">
        <v>37</v>
      </c>
    </row>
    <row r="121" spans="1:87" x14ac:dyDescent="0.3">
      <c r="A121" s="23">
        <v>629</v>
      </c>
      <c r="B121" s="2" t="s">
        <v>0</v>
      </c>
      <c r="C121" s="2" t="s">
        <v>21</v>
      </c>
      <c r="D121" s="2" t="s">
        <v>332</v>
      </c>
      <c r="E121" s="2">
        <v>200</v>
      </c>
      <c r="F121" s="2">
        <v>6.2799999999999995E-2</v>
      </c>
      <c r="G121" s="2">
        <v>4.9299999999999997E-2</v>
      </c>
      <c r="H121" s="4">
        <f t="shared" si="29"/>
        <v>0.21496815286624202</v>
      </c>
      <c r="I121" s="2" t="s">
        <v>73</v>
      </c>
      <c r="J121" s="2" t="s">
        <v>333</v>
      </c>
      <c r="K121" s="2" t="s">
        <v>175</v>
      </c>
      <c r="L121" s="2" t="s">
        <v>96</v>
      </c>
      <c r="M121" s="155"/>
      <c r="N121" s="155"/>
      <c r="O121" s="2">
        <v>2</v>
      </c>
      <c r="P121" s="6">
        <v>26</v>
      </c>
      <c r="Q121" s="132">
        <f t="shared" si="25"/>
        <v>8.1</v>
      </c>
      <c r="R121" s="33">
        <f t="shared" si="27"/>
        <v>35.555555555555557</v>
      </c>
      <c r="S121" s="132">
        <f t="shared" si="26"/>
        <v>4.4444444444444446</v>
      </c>
      <c r="T121" s="132">
        <f t="shared" si="28"/>
        <v>4.4444444444444446</v>
      </c>
      <c r="W121" s="13"/>
      <c r="AD121" s="24">
        <v>45653</v>
      </c>
      <c r="AE121">
        <v>14</v>
      </c>
      <c r="AF121">
        <v>1.7</v>
      </c>
      <c r="AG121">
        <v>0.6</v>
      </c>
      <c r="AH121">
        <v>1.9</v>
      </c>
      <c r="AI121">
        <v>0.8</v>
      </c>
      <c r="AJ121">
        <v>1.2</v>
      </c>
      <c r="AK121">
        <v>0.2</v>
      </c>
      <c r="AL121">
        <v>0.15</v>
      </c>
      <c r="AM121">
        <v>0.55000000000000004</v>
      </c>
      <c r="AN121">
        <v>0.35</v>
      </c>
      <c r="AO121">
        <v>8.1</v>
      </c>
      <c r="AP121">
        <v>53</v>
      </c>
      <c r="AQ121">
        <v>125</v>
      </c>
      <c r="AR121">
        <v>125</v>
      </c>
      <c r="AS121">
        <v>116</v>
      </c>
      <c r="AT121">
        <v>52</v>
      </c>
      <c r="AU121">
        <v>20</v>
      </c>
      <c r="AV121">
        <v>40</v>
      </c>
      <c r="AW121">
        <v>20</v>
      </c>
      <c r="AX121">
        <v>70</v>
      </c>
      <c r="AY121">
        <v>270</v>
      </c>
      <c r="AZ121" t="s">
        <v>78</v>
      </c>
      <c r="BA121">
        <v>800</v>
      </c>
      <c r="BB121">
        <v>10</v>
      </c>
      <c r="CH121">
        <v>1</v>
      </c>
      <c r="CI121">
        <v>66</v>
      </c>
    </row>
    <row r="122" spans="1:87" x14ac:dyDescent="0.3">
      <c r="A122" s="2">
        <v>1877</v>
      </c>
      <c r="B122" s="2" t="s">
        <v>0</v>
      </c>
      <c r="C122" s="2" t="s">
        <v>21</v>
      </c>
      <c r="D122" s="2" t="s">
        <v>334</v>
      </c>
      <c r="E122" s="2">
        <v>200</v>
      </c>
      <c r="F122" s="2">
        <v>3.8699999999999998E-2</v>
      </c>
      <c r="G122" s="2">
        <v>2.24E-2</v>
      </c>
      <c r="H122" s="4">
        <f t="shared" si="29"/>
        <v>0.42118863049095606</v>
      </c>
      <c r="I122" s="2" t="s">
        <v>82</v>
      </c>
      <c r="J122" s="2" t="s">
        <v>335</v>
      </c>
      <c r="K122" s="2" t="s">
        <v>5</v>
      </c>
      <c r="L122" s="2" t="s">
        <v>6</v>
      </c>
      <c r="M122" s="155"/>
      <c r="N122" s="155"/>
      <c r="O122" s="2">
        <v>4</v>
      </c>
      <c r="P122" s="6">
        <v>45</v>
      </c>
      <c r="Q122" s="132">
        <f t="shared" si="25"/>
        <v>12.8</v>
      </c>
      <c r="R122" s="33">
        <f t="shared" si="27"/>
        <v>45</v>
      </c>
      <c r="S122" s="132">
        <f t="shared" si="26"/>
        <v>5.625</v>
      </c>
      <c r="T122" s="132">
        <f t="shared" si="28"/>
        <v>5.625</v>
      </c>
      <c r="W122" s="13"/>
      <c r="CH122">
        <v>5</v>
      </c>
      <c r="CI122">
        <v>67</v>
      </c>
    </row>
    <row r="123" spans="1:87" x14ac:dyDescent="0.3">
      <c r="A123" s="23">
        <v>1832</v>
      </c>
      <c r="B123" s="2" t="s">
        <v>0</v>
      </c>
      <c r="C123" s="2" t="s">
        <v>21</v>
      </c>
      <c r="D123" s="2" t="s">
        <v>336</v>
      </c>
      <c r="E123" s="2">
        <v>200</v>
      </c>
      <c r="F123" s="2">
        <v>4.3799999999999999E-2</v>
      </c>
      <c r="G123" s="2">
        <v>3.0800000000000001E-2</v>
      </c>
      <c r="H123" s="4">
        <f t="shared" si="29"/>
        <v>0.29680365296803651</v>
      </c>
      <c r="I123" s="2" t="s">
        <v>82</v>
      </c>
      <c r="J123" s="2" t="s">
        <v>337</v>
      </c>
      <c r="K123" s="2" t="s">
        <v>305</v>
      </c>
      <c r="L123" s="2" t="s">
        <v>96</v>
      </c>
      <c r="M123" s="155">
        <v>2</v>
      </c>
      <c r="N123" s="155">
        <v>100</v>
      </c>
      <c r="O123" s="2">
        <v>2</v>
      </c>
      <c r="P123" s="6">
        <v>43</v>
      </c>
      <c r="Q123" s="132">
        <f t="shared" si="25"/>
        <v>6.7</v>
      </c>
      <c r="R123" s="33">
        <f t="shared" si="27"/>
        <v>42.985074626865668</v>
      </c>
      <c r="S123" s="132">
        <f t="shared" si="26"/>
        <v>5.3731343283582085</v>
      </c>
      <c r="T123" s="132">
        <f t="shared" si="28"/>
        <v>5.3731343283582085</v>
      </c>
      <c r="W123" s="13"/>
      <c r="Z123" t="s">
        <v>7</v>
      </c>
      <c r="AD123" s="24">
        <v>45372</v>
      </c>
      <c r="AE123">
        <v>13</v>
      </c>
      <c r="AF123">
        <v>1.5</v>
      </c>
      <c r="AG123">
        <v>0.3</v>
      </c>
      <c r="AH123">
        <v>1.5</v>
      </c>
      <c r="AI123">
        <v>0.3</v>
      </c>
      <c r="AJ123">
        <v>0.8</v>
      </c>
      <c r="AK123">
        <v>0.33</v>
      </c>
      <c r="AL123">
        <v>0.3</v>
      </c>
      <c r="AM123">
        <v>0.9</v>
      </c>
      <c r="AN123">
        <v>0.45</v>
      </c>
      <c r="AO123">
        <v>6.7</v>
      </c>
      <c r="AP123">
        <v>54</v>
      </c>
      <c r="AQ123">
        <v>108</v>
      </c>
      <c r="AR123">
        <v>108</v>
      </c>
      <c r="AS123">
        <v>108</v>
      </c>
      <c r="AT123">
        <v>45</v>
      </c>
      <c r="AU123">
        <v>20</v>
      </c>
      <c r="AV123">
        <v>40</v>
      </c>
      <c r="AW123">
        <v>20</v>
      </c>
      <c r="AX123">
        <v>100</v>
      </c>
      <c r="AY123">
        <v>270</v>
      </c>
      <c r="AZ123" t="s">
        <v>78</v>
      </c>
      <c r="BA123">
        <v>700</v>
      </c>
      <c r="BB123">
        <v>10</v>
      </c>
      <c r="CH123">
        <v>5</v>
      </c>
      <c r="CI123">
        <v>43</v>
      </c>
    </row>
    <row r="124" spans="1:87" x14ac:dyDescent="0.3">
      <c r="A124" s="2">
        <v>1830</v>
      </c>
      <c r="B124" s="2" t="s">
        <v>0</v>
      </c>
      <c r="C124" s="2" t="s">
        <v>21</v>
      </c>
      <c r="D124" s="2" t="s">
        <v>338</v>
      </c>
      <c r="E124" s="2">
        <v>200</v>
      </c>
      <c r="F124" s="2">
        <v>3.2899999999999999E-2</v>
      </c>
      <c r="G124" s="2">
        <v>2.35E-2</v>
      </c>
      <c r="H124" s="4">
        <f t="shared" si="29"/>
        <v>0.2857142857142857</v>
      </c>
      <c r="I124" s="2" t="s">
        <v>82</v>
      </c>
      <c r="J124" s="2" t="s">
        <v>339</v>
      </c>
      <c r="K124" s="2" t="s">
        <v>5</v>
      </c>
      <c r="L124" s="2" t="s">
        <v>6</v>
      </c>
      <c r="M124" s="155"/>
      <c r="N124" s="155"/>
      <c r="O124" s="2">
        <v>2</v>
      </c>
      <c r="P124" s="6">
        <v>60</v>
      </c>
      <c r="Q124" s="132">
        <f t="shared" si="25"/>
        <v>4.8</v>
      </c>
      <c r="R124" s="33">
        <f t="shared" si="27"/>
        <v>60</v>
      </c>
      <c r="S124" s="132">
        <f t="shared" si="26"/>
        <v>7.5</v>
      </c>
      <c r="T124" s="132">
        <f t="shared" si="28"/>
        <v>7.5</v>
      </c>
      <c r="W124" s="13"/>
      <c r="CH124">
        <v>4</v>
      </c>
      <c r="CI124">
        <v>47</v>
      </c>
    </row>
    <row r="125" spans="1:87" x14ac:dyDescent="0.3">
      <c r="A125" s="23">
        <v>1831</v>
      </c>
      <c r="B125" s="2" t="s">
        <v>0</v>
      </c>
      <c r="C125" s="2" t="s">
        <v>21</v>
      </c>
      <c r="D125" s="2" t="s">
        <v>340</v>
      </c>
      <c r="E125" s="2">
        <v>200</v>
      </c>
      <c r="F125" s="2">
        <v>3.8399999999999997E-2</v>
      </c>
      <c r="G125" s="2">
        <v>2.7199999999999998E-2</v>
      </c>
      <c r="H125" s="4">
        <f t="shared" si="29"/>
        <v>0.29166666666666663</v>
      </c>
      <c r="I125" s="2" t="s">
        <v>82</v>
      </c>
      <c r="J125" s="2" t="s">
        <v>341</v>
      </c>
      <c r="K125" s="2" t="s">
        <v>5</v>
      </c>
      <c r="L125" s="2" t="s">
        <v>6</v>
      </c>
      <c r="M125" s="155"/>
      <c r="N125" s="155"/>
      <c r="O125" s="2">
        <v>2</v>
      </c>
      <c r="P125" s="6">
        <v>58</v>
      </c>
      <c r="Q125" s="132">
        <f t="shared" si="25"/>
        <v>5.4</v>
      </c>
      <c r="R125" s="33">
        <f t="shared" si="27"/>
        <v>53.333333333333329</v>
      </c>
      <c r="S125" s="132">
        <f t="shared" si="26"/>
        <v>6.6666666666666661</v>
      </c>
      <c r="T125" s="132">
        <f t="shared" si="28"/>
        <v>6.6666666666666661</v>
      </c>
      <c r="W125" s="13"/>
      <c r="Z125" t="s">
        <v>7</v>
      </c>
      <c r="AD125" s="22">
        <v>45390</v>
      </c>
      <c r="AE125">
        <v>13</v>
      </c>
      <c r="AF125">
        <v>1.2</v>
      </c>
      <c r="AG125">
        <v>0.1</v>
      </c>
      <c r="AH125">
        <v>1.2</v>
      </c>
      <c r="AI125">
        <v>0.1</v>
      </c>
      <c r="AJ125">
        <v>1.2</v>
      </c>
      <c r="AK125">
        <v>0.18</v>
      </c>
      <c r="AL125">
        <v>0.25</v>
      </c>
      <c r="AM125">
        <v>0.6</v>
      </c>
      <c r="AN125">
        <v>0.25</v>
      </c>
      <c r="AO125">
        <v>5.4</v>
      </c>
      <c r="AP125">
        <v>35</v>
      </c>
      <c r="AQ125">
        <v>101</v>
      </c>
      <c r="AR125">
        <v>102</v>
      </c>
      <c r="AS125">
        <v>107</v>
      </c>
      <c r="AT125">
        <v>48</v>
      </c>
      <c r="AU125">
        <v>20</v>
      </c>
      <c r="AV125">
        <v>40</v>
      </c>
      <c r="AW125">
        <v>20</v>
      </c>
      <c r="AX125">
        <v>100</v>
      </c>
      <c r="AY125">
        <v>263</v>
      </c>
      <c r="AZ125" t="s">
        <v>78</v>
      </c>
      <c r="BA125">
        <v>400</v>
      </c>
      <c r="BB125">
        <v>10</v>
      </c>
      <c r="CH125">
        <v>6</v>
      </c>
      <c r="CI125">
        <v>50</v>
      </c>
    </row>
    <row r="126" spans="1:87" x14ac:dyDescent="0.3">
      <c r="A126" s="2">
        <v>1835</v>
      </c>
      <c r="B126" s="23" t="s">
        <v>0</v>
      </c>
      <c r="C126" s="2" t="s">
        <v>21</v>
      </c>
      <c r="D126" s="2" t="s">
        <v>342</v>
      </c>
      <c r="E126" s="2">
        <v>200</v>
      </c>
      <c r="F126" s="2">
        <v>5.1999999999999998E-2</v>
      </c>
      <c r="G126" s="2">
        <v>3.6200000000000003E-2</v>
      </c>
      <c r="H126" s="4">
        <f t="shared" si="29"/>
        <v>0.30384615384615377</v>
      </c>
      <c r="I126" s="2" t="s">
        <v>82</v>
      </c>
      <c r="J126" s="2" t="s">
        <v>343</v>
      </c>
      <c r="K126" s="2" t="s">
        <v>305</v>
      </c>
      <c r="L126" s="2" t="s">
        <v>96</v>
      </c>
      <c r="M126" s="155"/>
      <c r="N126" s="155"/>
      <c r="O126" s="2">
        <v>2</v>
      </c>
      <c r="P126" s="6">
        <v>40</v>
      </c>
      <c r="Q126" s="132">
        <v>6.7</v>
      </c>
      <c r="R126" s="33">
        <f t="shared" si="27"/>
        <v>42.985074626865668</v>
      </c>
      <c r="S126" s="132">
        <f t="shared" si="26"/>
        <v>5.3731343283582085</v>
      </c>
      <c r="T126" s="132">
        <v>6</v>
      </c>
      <c r="W126" s="13"/>
      <c r="CH126">
        <v>2</v>
      </c>
      <c r="CI126">
        <v>89</v>
      </c>
    </row>
    <row r="127" spans="1:87" x14ac:dyDescent="0.3">
      <c r="A127" s="2">
        <v>1833</v>
      </c>
      <c r="B127" s="2" t="s">
        <v>0</v>
      </c>
      <c r="C127" s="2" t="s">
        <v>21</v>
      </c>
      <c r="D127" s="2" t="s">
        <v>344</v>
      </c>
      <c r="E127" s="2">
        <v>200</v>
      </c>
      <c r="F127" s="2">
        <v>3.9E-2</v>
      </c>
      <c r="G127" s="2">
        <v>2.58E-2</v>
      </c>
      <c r="H127" s="4">
        <f t="shared" si="29"/>
        <v>0.33846153846153848</v>
      </c>
      <c r="I127" s="2" t="s">
        <v>82</v>
      </c>
      <c r="J127" s="2" t="s">
        <v>345</v>
      </c>
      <c r="K127" s="2" t="s">
        <v>5</v>
      </c>
      <c r="L127" s="2" t="s">
        <v>6</v>
      </c>
      <c r="M127" s="155"/>
      <c r="N127" s="155"/>
      <c r="O127" s="2">
        <v>2</v>
      </c>
      <c r="P127" s="6">
        <v>53</v>
      </c>
      <c r="Q127" s="132">
        <f t="shared" ref="Q127:Q160" si="30">IFERROR(IF(AO127&gt;1,AO127,60*60*8*O127/P127/E127),"")</f>
        <v>5.433962264150944</v>
      </c>
      <c r="R127" s="33">
        <f t="shared" si="27"/>
        <v>52.999999999999993</v>
      </c>
      <c r="S127" s="132">
        <f t="shared" si="26"/>
        <v>6.6249999999999991</v>
      </c>
      <c r="T127" s="132">
        <f t="shared" ref="T127:T160" si="31">IFERROR(IF(R127&gt;2,S127,""),"")</f>
        <v>6.6249999999999991</v>
      </c>
      <c r="W127" s="13"/>
      <c r="CH127">
        <v>1</v>
      </c>
      <c r="CI127">
        <v>60</v>
      </c>
    </row>
    <row r="128" spans="1:87" x14ac:dyDescent="0.3">
      <c r="A128" s="2">
        <v>1834</v>
      </c>
      <c r="B128" s="2" t="s">
        <v>0</v>
      </c>
      <c r="C128" s="2" t="s">
        <v>21</v>
      </c>
      <c r="D128" s="2" t="s">
        <v>346</v>
      </c>
      <c r="E128" s="2">
        <v>200</v>
      </c>
      <c r="F128" s="2">
        <v>4.5499999999999999E-2</v>
      </c>
      <c r="G128" s="2">
        <v>3.2500000000000001E-2</v>
      </c>
      <c r="H128" s="4">
        <f t="shared" si="29"/>
        <v>0.2857142857142857</v>
      </c>
      <c r="I128" s="2" t="s">
        <v>82</v>
      </c>
      <c r="J128" s="2" t="s">
        <v>347</v>
      </c>
      <c r="K128" s="2" t="s">
        <v>5</v>
      </c>
      <c r="L128" s="2" t="s">
        <v>6</v>
      </c>
      <c r="M128" s="155"/>
      <c r="N128" s="155"/>
      <c r="O128" s="2">
        <v>2</v>
      </c>
      <c r="P128" s="6">
        <v>45</v>
      </c>
      <c r="Q128" s="132">
        <f t="shared" si="30"/>
        <v>6.4</v>
      </c>
      <c r="R128" s="33">
        <f t="shared" si="27"/>
        <v>45</v>
      </c>
      <c r="S128" s="132">
        <f t="shared" si="26"/>
        <v>5.625</v>
      </c>
      <c r="T128" s="132">
        <f t="shared" si="31"/>
        <v>5.625</v>
      </c>
      <c r="W128" s="13"/>
      <c r="CH128">
        <v>6</v>
      </c>
      <c r="CI128">
        <v>37</v>
      </c>
    </row>
    <row r="129" spans="1:87" x14ac:dyDescent="0.3">
      <c r="A129" s="2">
        <v>1858</v>
      </c>
      <c r="B129" s="23" t="s">
        <v>0</v>
      </c>
      <c r="C129" s="2" t="s">
        <v>21</v>
      </c>
      <c r="D129" s="2" t="s">
        <v>348</v>
      </c>
      <c r="E129" s="2">
        <v>200</v>
      </c>
      <c r="F129" s="2">
        <v>8.8200000000000001E-2</v>
      </c>
      <c r="G129" s="2">
        <v>5.5599999999999997E-2</v>
      </c>
      <c r="H129" s="4">
        <f t="shared" si="29"/>
        <v>0.36961451247165539</v>
      </c>
      <c r="I129" s="2" t="s">
        <v>82</v>
      </c>
      <c r="J129" s="2" t="s">
        <v>349</v>
      </c>
      <c r="K129" s="2" t="s">
        <v>261</v>
      </c>
      <c r="L129" s="2" t="s">
        <v>76</v>
      </c>
      <c r="M129" s="155"/>
      <c r="N129" s="155"/>
      <c r="O129" s="2">
        <v>1</v>
      </c>
      <c r="P129" s="6">
        <v>19</v>
      </c>
      <c r="Q129" s="132">
        <f t="shared" si="30"/>
        <v>7.5789473684210531</v>
      </c>
      <c r="R129" s="33">
        <f t="shared" si="27"/>
        <v>19</v>
      </c>
      <c r="S129" s="132">
        <f t="shared" si="26"/>
        <v>2.375</v>
      </c>
      <c r="T129" s="132">
        <f t="shared" si="31"/>
        <v>2.375</v>
      </c>
      <c r="W129" s="13"/>
      <c r="CH129">
        <v>5</v>
      </c>
      <c r="CI129">
        <v>34</v>
      </c>
    </row>
    <row r="130" spans="1:87" x14ac:dyDescent="0.3">
      <c r="A130" s="2">
        <v>1857</v>
      </c>
      <c r="B130" s="2" t="s">
        <v>0</v>
      </c>
      <c r="C130" s="2" t="s">
        <v>21</v>
      </c>
      <c r="D130" s="2" t="s">
        <v>350</v>
      </c>
      <c r="E130" s="2">
        <v>200</v>
      </c>
      <c r="F130" s="2">
        <v>7.0599999999999996E-2</v>
      </c>
      <c r="G130" s="2">
        <v>4.53E-2</v>
      </c>
      <c r="H130" s="4">
        <f t="shared" si="29"/>
        <v>0.35835694050991496</v>
      </c>
      <c r="I130" s="2" t="s">
        <v>82</v>
      </c>
      <c r="J130" s="2" t="s">
        <v>351</v>
      </c>
      <c r="K130" s="2" t="s">
        <v>261</v>
      </c>
      <c r="L130" s="2" t="s">
        <v>76</v>
      </c>
      <c r="M130" s="155"/>
      <c r="N130" s="155"/>
      <c r="O130" s="2">
        <v>1</v>
      </c>
      <c r="P130" s="6">
        <v>22</v>
      </c>
      <c r="Q130" s="132">
        <f t="shared" si="30"/>
        <v>6.545454545454545</v>
      </c>
      <c r="R130" s="33">
        <f t="shared" si="27"/>
        <v>22</v>
      </c>
      <c r="S130" s="132">
        <f t="shared" si="26"/>
        <v>2.75</v>
      </c>
      <c r="T130" s="132">
        <f t="shared" si="31"/>
        <v>2.75</v>
      </c>
      <c r="W130" s="13"/>
      <c r="CH130">
        <v>2</v>
      </c>
      <c r="CI130">
        <v>89</v>
      </c>
    </row>
    <row r="131" spans="1:87" x14ac:dyDescent="0.3">
      <c r="A131" s="2">
        <v>2020</v>
      </c>
      <c r="B131" s="2" t="s">
        <v>0</v>
      </c>
      <c r="C131" s="2" t="s">
        <v>21</v>
      </c>
      <c r="D131" s="2" t="s">
        <v>352</v>
      </c>
      <c r="E131" s="2">
        <v>200</v>
      </c>
      <c r="F131" s="2">
        <v>5.0599999999999999E-2</v>
      </c>
      <c r="G131" s="2">
        <v>4.2299999999999997E-2</v>
      </c>
      <c r="H131" s="4">
        <f t="shared" si="29"/>
        <v>0.16403162055335974</v>
      </c>
      <c r="I131" s="2" t="s">
        <v>82</v>
      </c>
      <c r="J131" s="2" t="s">
        <v>189</v>
      </c>
      <c r="K131" s="2" t="s">
        <v>5</v>
      </c>
      <c r="L131" s="2" t="s">
        <v>6</v>
      </c>
      <c r="M131" s="155"/>
      <c r="N131" s="155"/>
      <c r="O131" s="2">
        <v>2</v>
      </c>
      <c r="P131" s="6">
        <v>55</v>
      </c>
      <c r="Q131" s="132">
        <f t="shared" si="30"/>
        <v>5.2363636363636363</v>
      </c>
      <c r="R131" s="33">
        <f t="shared" si="27"/>
        <v>55</v>
      </c>
      <c r="S131" s="132">
        <f t="shared" si="26"/>
        <v>6.875</v>
      </c>
      <c r="T131" s="132">
        <f t="shared" si="31"/>
        <v>6.875</v>
      </c>
      <c r="W131" s="13"/>
      <c r="AI131" s="20"/>
      <c r="CH131">
        <v>1</v>
      </c>
      <c r="CI131">
        <v>81</v>
      </c>
    </row>
    <row r="132" spans="1:87" x14ac:dyDescent="0.3">
      <c r="A132" s="2">
        <v>1790</v>
      </c>
      <c r="B132" s="2" t="s">
        <v>84</v>
      </c>
      <c r="C132" s="2" t="s">
        <v>21</v>
      </c>
      <c r="D132" s="123" t="s">
        <v>353</v>
      </c>
      <c r="E132" s="2">
        <v>1800</v>
      </c>
      <c r="F132" s="2">
        <v>7.9000000000000008E-3</v>
      </c>
      <c r="G132" s="2">
        <v>6.1999999999999998E-3</v>
      </c>
      <c r="H132" s="4">
        <f t="shared" si="29"/>
        <v>0.21518987341772161</v>
      </c>
      <c r="I132" s="123" t="s">
        <v>86</v>
      </c>
      <c r="J132" s="2" t="s">
        <v>285</v>
      </c>
      <c r="K132" s="2" t="s">
        <v>222</v>
      </c>
      <c r="L132" s="2" t="s">
        <v>76</v>
      </c>
      <c r="M132" s="155">
        <v>12</v>
      </c>
      <c r="N132" s="155">
        <v>150</v>
      </c>
      <c r="O132" s="2">
        <v>8</v>
      </c>
      <c r="P132" s="6"/>
      <c r="Q132" s="132" t="str">
        <f t="shared" si="30"/>
        <v/>
      </c>
      <c r="R132" s="33" t="str">
        <f t="shared" si="27"/>
        <v/>
      </c>
      <c r="S132" s="132" t="str">
        <f t="shared" ref="S132:S159" si="32">IFERROR(R132/8,"")</f>
        <v/>
      </c>
      <c r="T132" s="132" t="str">
        <f t="shared" si="31"/>
        <v/>
      </c>
      <c r="W132" s="13"/>
      <c r="CH132">
        <v>2</v>
      </c>
      <c r="CI132">
        <v>41</v>
      </c>
    </row>
    <row r="133" spans="1:87" x14ac:dyDescent="0.3">
      <c r="A133" s="2">
        <v>159</v>
      </c>
      <c r="B133" s="2" t="s">
        <v>0</v>
      </c>
      <c r="C133" s="2" t="s">
        <v>21</v>
      </c>
      <c r="D133" s="2" t="s">
        <v>354</v>
      </c>
      <c r="E133" s="2">
        <v>1800</v>
      </c>
      <c r="F133" s="2">
        <v>0.01</v>
      </c>
      <c r="G133" s="2">
        <v>8.0999999999999996E-3</v>
      </c>
      <c r="H133" s="4">
        <f t="shared" si="29"/>
        <v>0.19000000000000006</v>
      </c>
      <c r="I133" s="2" t="s">
        <v>82</v>
      </c>
      <c r="J133" s="2" t="s">
        <v>174</v>
      </c>
      <c r="K133" s="2" t="s">
        <v>222</v>
      </c>
      <c r="L133" s="2" t="s">
        <v>76</v>
      </c>
      <c r="M133" s="155">
        <v>12</v>
      </c>
      <c r="N133" s="155">
        <v>150</v>
      </c>
      <c r="O133" s="2">
        <v>8</v>
      </c>
      <c r="P133" s="6">
        <v>20</v>
      </c>
      <c r="Q133" s="132">
        <f t="shared" si="30"/>
        <v>6.4</v>
      </c>
      <c r="R133" s="33">
        <f t="shared" si="27"/>
        <v>20</v>
      </c>
      <c r="S133" s="132">
        <f t="shared" si="32"/>
        <v>2.5</v>
      </c>
      <c r="T133" s="132">
        <f t="shared" si="31"/>
        <v>2.5</v>
      </c>
      <c r="W133" s="13"/>
      <c r="CH133">
        <v>1</v>
      </c>
      <c r="CI133">
        <v>76</v>
      </c>
    </row>
    <row r="134" spans="1:87" x14ac:dyDescent="0.3">
      <c r="A134" s="23">
        <v>8</v>
      </c>
      <c r="B134" s="2" t="s">
        <v>0</v>
      </c>
      <c r="C134" s="2" t="s">
        <v>21</v>
      </c>
      <c r="D134" s="2" t="s">
        <v>355</v>
      </c>
      <c r="E134" s="2">
        <v>850</v>
      </c>
      <c r="F134" s="2">
        <v>9.4999999999999998E-3</v>
      </c>
      <c r="G134" s="2">
        <v>7.4000000000000003E-3</v>
      </c>
      <c r="H134" s="4">
        <f t="shared" si="29"/>
        <v>0.22105263157894731</v>
      </c>
      <c r="I134" s="2" t="s">
        <v>73</v>
      </c>
      <c r="J134" s="2" t="s">
        <v>356</v>
      </c>
      <c r="K134" s="2" t="s">
        <v>357</v>
      </c>
      <c r="L134" s="2" t="s">
        <v>6</v>
      </c>
      <c r="M134" s="155" t="s">
        <v>358</v>
      </c>
      <c r="N134" s="164"/>
      <c r="O134" s="2">
        <v>6</v>
      </c>
      <c r="P134" s="6">
        <v>25</v>
      </c>
      <c r="Q134" s="132">
        <f t="shared" si="30"/>
        <v>5.3</v>
      </c>
      <c r="R134" s="33">
        <f t="shared" si="27"/>
        <v>38.357380688124309</v>
      </c>
      <c r="S134" s="132">
        <f t="shared" si="32"/>
        <v>4.7946725860155386</v>
      </c>
      <c r="T134" s="132">
        <f t="shared" si="31"/>
        <v>4.7946725860155386</v>
      </c>
      <c r="W134" s="13"/>
      <c r="Y134"/>
      <c r="Z134" t="s">
        <v>359</v>
      </c>
      <c r="AD134" s="24">
        <v>45421</v>
      </c>
      <c r="AE134">
        <v>15</v>
      </c>
      <c r="AF134">
        <v>1.4</v>
      </c>
      <c r="AG134">
        <v>0.3</v>
      </c>
      <c r="AH134">
        <v>1.4</v>
      </c>
      <c r="AI134">
        <v>0.3</v>
      </c>
      <c r="AJ134">
        <v>0.5</v>
      </c>
      <c r="AK134">
        <v>0.18</v>
      </c>
      <c r="AL134">
        <v>0.15</v>
      </c>
      <c r="AM134">
        <v>0.4</v>
      </c>
      <c r="AN134">
        <v>0.25</v>
      </c>
      <c r="AO134">
        <v>5.3</v>
      </c>
      <c r="AP134">
        <v>48</v>
      </c>
      <c r="AQ134">
        <v>102</v>
      </c>
      <c r="AR134">
        <v>102</v>
      </c>
      <c r="AS134">
        <v>102</v>
      </c>
      <c r="AT134">
        <v>40</v>
      </c>
      <c r="AU134">
        <v>20</v>
      </c>
      <c r="AV134">
        <v>40</v>
      </c>
      <c r="AW134">
        <v>20</v>
      </c>
      <c r="AX134">
        <v>100</v>
      </c>
      <c r="AY134">
        <v>338</v>
      </c>
      <c r="AZ134" t="s">
        <v>78</v>
      </c>
      <c r="BA134">
        <v>1000</v>
      </c>
      <c r="BB134">
        <v>10</v>
      </c>
      <c r="CH134">
        <v>1</v>
      </c>
      <c r="CI134">
        <v>90</v>
      </c>
    </row>
    <row r="135" spans="1:87" x14ac:dyDescent="0.3">
      <c r="A135" s="2">
        <v>287</v>
      </c>
      <c r="B135" s="2" t="s">
        <v>0</v>
      </c>
      <c r="C135" s="2" t="s">
        <v>21</v>
      </c>
      <c r="D135" s="2" t="s">
        <v>360</v>
      </c>
      <c r="E135" s="2">
        <v>500</v>
      </c>
      <c r="F135" s="2">
        <v>2.4500000000000001E-2</v>
      </c>
      <c r="G135" s="2">
        <v>2.0400000000000001E-2</v>
      </c>
      <c r="H135" s="4">
        <f t="shared" si="29"/>
        <v>0.16734693877551018</v>
      </c>
      <c r="I135" s="2" t="s">
        <v>82</v>
      </c>
      <c r="J135" s="2" t="s">
        <v>361</v>
      </c>
      <c r="K135" s="2" t="s">
        <v>175</v>
      </c>
      <c r="L135" s="2" t="s">
        <v>96</v>
      </c>
      <c r="M135" s="155"/>
      <c r="N135" s="155"/>
      <c r="O135" s="2">
        <v>2</v>
      </c>
      <c r="P135" s="6">
        <v>21</v>
      </c>
      <c r="Q135" s="132">
        <f t="shared" si="30"/>
        <v>5.4857142857142858</v>
      </c>
      <c r="R135" s="33">
        <f t="shared" si="27"/>
        <v>21</v>
      </c>
      <c r="S135" s="132">
        <f t="shared" si="32"/>
        <v>2.625</v>
      </c>
      <c r="T135" s="132">
        <f t="shared" si="31"/>
        <v>2.625</v>
      </c>
      <c r="W135" s="13"/>
      <c r="CH135">
        <v>6</v>
      </c>
      <c r="CI135">
        <v>84</v>
      </c>
    </row>
    <row r="136" spans="1:87" x14ac:dyDescent="0.3">
      <c r="A136" s="2">
        <v>292</v>
      </c>
      <c r="B136" s="2" t="s">
        <v>84</v>
      </c>
      <c r="C136" s="2" t="s">
        <v>21</v>
      </c>
      <c r="D136" s="123" t="s">
        <v>362</v>
      </c>
      <c r="E136" s="2">
        <v>400</v>
      </c>
      <c r="F136" s="2">
        <v>2.8299999999999999E-2</v>
      </c>
      <c r="G136" s="2">
        <v>2.3099999999999999E-2</v>
      </c>
      <c r="H136" s="4">
        <f t="shared" si="29"/>
        <v>0.18374558303886926</v>
      </c>
      <c r="I136" s="123" t="s">
        <v>86</v>
      </c>
      <c r="J136" s="2" t="s">
        <v>363</v>
      </c>
      <c r="K136" s="2" t="s">
        <v>222</v>
      </c>
      <c r="L136" s="2" t="s">
        <v>76</v>
      </c>
      <c r="M136" s="155"/>
      <c r="N136" s="155"/>
      <c r="O136" s="2">
        <v>2</v>
      </c>
      <c r="P136" s="6"/>
      <c r="Q136" s="132" t="str">
        <f t="shared" si="30"/>
        <v/>
      </c>
      <c r="R136" s="33" t="str">
        <f t="shared" ref="R136:R159" si="33">IFERROR(60*60*8*O136/E136/Q136,"")</f>
        <v/>
      </c>
      <c r="S136" s="132" t="str">
        <f t="shared" si="32"/>
        <v/>
      </c>
      <c r="T136" s="132" t="str">
        <f t="shared" si="31"/>
        <v/>
      </c>
      <c r="W136" s="13"/>
      <c r="CH136">
        <v>5</v>
      </c>
      <c r="CI136">
        <v>63</v>
      </c>
    </row>
    <row r="137" spans="1:87" x14ac:dyDescent="0.3">
      <c r="A137" s="2">
        <v>336</v>
      </c>
      <c r="B137" s="2" t="s">
        <v>84</v>
      </c>
      <c r="C137" s="2" t="s">
        <v>21</v>
      </c>
      <c r="D137" s="123" t="s">
        <v>364</v>
      </c>
      <c r="E137" s="2">
        <v>2400</v>
      </c>
      <c r="F137" s="2">
        <v>6.8999999999999999E-3</v>
      </c>
      <c r="G137" s="2">
        <v>5.4000000000000003E-3</v>
      </c>
      <c r="H137" s="4">
        <f t="shared" si="29"/>
        <v>0.21739130434782603</v>
      </c>
      <c r="I137" s="123" t="s">
        <v>86</v>
      </c>
      <c r="J137" s="2" t="s">
        <v>216</v>
      </c>
      <c r="K137" s="2" t="s">
        <v>222</v>
      </c>
      <c r="L137" s="2" t="s">
        <v>76</v>
      </c>
      <c r="M137" s="155"/>
      <c r="N137" s="155"/>
      <c r="O137" s="2">
        <v>12</v>
      </c>
      <c r="P137" s="6">
        <v>24</v>
      </c>
      <c r="Q137" s="132">
        <f t="shared" si="30"/>
        <v>6</v>
      </c>
      <c r="R137" s="33">
        <f t="shared" si="33"/>
        <v>24</v>
      </c>
      <c r="S137" s="132">
        <f t="shared" si="32"/>
        <v>3</v>
      </c>
      <c r="T137" s="132">
        <f t="shared" si="31"/>
        <v>3</v>
      </c>
      <c r="W137" s="13"/>
      <c r="CH137">
        <v>2</v>
      </c>
      <c r="CI137">
        <v>73</v>
      </c>
    </row>
    <row r="138" spans="1:87" x14ac:dyDescent="0.3">
      <c r="A138" s="2">
        <v>388</v>
      </c>
      <c r="B138" s="2" t="s">
        <v>84</v>
      </c>
      <c r="C138" s="2" t="s">
        <v>21</v>
      </c>
      <c r="D138" s="2" t="s">
        <v>365</v>
      </c>
      <c r="E138" s="2">
        <v>2400</v>
      </c>
      <c r="F138" s="2">
        <v>8.3000000000000001E-3</v>
      </c>
      <c r="G138" s="2">
        <v>7.3000000000000001E-3</v>
      </c>
      <c r="H138" s="4">
        <f t="shared" si="29"/>
        <v>0.12048192771084337</v>
      </c>
      <c r="I138" s="2" t="s">
        <v>98</v>
      </c>
      <c r="J138" s="2" t="s">
        <v>99</v>
      </c>
      <c r="K138" s="2" t="s">
        <v>105</v>
      </c>
      <c r="L138" s="2" t="s">
        <v>76</v>
      </c>
      <c r="M138" s="155"/>
      <c r="N138" s="155"/>
      <c r="O138" s="2">
        <v>12</v>
      </c>
      <c r="P138" s="6"/>
      <c r="Q138" s="132" t="str">
        <f t="shared" si="30"/>
        <v/>
      </c>
      <c r="R138" s="33" t="str">
        <f t="shared" si="33"/>
        <v/>
      </c>
      <c r="S138" s="132" t="str">
        <f t="shared" si="32"/>
        <v/>
      </c>
      <c r="T138" s="132" t="str">
        <f t="shared" si="31"/>
        <v/>
      </c>
      <c r="W138" s="13"/>
      <c r="CH138">
        <v>5</v>
      </c>
      <c r="CI138">
        <v>43</v>
      </c>
    </row>
    <row r="139" spans="1:87" x14ac:dyDescent="0.3">
      <c r="A139" s="23">
        <v>906</v>
      </c>
      <c r="B139" s="2" t="s">
        <v>0</v>
      </c>
      <c r="C139" s="2" t="s">
        <v>21</v>
      </c>
      <c r="D139" s="2" t="s">
        <v>366</v>
      </c>
      <c r="E139" s="2">
        <v>1080</v>
      </c>
      <c r="F139" s="2">
        <v>1.32E-2</v>
      </c>
      <c r="G139" s="2">
        <v>1.04E-2</v>
      </c>
      <c r="H139" s="4">
        <f t="shared" si="29"/>
        <v>0.21212121212121215</v>
      </c>
      <c r="I139" s="2" t="s">
        <v>73</v>
      </c>
      <c r="J139" s="2" t="s">
        <v>367</v>
      </c>
      <c r="K139" s="2" t="s">
        <v>305</v>
      </c>
      <c r="L139" s="2" t="s">
        <v>96</v>
      </c>
      <c r="M139" s="155"/>
      <c r="N139" s="155"/>
      <c r="O139" s="2">
        <v>6</v>
      </c>
      <c r="P139" s="6">
        <v>24</v>
      </c>
      <c r="Q139" s="132">
        <f t="shared" si="30"/>
        <v>6.5</v>
      </c>
      <c r="R139" s="33">
        <f t="shared" si="33"/>
        <v>24.615384615384617</v>
      </c>
      <c r="S139" s="132">
        <f t="shared" si="32"/>
        <v>3.0769230769230771</v>
      </c>
      <c r="T139" s="132">
        <f t="shared" si="31"/>
        <v>3.0769230769230771</v>
      </c>
      <c r="W139" s="13"/>
      <c r="AD139" s="22">
        <v>45348</v>
      </c>
      <c r="AE139">
        <v>15</v>
      </c>
      <c r="AF139">
        <v>1.8</v>
      </c>
      <c r="AG139">
        <v>0.2</v>
      </c>
      <c r="AH139">
        <v>2</v>
      </c>
      <c r="AI139">
        <v>0.3</v>
      </c>
      <c r="AJ139">
        <v>0.6</v>
      </c>
      <c r="AK139">
        <v>0.16</v>
      </c>
      <c r="AL139">
        <v>0.18</v>
      </c>
      <c r="AM139">
        <v>0.7</v>
      </c>
      <c r="AN139">
        <v>0.28000000000000003</v>
      </c>
      <c r="AO139">
        <v>6.5</v>
      </c>
      <c r="AP139">
        <v>41</v>
      </c>
      <c r="AQ139">
        <v>100</v>
      </c>
      <c r="AR139">
        <v>100</v>
      </c>
      <c r="AS139">
        <v>100</v>
      </c>
      <c r="AT139">
        <v>45</v>
      </c>
      <c r="AU139">
        <v>20</v>
      </c>
      <c r="AV139">
        <v>40</v>
      </c>
      <c r="AW139">
        <v>20</v>
      </c>
      <c r="AX139">
        <v>100</v>
      </c>
      <c r="AY139">
        <v>368</v>
      </c>
      <c r="AZ139" t="s">
        <v>78</v>
      </c>
      <c r="BA139">
        <v>1200</v>
      </c>
      <c r="BB139">
        <v>10</v>
      </c>
      <c r="CH139">
        <v>2</v>
      </c>
      <c r="CI139">
        <v>76</v>
      </c>
    </row>
    <row r="140" spans="1:87" x14ac:dyDescent="0.3">
      <c r="A140" s="2">
        <v>923</v>
      </c>
      <c r="B140" s="2" t="s">
        <v>84</v>
      </c>
      <c r="C140" s="2" t="s">
        <v>21</v>
      </c>
      <c r="D140" s="123" t="s">
        <v>368</v>
      </c>
      <c r="E140" s="2">
        <v>1300</v>
      </c>
      <c r="F140" s="2">
        <v>1.04E-2</v>
      </c>
      <c r="G140" s="2">
        <v>8.0000000000000002E-3</v>
      </c>
      <c r="H140" s="4">
        <f t="shared" ref="H140:H171" si="34">(F140-G140)/F140</f>
        <v>0.23076923076923073</v>
      </c>
      <c r="I140" s="123" t="s">
        <v>86</v>
      </c>
      <c r="J140" s="2" t="s">
        <v>94</v>
      </c>
      <c r="K140" s="2" t="s">
        <v>105</v>
      </c>
      <c r="L140" s="2" t="s">
        <v>76</v>
      </c>
      <c r="M140" s="155"/>
      <c r="N140" s="155"/>
      <c r="O140" s="2">
        <v>6</v>
      </c>
      <c r="P140" s="6"/>
      <c r="Q140" s="132" t="str">
        <f t="shared" si="30"/>
        <v/>
      </c>
      <c r="R140" s="33" t="str">
        <f t="shared" si="33"/>
        <v/>
      </c>
      <c r="S140" s="132" t="str">
        <f t="shared" si="32"/>
        <v/>
      </c>
      <c r="T140" s="132" t="str">
        <f t="shared" si="31"/>
        <v/>
      </c>
      <c r="W140" s="13"/>
      <c r="CH140">
        <v>5</v>
      </c>
      <c r="CI140">
        <v>42</v>
      </c>
    </row>
    <row r="141" spans="1:87" x14ac:dyDescent="0.3">
      <c r="A141" s="2">
        <v>4</v>
      </c>
      <c r="B141" s="2" t="s">
        <v>84</v>
      </c>
      <c r="C141" s="2" t="s">
        <v>21</v>
      </c>
      <c r="D141" s="2" t="s">
        <v>369</v>
      </c>
      <c r="E141" s="2">
        <v>1200</v>
      </c>
      <c r="F141" s="2">
        <v>1.7100000000000001E-2</v>
      </c>
      <c r="G141" s="2"/>
      <c r="H141" s="4">
        <f t="shared" si="34"/>
        <v>1</v>
      </c>
      <c r="I141" s="2" t="s">
        <v>370</v>
      </c>
      <c r="J141" s="2" t="s">
        <v>371</v>
      </c>
      <c r="K141" s="2" t="s">
        <v>105</v>
      </c>
      <c r="L141" s="2" t="s">
        <v>76</v>
      </c>
      <c r="M141" s="155"/>
      <c r="N141" s="155"/>
      <c r="O141" s="2">
        <v>6</v>
      </c>
      <c r="P141" s="6"/>
      <c r="Q141" s="132" t="str">
        <f t="shared" si="30"/>
        <v/>
      </c>
      <c r="R141" s="33" t="str">
        <f t="shared" si="33"/>
        <v/>
      </c>
      <c r="S141" s="132" t="str">
        <f t="shared" si="32"/>
        <v/>
      </c>
      <c r="T141" s="132" t="str">
        <f t="shared" si="31"/>
        <v/>
      </c>
      <c r="W141" s="13"/>
      <c r="Y141"/>
      <c r="CH141">
        <v>4</v>
      </c>
      <c r="CI141">
        <v>41</v>
      </c>
    </row>
    <row r="142" spans="1:87" x14ac:dyDescent="0.3">
      <c r="A142" s="2">
        <v>5</v>
      </c>
      <c r="B142" s="2" t="s">
        <v>84</v>
      </c>
      <c r="C142" s="2" t="s">
        <v>21</v>
      </c>
      <c r="D142" s="2" t="s">
        <v>372</v>
      </c>
      <c r="E142" s="2">
        <v>1200</v>
      </c>
      <c r="F142" s="2">
        <v>1.84E-2</v>
      </c>
      <c r="G142" s="2"/>
      <c r="H142" s="4">
        <f t="shared" si="34"/>
        <v>1</v>
      </c>
      <c r="I142" s="2" t="s">
        <v>370</v>
      </c>
      <c r="J142" s="2" t="s">
        <v>373</v>
      </c>
      <c r="K142" s="2" t="s">
        <v>105</v>
      </c>
      <c r="L142" s="2" t="s">
        <v>76</v>
      </c>
      <c r="M142" s="155"/>
      <c r="N142" s="155"/>
      <c r="O142" s="2">
        <v>6</v>
      </c>
      <c r="P142" s="6"/>
      <c r="Q142" s="132" t="str">
        <f t="shared" si="30"/>
        <v/>
      </c>
      <c r="R142" s="33" t="str">
        <f t="shared" si="33"/>
        <v/>
      </c>
      <c r="S142" s="132" t="str">
        <f t="shared" si="32"/>
        <v/>
      </c>
      <c r="T142" s="132" t="str">
        <f t="shared" si="31"/>
        <v/>
      </c>
      <c r="W142" s="13"/>
      <c r="Y142"/>
      <c r="CH142">
        <v>5</v>
      </c>
      <c r="CI142">
        <v>36</v>
      </c>
    </row>
    <row r="143" spans="1:87" x14ac:dyDescent="0.3">
      <c r="A143" s="2">
        <v>46</v>
      </c>
      <c r="B143" s="2" t="s">
        <v>0</v>
      </c>
      <c r="C143" s="2" t="s">
        <v>21</v>
      </c>
      <c r="D143" s="2" t="s">
        <v>374</v>
      </c>
      <c r="E143" s="2">
        <v>4910</v>
      </c>
      <c r="F143" s="2">
        <v>3.5000000000000001E-3</v>
      </c>
      <c r="G143" s="2">
        <v>2.5000000000000001E-3</v>
      </c>
      <c r="H143" s="4">
        <f t="shared" si="34"/>
        <v>0.2857142857142857</v>
      </c>
      <c r="I143" s="2" t="s">
        <v>98</v>
      </c>
      <c r="J143" s="2" t="s">
        <v>375</v>
      </c>
      <c r="K143" s="2" t="s">
        <v>222</v>
      </c>
      <c r="L143" s="2" t="s">
        <v>76</v>
      </c>
      <c r="M143" s="155"/>
      <c r="N143" s="155"/>
      <c r="O143" s="2">
        <v>14</v>
      </c>
      <c r="P143" s="6">
        <v>12</v>
      </c>
      <c r="Q143" s="132">
        <f t="shared" si="30"/>
        <v>6.8431771894093689</v>
      </c>
      <c r="R143" s="33">
        <f t="shared" si="33"/>
        <v>11.999999999999998</v>
      </c>
      <c r="S143" s="132">
        <f t="shared" si="32"/>
        <v>1.4999999999999998</v>
      </c>
      <c r="T143" s="132">
        <f t="shared" si="31"/>
        <v>1.4999999999999998</v>
      </c>
      <c r="W143" s="13"/>
      <c r="Y143"/>
      <c r="CH143">
        <v>2</v>
      </c>
      <c r="CI143">
        <v>60</v>
      </c>
    </row>
    <row r="144" spans="1:87" x14ac:dyDescent="0.3">
      <c r="A144" s="2">
        <v>49</v>
      </c>
      <c r="B144" s="2" t="s">
        <v>0</v>
      </c>
      <c r="C144" s="2" t="s">
        <v>21</v>
      </c>
      <c r="D144" s="2" t="s">
        <v>376</v>
      </c>
      <c r="E144" s="2">
        <v>4910</v>
      </c>
      <c r="F144" s="2">
        <v>3.5000000000000001E-3</v>
      </c>
      <c r="G144" s="2">
        <v>2.5000000000000001E-3</v>
      </c>
      <c r="H144" s="4">
        <f t="shared" si="34"/>
        <v>0.2857142857142857</v>
      </c>
      <c r="I144" s="2" t="s">
        <v>98</v>
      </c>
      <c r="J144" s="2" t="s">
        <v>377</v>
      </c>
      <c r="K144" s="2" t="s">
        <v>222</v>
      </c>
      <c r="L144" s="2" t="s">
        <v>76</v>
      </c>
      <c r="M144" s="155"/>
      <c r="N144" s="155"/>
      <c r="O144" s="2">
        <v>14</v>
      </c>
      <c r="P144" s="6">
        <v>12</v>
      </c>
      <c r="Q144" s="132">
        <f t="shared" si="30"/>
        <v>6.8431771894093689</v>
      </c>
      <c r="R144" s="33">
        <f t="shared" si="33"/>
        <v>11.999999999999998</v>
      </c>
      <c r="S144" s="132">
        <f t="shared" si="32"/>
        <v>1.4999999999999998</v>
      </c>
      <c r="T144" s="132">
        <f t="shared" si="31"/>
        <v>1.4999999999999998</v>
      </c>
      <c r="W144" s="13"/>
      <c r="Y144"/>
      <c r="CH144">
        <v>3</v>
      </c>
      <c r="CI144">
        <v>66</v>
      </c>
    </row>
    <row r="145" spans="1:87" x14ac:dyDescent="0.3">
      <c r="A145" s="2">
        <v>1971</v>
      </c>
      <c r="B145" s="2" t="s">
        <v>0</v>
      </c>
      <c r="C145" s="2" t="s">
        <v>21</v>
      </c>
      <c r="D145" s="123" t="s">
        <v>378</v>
      </c>
      <c r="E145" s="2">
        <v>4910</v>
      </c>
      <c r="F145" s="2">
        <v>3.5000000000000001E-3</v>
      </c>
      <c r="G145" s="2">
        <v>2.5000000000000001E-3</v>
      </c>
      <c r="H145" s="4">
        <f t="shared" si="34"/>
        <v>0.2857142857142857</v>
      </c>
      <c r="I145" s="123" t="s">
        <v>86</v>
      </c>
      <c r="J145" s="2" t="s">
        <v>379</v>
      </c>
      <c r="K145" s="2" t="s">
        <v>105</v>
      </c>
      <c r="L145" s="2" t="s">
        <v>76</v>
      </c>
      <c r="M145" s="155"/>
      <c r="N145" s="155"/>
      <c r="O145" s="2">
        <v>14</v>
      </c>
      <c r="P145" s="6">
        <v>12</v>
      </c>
      <c r="Q145" s="132">
        <f t="shared" si="30"/>
        <v>6.8431771894093689</v>
      </c>
      <c r="R145" s="33">
        <f t="shared" si="33"/>
        <v>11.999999999999998</v>
      </c>
      <c r="S145" s="132">
        <f t="shared" si="32"/>
        <v>1.4999999999999998</v>
      </c>
      <c r="T145" s="132">
        <f t="shared" si="31"/>
        <v>1.4999999999999998</v>
      </c>
      <c r="W145" s="13"/>
      <c r="AI145" s="20"/>
      <c r="CH145">
        <v>4</v>
      </c>
      <c r="CI145">
        <v>74</v>
      </c>
    </row>
    <row r="146" spans="1:87" x14ac:dyDescent="0.3">
      <c r="A146" s="2">
        <v>454</v>
      </c>
      <c r="B146" s="2" t="s">
        <v>84</v>
      </c>
      <c r="C146" s="2" t="s">
        <v>21</v>
      </c>
      <c r="D146" s="123" t="s">
        <v>380</v>
      </c>
      <c r="E146" s="2">
        <v>4000</v>
      </c>
      <c r="F146" s="2">
        <v>3.7000000000000002E-3</v>
      </c>
      <c r="G146" s="2">
        <v>2.7000000000000001E-3</v>
      </c>
      <c r="H146" s="4">
        <f t="shared" si="34"/>
        <v>0.27027027027027029</v>
      </c>
      <c r="I146" s="123" t="s">
        <v>86</v>
      </c>
      <c r="J146" s="2" t="s">
        <v>379</v>
      </c>
      <c r="K146" s="2" t="s">
        <v>105</v>
      </c>
      <c r="L146" s="2" t="s">
        <v>76</v>
      </c>
      <c r="M146" s="155"/>
      <c r="N146" s="155"/>
      <c r="O146" s="2">
        <v>14</v>
      </c>
      <c r="P146" s="6">
        <v>16</v>
      </c>
      <c r="Q146" s="132">
        <f t="shared" si="30"/>
        <v>6.3</v>
      </c>
      <c r="R146" s="33">
        <f t="shared" si="33"/>
        <v>16</v>
      </c>
      <c r="S146" s="132">
        <f t="shared" si="32"/>
        <v>2</v>
      </c>
      <c r="T146" s="132">
        <f t="shared" si="31"/>
        <v>2</v>
      </c>
      <c r="W146" s="13"/>
      <c r="CH146">
        <v>1</v>
      </c>
      <c r="CI146">
        <v>53</v>
      </c>
    </row>
    <row r="147" spans="1:87" x14ac:dyDescent="0.3">
      <c r="A147" s="2">
        <v>169</v>
      </c>
      <c r="B147" s="2" t="s">
        <v>0</v>
      </c>
      <c r="C147" s="2" t="s">
        <v>21</v>
      </c>
      <c r="D147" s="2" t="s">
        <v>381</v>
      </c>
      <c r="E147" s="2">
        <v>4000</v>
      </c>
      <c r="F147" s="2">
        <v>3.7000000000000002E-3</v>
      </c>
      <c r="G147" s="2">
        <v>2.7000000000000001E-3</v>
      </c>
      <c r="H147" s="4">
        <f t="shared" si="34"/>
        <v>0.27027027027027029</v>
      </c>
      <c r="I147" s="2" t="s">
        <v>98</v>
      </c>
      <c r="J147" s="2" t="s">
        <v>382</v>
      </c>
      <c r="K147" s="2" t="s">
        <v>105</v>
      </c>
      <c r="L147" s="2" t="s">
        <v>76</v>
      </c>
      <c r="M147" s="155"/>
      <c r="N147" s="155"/>
      <c r="O147" s="2">
        <v>14</v>
      </c>
      <c r="P147" s="6">
        <v>16</v>
      </c>
      <c r="Q147" s="132">
        <f t="shared" si="30"/>
        <v>6.3</v>
      </c>
      <c r="R147" s="33">
        <f t="shared" si="33"/>
        <v>16</v>
      </c>
      <c r="S147" s="132">
        <f t="shared" si="32"/>
        <v>2</v>
      </c>
      <c r="T147" s="132">
        <f t="shared" si="31"/>
        <v>2</v>
      </c>
      <c r="W147" s="13"/>
      <c r="CH147">
        <v>5</v>
      </c>
      <c r="CI147">
        <v>31</v>
      </c>
    </row>
    <row r="148" spans="1:87" x14ac:dyDescent="0.3">
      <c r="A148" s="2">
        <v>170</v>
      </c>
      <c r="B148" s="2" t="s">
        <v>0</v>
      </c>
      <c r="C148" s="2" t="s">
        <v>21</v>
      </c>
      <c r="D148" s="2" t="s">
        <v>383</v>
      </c>
      <c r="E148" s="2">
        <v>4000</v>
      </c>
      <c r="F148" s="2">
        <v>3.7000000000000002E-3</v>
      </c>
      <c r="G148" s="2">
        <v>2.7000000000000001E-3</v>
      </c>
      <c r="H148" s="4">
        <f t="shared" si="34"/>
        <v>0.27027027027027029</v>
      </c>
      <c r="I148" s="2" t="s">
        <v>98</v>
      </c>
      <c r="J148" s="2" t="s">
        <v>377</v>
      </c>
      <c r="K148" s="2" t="s">
        <v>105</v>
      </c>
      <c r="L148" s="2" t="s">
        <v>76</v>
      </c>
      <c r="M148" s="155" t="s">
        <v>384</v>
      </c>
      <c r="N148" s="155"/>
      <c r="O148" s="2">
        <v>14</v>
      </c>
      <c r="P148" s="6">
        <v>16</v>
      </c>
      <c r="Q148" s="132">
        <f t="shared" si="30"/>
        <v>6.3</v>
      </c>
      <c r="R148" s="33">
        <f t="shared" si="33"/>
        <v>16</v>
      </c>
      <c r="S148" s="132">
        <f t="shared" si="32"/>
        <v>2</v>
      </c>
      <c r="T148" s="132">
        <f t="shared" si="31"/>
        <v>2</v>
      </c>
      <c r="W148" s="13"/>
      <c r="CH148">
        <v>3</v>
      </c>
      <c r="CI148">
        <v>48</v>
      </c>
    </row>
    <row r="149" spans="1:87" x14ac:dyDescent="0.3">
      <c r="A149" s="2">
        <v>492</v>
      </c>
      <c r="B149" s="2" t="s">
        <v>84</v>
      </c>
      <c r="C149" s="2" t="s">
        <v>21</v>
      </c>
      <c r="D149" s="123" t="s">
        <v>385</v>
      </c>
      <c r="E149" s="2">
        <v>4030</v>
      </c>
      <c r="F149" s="2">
        <v>2E-3</v>
      </c>
      <c r="G149" s="2">
        <v>1.4E-3</v>
      </c>
      <c r="H149" s="4">
        <f t="shared" si="34"/>
        <v>0.30000000000000004</v>
      </c>
      <c r="I149" s="123" t="s">
        <v>86</v>
      </c>
      <c r="J149" s="2" t="s">
        <v>379</v>
      </c>
      <c r="K149" s="2" t="s">
        <v>5</v>
      </c>
      <c r="L149" s="2" t="s">
        <v>6</v>
      </c>
      <c r="M149" s="155"/>
      <c r="N149" s="155"/>
      <c r="O149" s="2">
        <v>21</v>
      </c>
      <c r="P149" s="6">
        <v>15</v>
      </c>
      <c r="Q149" s="132">
        <f t="shared" si="30"/>
        <v>10.004962779156328</v>
      </c>
      <c r="R149" s="33">
        <f t="shared" si="33"/>
        <v>15</v>
      </c>
      <c r="S149" s="132">
        <f t="shared" si="32"/>
        <v>1.875</v>
      </c>
      <c r="T149" s="132">
        <f t="shared" si="31"/>
        <v>1.875</v>
      </c>
      <c r="W149" s="13"/>
      <c r="CH149">
        <v>5</v>
      </c>
      <c r="CI149">
        <v>82</v>
      </c>
    </row>
    <row r="150" spans="1:87" x14ac:dyDescent="0.3">
      <c r="A150" s="2">
        <v>188</v>
      </c>
      <c r="B150" s="2" t="s">
        <v>0</v>
      </c>
      <c r="C150" s="2" t="s">
        <v>21</v>
      </c>
      <c r="D150" s="2" t="s">
        <v>386</v>
      </c>
      <c r="E150" s="2">
        <v>4030</v>
      </c>
      <c r="F150" s="2">
        <v>2.3999999999999998E-3</v>
      </c>
      <c r="G150" s="2">
        <v>1.6999999999999999E-3</v>
      </c>
      <c r="H150" s="4">
        <f t="shared" si="34"/>
        <v>0.29166666666666663</v>
      </c>
      <c r="I150" s="2" t="s">
        <v>98</v>
      </c>
      <c r="J150" s="2" t="s">
        <v>387</v>
      </c>
      <c r="K150" s="2" t="s">
        <v>5</v>
      </c>
      <c r="L150" s="2" t="s">
        <v>6</v>
      </c>
      <c r="M150" s="155"/>
      <c r="N150" s="155"/>
      <c r="O150" s="2">
        <v>21</v>
      </c>
      <c r="P150" s="6">
        <v>15</v>
      </c>
      <c r="Q150" s="132">
        <f t="shared" si="30"/>
        <v>10.004962779156328</v>
      </c>
      <c r="R150" s="33">
        <f t="shared" si="33"/>
        <v>15</v>
      </c>
      <c r="S150" s="132">
        <f t="shared" si="32"/>
        <v>1.875</v>
      </c>
      <c r="T150" s="132">
        <f t="shared" si="31"/>
        <v>1.875</v>
      </c>
      <c r="W150" s="13"/>
      <c r="CH150">
        <v>3</v>
      </c>
      <c r="CI150">
        <v>37</v>
      </c>
    </row>
    <row r="151" spans="1:87" x14ac:dyDescent="0.3">
      <c r="A151" s="2">
        <v>189</v>
      </c>
      <c r="B151" s="2" t="s">
        <v>0</v>
      </c>
      <c r="C151" s="2" t="s">
        <v>21</v>
      </c>
      <c r="D151" s="2" t="s">
        <v>388</v>
      </c>
      <c r="E151" s="2">
        <v>4030</v>
      </c>
      <c r="F151" s="2">
        <v>2.3999999999999998E-3</v>
      </c>
      <c r="G151" s="2">
        <v>1.6999999999999999E-3</v>
      </c>
      <c r="H151" s="4">
        <f t="shared" si="34"/>
        <v>0.29166666666666663</v>
      </c>
      <c r="I151" s="2" t="s">
        <v>98</v>
      </c>
      <c r="J151" s="2" t="s">
        <v>389</v>
      </c>
      <c r="K151" s="2" t="s">
        <v>5</v>
      </c>
      <c r="L151" s="2" t="s">
        <v>6</v>
      </c>
      <c r="M151" s="155"/>
      <c r="N151" s="155"/>
      <c r="O151" s="2">
        <v>21</v>
      </c>
      <c r="P151" s="6">
        <v>15</v>
      </c>
      <c r="Q151" s="132">
        <f t="shared" si="30"/>
        <v>10.004962779156328</v>
      </c>
      <c r="R151" s="33">
        <f t="shared" si="33"/>
        <v>15</v>
      </c>
      <c r="S151" s="132">
        <f t="shared" si="32"/>
        <v>1.875</v>
      </c>
      <c r="T151" s="132">
        <f t="shared" si="31"/>
        <v>1.875</v>
      </c>
      <c r="W151" s="13"/>
      <c r="CH151">
        <v>6</v>
      </c>
      <c r="CI151">
        <v>64</v>
      </c>
    </row>
    <row r="152" spans="1:87" x14ac:dyDescent="0.3">
      <c r="A152" s="2">
        <v>1716</v>
      </c>
      <c r="B152" s="2" t="s">
        <v>84</v>
      </c>
      <c r="C152" s="2" t="s">
        <v>21</v>
      </c>
      <c r="D152" s="123" t="s">
        <v>390</v>
      </c>
      <c r="E152" s="2">
        <v>1200</v>
      </c>
      <c r="F152" s="2">
        <v>8.3999999999999995E-3</v>
      </c>
      <c r="G152" s="2">
        <v>6.7000000000000002E-3</v>
      </c>
      <c r="H152" s="4">
        <f t="shared" si="34"/>
        <v>0.2023809523809523</v>
      </c>
      <c r="I152" s="123" t="s">
        <v>86</v>
      </c>
      <c r="J152" s="2" t="s">
        <v>391</v>
      </c>
      <c r="K152" s="2" t="s">
        <v>95</v>
      </c>
      <c r="L152" s="2" t="s">
        <v>76</v>
      </c>
      <c r="M152" s="155"/>
      <c r="N152" s="155"/>
      <c r="O152" s="2">
        <v>6</v>
      </c>
      <c r="P152" s="6">
        <v>22</v>
      </c>
      <c r="Q152" s="132">
        <f t="shared" si="30"/>
        <v>6.5454545454545459</v>
      </c>
      <c r="R152" s="33">
        <f t="shared" si="33"/>
        <v>22</v>
      </c>
      <c r="S152" s="132">
        <f t="shared" si="32"/>
        <v>2.75</v>
      </c>
      <c r="T152" s="132">
        <f t="shared" si="31"/>
        <v>2.75</v>
      </c>
      <c r="W152" s="13"/>
      <c r="CH152">
        <v>5</v>
      </c>
      <c r="CI152">
        <v>47</v>
      </c>
    </row>
    <row r="153" spans="1:87" x14ac:dyDescent="0.3">
      <c r="A153" s="2">
        <v>526</v>
      </c>
      <c r="B153" s="2" t="s">
        <v>0</v>
      </c>
      <c r="C153" s="2" t="s">
        <v>21</v>
      </c>
      <c r="D153" s="2" t="s">
        <v>392</v>
      </c>
      <c r="E153" s="2">
        <v>1200</v>
      </c>
      <c r="F153" s="2">
        <v>7.9000000000000008E-3</v>
      </c>
      <c r="G153" s="2">
        <v>7.0000000000000001E-3</v>
      </c>
      <c r="H153" s="4">
        <f t="shared" si="34"/>
        <v>0.11392405063291146</v>
      </c>
      <c r="I153" s="2" t="s">
        <v>98</v>
      </c>
      <c r="J153" s="2" t="s">
        <v>393</v>
      </c>
      <c r="K153" s="2" t="s">
        <v>95</v>
      </c>
      <c r="L153" s="2" t="s">
        <v>96</v>
      </c>
      <c r="M153" s="155"/>
      <c r="N153" s="155"/>
      <c r="O153" s="2">
        <v>6</v>
      </c>
      <c r="P153" s="6">
        <v>22</v>
      </c>
      <c r="Q153" s="132">
        <f t="shared" si="30"/>
        <v>6.5454545454545459</v>
      </c>
      <c r="R153" s="33">
        <f t="shared" si="33"/>
        <v>22</v>
      </c>
      <c r="S153" s="132">
        <f t="shared" si="32"/>
        <v>2.75</v>
      </c>
      <c r="T153" s="132">
        <f t="shared" si="31"/>
        <v>2.75</v>
      </c>
      <c r="W153" s="13"/>
      <c r="CH153">
        <v>4</v>
      </c>
      <c r="CI153">
        <v>73</v>
      </c>
    </row>
    <row r="154" spans="1:87" x14ac:dyDescent="0.3">
      <c r="A154" s="2">
        <v>1800</v>
      </c>
      <c r="B154" s="2" t="s">
        <v>84</v>
      </c>
      <c r="C154" s="2" t="s">
        <v>21</v>
      </c>
      <c r="D154" s="123" t="s">
        <v>394</v>
      </c>
      <c r="E154" s="2">
        <v>900</v>
      </c>
      <c r="F154" s="2">
        <v>2.18E-2</v>
      </c>
      <c r="G154" s="2">
        <v>1.35E-2</v>
      </c>
      <c r="H154" s="4">
        <f t="shared" si="34"/>
        <v>0.38073394495412843</v>
      </c>
      <c r="I154" s="123" t="s">
        <v>86</v>
      </c>
      <c r="J154" s="2" t="s">
        <v>363</v>
      </c>
      <c r="K154" s="2" t="s">
        <v>105</v>
      </c>
      <c r="L154" s="2" t="s">
        <v>76</v>
      </c>
      <c r="M154" s="155"/>
      <c r="N154" s="155"/>
      <c r="O154" s="2">
        <v>2</v>
      </c>
      <c r="P154" s="6"/>
      <c r="Q154" s="132" t="str">
        <f t="shared" si="30"/>
        <v/>
      </c>
      <c r="R154" s="33" t="str">
        <f t="shared" si="33"/>
        <v/>
      </c>
      <c r="S154" s="132" t="str">
        <f t="shared" si="32"/>
        <v/>
      </c>
      <c r="T154" s="132" t="str">
        <f t="shared" si="31"/>
        <v/>
      </c>
      <c r="W154" s="13"/>
      <c r="CH154">
        <v>4</v>
      </c>
      <c r="CI154">
        <v>88</v>
      </c>
    </row>
    <row r="155" spans="1:87" x14ac:dyDescent="0.3">
      <c r="A155" s="2">
        <v>533</v>
      </c>
      <c r="B155" s="2" t="s">
        <v>84</v>
      </c>
      <c r="C155" s="2" t="s">
        <v>21</v>
      </c>
      <c r="D155" s="123" t="s">
        <v>395</v>
      </c>
      <c r="E155" s="2">
        <v>900</v>
      </c>
      <c r="F155" s="2">
        <v>1.8200000000000001E-2</v>
      </c>
      <c r="G155" s="2">
        <v>1.1299999999999999E-2</v>
      </c>
      <c r="H155" s="4">
        <f t="shared" si="34"/>
        <v>0.37912087912087922</v>
      </c>
      <c r="I155" s="123" t="s">
        <v>86</v>
      </c>
      <c r="J155" s="2" t="s">
        <v>396</v>
      </c>
      <c r="K155" s="2" t="s">
        <v>105</v>
      </c>
      <c r="L155" s="2" t="s">
        <v>76</v>
      </c>
      <c r="M155" s="155"/>
      <c r="N155" s="155"/>
      <c r="O155" s="2">
        <v>2</v>
      </c>
      <c r="P155" s="6"/>
      <c r="Q155" s="132" t="str">
        <f t="shared" si="30"/>
        <v/>
      </c>
      <c r="R155" s="33" t="str">
        <f t="shared" si="33"/>
        <v/>
      </c>
      <c r="S155" s="132" t="str">
        <f t="shared" si="32"/>
        <v/>
      </c>
      <c r="T155" s="132" t="str">
        <f t="shared" si="31"/>
        <v/>
      </c>
      <c r="W155" s="13"/>
      <c r="CH155">
        <v>2</v>
      </c>
      <c r="CI155">
        <v>90</v>
      </c>
    </row>
    <row r="156" spans="1:87" x14ac:dyDescent="0.3">
      <c r="A156" s="2">
        <v>530</v>
      </c>
      <c r="B156" s="2" t="s">
        <v>84</v>
      </c>
      <c r="C156" s="2" t="s">
        <v>21</v>
      </c>
      <c r="D156" s="123" t="s">
        <v>397</v>
      </c>
      <c r="E156" s="2">
        <v>600</v>
      </c>
      <c r="F156" s="2">
        <v>3.78E-2</v>
      </c>
      <c r="G156" s="2">
        <v>2.35E-2</v>
      </c>
      <c r="H156" s="4">
        <f t="shared" si="34"/>
        <v>0.37830687830687831</v>
      </c>
      <c r="I156" s="123" t="s">
        <v>86</v>
      </c>
      <c r="J156" s="2" t="s">
        <v>398</v>
      </c>
      <c r="K156" s="2" t="s">
        <v>305</v>
      </c>
      <c r="L156" s="2" t="s">
        <v>96</v>
      </c>
      <c r="M156" s="155"/>
      <c r="N156" s="155"/>
      <c r="O156" s="2">
        <v>10</v>
      </c>
      <c r="P156" s="6"/>
      <c r="Q156" s="132" t="str">
        <f t="shared" si="30"/>
        <v/>
      </c>
      <c r="R156" s="33" t="str">
        <f t="shared" si="33"/>
        <v/>
      </c>
      <c r="S156" s="132" t="str">
        <f t="shared" si="32"/>
        <v/>
      </c>
      <c r="T156" s="132" t="str">
        <f t="shared" si="31"/>
        <v/>
      </c>
      <c r="W156" s="13"/>
      <c r="CH156">
        <v>5</v>
      </c>
      <c r="CI156">
        <v>79</v>
      </c>
    </row>
    <row r="157" spans="1:87" x14ac:dyDescent="0.3">
      <c r="A157" s="2">
        <v>534</v>
      </c>
      <c r="B157" s="2" t="s">
        <v>84</v>
      </c>
      <c r="C157" s="2" t="s">
        <v>21</v>
      </c>
      <c r="D157" s="123" t="s">
        <v>399</v>
      </c>
      <c r="E157" s="2">
        <v>900</v>
      </c>
      <c r="F157" s="2">
        <v>1.8200000000000001E-2</v>
      </c>
      <c r="G157" s="2">
        <v>1.1299999999999999E-2</v>
      </c>
      <c r="H157" s="4">
        <f t="shared" si="34"/>
        <v>0.37912087912087922</v>
      </c>
      <c r="I157" s="123" t="s">
        <v>86</v>
      </c>
      <c r="J157" s="2" t="s">
        <v>396</v>
      </c>
      <c r="K157" s="2" t="s">
        <v>305</v>
      </c>
      <c r="L157" s="2" t="s">
        <v>96</v>
      </c>
      <c r="M157" s="155"/>
      <c r="N157" s="155"/>
      <c r="O157" s="2">
        <v>2</v>
      </c>
      <c r="P157" s="6"/>
      <c r="Q157" s="132" t="str">
        <f t="shared" si="30"/>
        <v/>
      </c>
      <c r="R157" s="33" t="str">
        <f t="shared" si="33"/>
        <v/>
      </c>
      <c r="S157" s="132" t="str">
        <f t="shared" si="32"/>
        <v/>
      </c>
      <c r="T157" s="132" t="str">
        <f t="shared" si="31"/>
        <v/>
      </c>
      <c r="W157" s="13"/>
      <c r="CH157">
        <v>5</v>
      </c>
      <c r="CI157">
        <v>63</v>
      </c>
    </row>
    <row r="158" spans="1:87" x14ac:dyDescent="0.3">
      <c r="A158" s="2">
        <v>1795</v>
      </c>
      <c r="B158" s="2" t="s">
        <v>0</v>
      </c>
      <c r="C158" s="2" t="s">
        <v>21</v>
      </c>
      <c r="D158" s="123" t="s">
        <v>400</v>
      </c>
      <c r="E158" s="2">
        <v>900</v>
      </c>
      <c r="F158" s="2">
        <v>2.3099999999999999E-2</v>
      </c>
      <c r="G158" s="2">
        <v>1.43E-2</v>
      </c>
      <c r="H158" s="4">
        <f t="shared" si="34"/>
        <v>0.38095238095238093</v>
      </c>
      <c r="I158" s="123" t="s">
        <v>86</v>
      </c>
      <c r="J158" s="2" t="s">
        <v>401</v>
      </c>
      <c r="K158" s="2" t="s">
        <v>305</v>
      </c>
      <c r="L158" s="2" t="s">
        <v>96</v>
      </c>
      <c r="M158" s="155"/>
      <c r="N158" s="155"/>
      <c r="O158" s="2">
        <v>4</v>
      </c>
      <c r="P158" s="6">
        <v>12</v>
      </c>
      <c r="Q158" s="132">
        <f t="shared" si="30"/>
        <v>10.666666666666666</v>
      </c>
      <c r="R158" s="33">
        <f t="shared" si="33"/>
        <v>12</v>
      </c>
      <c r="S158" s="132">
        <f t="shared" si="32"/>
        <v>1.5</v>
      </c>
      <c r="T158" s="132">
        <f t="shared" si="31"/>
        <v>1.5</v>
      </c>
      <c r="W158" s="13"/>
      <c r="CH158">
        <v>2</v>
      </c>
      <c r="CI158">
        <v>34</v>
      </c>
    </row>
    <row r="159" spans="1:87" x14ac:dyDescent="0.3">
      <c r="A159" s="2">
        <v>1972</v>
      </c>
      <c r="B159" s="2" t="s">
        <v>0</v>
      </c>
      <c r="C159" s="2" t="s">
        <v>21</v>
      </c>
      <c r="D159" s="123" t="s">
        <v>402</v>
      </c>
      <c r="E159" s="2">
        <v>900</v>
      </c>
      <c r="F159" s="2">
        <v>2.18E-2</v>
      </c>
      <c r="G159" s="2">
        <v>1.35E-2</v>
      </c>
      <c r="H159" s="4">
        <f t="shared" si="34"/>
        <v>0.38073394495412843</v>
      </c>
      <c r="I159" s="123" t="s">
        <v>86</v>
      </c>
      <c r="J159" s="2" t="s">
        <v>363</v>
      </c>
      <c r="K159" s="2" t="s">
        <v>105</v>
      </c>
      <c r="L159" s="2" t="s">
        <v>76</v>
      </c>
      <c r="M159" s="155"/>
      <c r="N159" s="155"/>
      <c r="O159" s="2">
        <v>2</v>
      </c>
      <c r="P159" s="6">
        <v>11</v>
      </c>
      <c r="Q159" s="132">
        <f t="shared" si="30"/>
        <v>5.8181818181818175</v>
      </c>
      <c r="R159" s="33">
        <f t="shared" si="33"/>
        <v>11.000000000000002</v>
      </c>
      <c r="S159" s="132">
        <f t="shared" si="32"/>
        <v>1.3750000000000002</v>
      </c>
      <c r="T159" s="132">
        <f t="shared" si="31"/>
        <v>1.3750000000000002</v>
      </c>
      <c r="W159" s="13"/>
      <c r="AI159" s="20"/>
      <c r="CH159">
        <v>1</v>
      </c>
      <c r="CI159">
        <v>32</v>
      </c>
    </row>
    <row r="160" spans="1:87" x14ac:dyDescent="0.3">
      <c r="A160" s="2">
        <v>9</v>
      </c>
      <c r="B160" s="2" t="s">
        <v>84</v>
      </c>
      <c r="C160" s="2" t="s">
        <v>21</v>
      </c>
      <c r="D160" s="123" t="s">
        <v>403</v>
      </c>
      <c r="E160" s="2">
        <v>1950</v>
      </c>
      <c r="F160" s="2">
        <v>1.0500000000000001E-2</v>
      </c>
      <c r="G160" s="2">
        <v>7.4999999999999997E-3</v>
      </c>
      <c r="H160" s="4">
        <f t="shared" si="34"/>
        <v>0.28571428571428581</v>
      </c>
      <c r="I160" s="123" t="s">
        <v>86</v>
      </c>
      <c r="J160" s="2" t="s">
        <v>404</v>
      </c>
      <c r="K160" s="2" t="s">
        <v>105</v>
      </c>
      <c r="L160" s="2" t="s">
        <v>76</v>
      </c>
      <c r="M160" s="155"/>
      <c r="N160" s="155"/>
      <c r="O160" s="2">
        <v>8</v>
      </c>
      <c r="P160" s="6"/>
      <c r="Q160" s="132" t="str">
        <f t="shared" si="30"/>
        <v/>
      </c>
      <c r="R160" s="33"/>
      <c r="S160" s="132"/>
      <c r="T160" s="132" t="str">
        <f t="shared" si="31"/>
        <v/>
      </c>
      <c r="W160" s="13"/>
      <c r="Y160"/>
      <c r="CH160">
        <v>5</v>
      </c>
      <c r="CI160">
        <v>43</v>
      </c>
    </row>
    <row r="161" spans="1:87" x14ac:dyDescent="0.3">
      <c r="A161" s="2">
        <v>10</v>
      </c>
      <c r="B161" s="2" t="s">
        <v>84</v>
      </c>
      <c r="C161" s="2" t="s">
        <v>21</v>
      </c>
      <c r="D161" s="2" t="s">
        <v>405</v>
      </c>
      <c r="E161" s="2">
        <v>1200</v>
      </c>
      <c r="F161" s="2">
        <v>1.6199999999999999E-2</v>
      </c>
      <c r="G161" s="2"/>
      <c r="H161" s="4">
        <f t="shared" si="34"/>
        <v>1</v>
      </c>
      <c r="I161" s="2" t="s">
        <v>370</v>
      </c>
      <c r="J161" s="2" t="s">
        <v>373</v>
      </c>
      <c r="K161" s="2" t="s">
        <v>222</v>
      </c>
      <c r="L161" s="2" t="s">
        <v>76</v>
      </c>
      <c r="M161" s="155"/>
      <c r="N161" s="155"/>
      <c r="O161" s="2">
        <v>6</v>
      </c>
      <c r="P161" s="6"/>
      <c r="Q161" s="132"/>
      <c r="R161" s="33"/>
      <c r="S161" s="132"/>
      <c r="T161" s="132"/>
      <c r="W161" s="13"/>
      <c r="Y161"/>
      <c r="CH161">
        <v>3</v>
      </c>
      <c r="CI161">
        <v>62</v>
      </c>
    </row>
    <row r="162" spans="1:87" x14ac:dyDescent="0.3">
      <c r="A162" s="2">
        <v>252</v>
      </c>
      <c r="B162" s="2" t="s">
        <v>0</v>
      </c>
      <c r="C162" s="2" t="s">
        <v>21</v>
      </c>
      <c r="D162" s="2" t="s">
        <v>406</v>
      </c>
      <c r="E162" s="2">
        <v>560</v>
      </c>
      <c r="F162" s="2">
        <v>2.07E-2</v>
      </c>
      <c r="G162" s="2">
        <v>1.7399999999999999E-2</v>
      </c>
      <c r="H162" s="4">
        <f t="shared" si="34"/>
        <v>0.15942028985507251</v>
      </c>
      <c r="I162" s="2" t="s">
        <v>73</v>
      </c>
      <c r="J162" s="2" t="s">
        <v>407</v>
      </c>
      <c r="K162" s="2" t="s">
        <v>75</v>
      </c>
      <c r="L162" s="2" t="s">
        <v>76</v>
      </c>
      <c r="M162" s="155" t="s">
        <v>408</v>
      </c>
      <c r="N162" s="155"/>
      <c r="O162" s="2">
        <v>6</v>
      </c>
      <c r="P162" s="6">
        <v>30</v>
      </c>
      <c r="Q162" s="132">
        <f t="shared" ref="Q162:Q203" si="35">IFERROR(IF(AO162&gt;1,AO162,60*60*8*O162/P162/E162),"")</f>
        <v>10.285714285714286</v>
      </c>
      <c r="R162" s="33">
        <f t="shared" ref="R162:R193" si="36">IFERROR(60*60*8*O162/E162/Q162,"")</f>
        <v>29.999999999999996</v>
      </c>
      <c r="S162" s="132">
        <f t="shared" ref="S162:S193" si="37">IFERROR(R162/8,"")</f>
        <v>3.7499999999999996</v>
      </c>
      <c r="T162" s="132">
        <f t="shared" ref="T162:T174" si="38">IFERROR(IF(R162&gt;2,S162,""),"")</f>
        <v>3.7499999999999996</v>
      </c>
      <c r="W162" s="13"/>
      <c r="CH162">
        <v>4</v>
      </c>
      <c r="CI162">
        <v>44</v>
      </c>
    </row>
    <row r="163" spans="1:87" x14ac:dyDescent="0.3">
      <c r="A163" s="2">
        <v>236</v>
      </c>
      <c r="B163" s="2" t="s">
        <v>84</v>
      </c>
      <c r="C163" s="2" t="s">
        <v>21</v>
      </c>
      <c r="D163" s="2" t="s">
        <v>409</v>
      </c>
      <c r="E163" s="2">
        <v>2000</v>
      </c>
      <c r="F163" s="2">
        <v>1.46E-2</v>
      </c>
      <c r="G163" s="2"/>
      <c r="H163" s="4">
        <f t="shared" si="34"/>
        <v>1</v>
      </c>
      <c r="I163" s="2" t="s">
        <v>370</v>
      </c>
      <c r="J163" s="2" t="s">
        <v>410</v>
      </c>
      <c r="K163" s="2" t="s">
        <v>105</v>
      </c>
      <c r="L163" s="2" t="s">
        <v>76</v>
      </c>
      <c r="M163" s="155"/>
      <c r="N163" s="155"/>
      <c r="O163" s="2">
        <v>6</v>
      </c>
      <c r="P163" s="6"/>
      <c r="Q163" s="132" t="str">
        <f t="shared" si="35"/>
        <v/>
      </c>
      <c r="R163" s="33" t="str">
        <f t="shared" si="36"/>
        <v/>
      </c>
      <c r="S163" s="132" t="str">
        <f t="shared" si="37"/>
        <v/>
      </c>
      <c r="T163" s="132" t="str">
        <f t="shared" si="38"/>
        <v/>
      </c>
      <c r="W163" s="13"/>
      <c r="CH163">
        <v>3</v>
      </c>
      <c r="CI163">
        <v>54</v>
      </c>
    </row>
    <row r="164" spans="1:87" x14ac:dyDescent="0.3">
      <c r="A164" s="2">
        <v>1730</v>
      </c>
      <c r="B164" s="2" t="s">
        <v>84</v>
      </c>
      <c r="C164" s="2" t="s">
        <v>21</v>
      </c>
      <c r="D164" s="2" t="s">
        <v>411</v>
      </c>
      <c r="E164" s="2">
        <v>1500</v>
      </c>
      <c r="F164" s="2">
        <v>1.6500000000000001E-2</v>
      </c>
      <c r="G164" s="2"/>
      <c r="H164" s="4">
        <f t="shared" si="34"/>
        <v>1</v>
      </c>
      <c r="I164" s="2" t="s">
        <v>98</v>
      </c>
      <c r="J164" s="2" t="s">
        <v>412</v>
      </c>
      <c r="K164" s="2" t="s">
        <v>413</v>
      </c>
      <c r="L164" s="2" t="s">
        <v>76</v>
      </c>
      <c r="M164" s="155"/>
      <c r="N164" s="155"/>
      <c r="O164" s="2">
        <v>8</v>
      </c>
      <c r="P164" s="6"/>
      <c r="Q164" s="132" t="str">
        <f t="shared" si="35"/>
        <v/>
      </c>
      <c r="R164" s="33" t="str">
        <f t="shared" si="36"/>
        <v/>
      </c>
      <c r="S164" s="132" t="str">
        <f t="shared" si="37"/>
        <v/>
      </c>
      <c r="T164" s="132" t="str">
        <f t="shared" si="38"/>
        <v/>
      </c>
      <c r="W164" s="13"/>
      <c r="CH164">
        <v>4</v>
      </c>
      <c r="CI164">
        <v>69</v>
      </c>
    </row>
    <row r="165" spans="1:87" x14ac:dyDescent="0.3">
      <c r="A165" s="2">
        <v>598</v>
      </c>
      <c r="B165" s="2" t="s">
        <v>84</v>
      </c>
      <c r="C165" s="2" t="s">
        <v>21</v>
      </c>
      <c r="D165" s="2" t="s">
        <v>414</v>
      </c>
      <c r="E165" s="2">
        <v>1500</v>
      </c>
      <c r="F165" s="2">
        <v>1.2699999999999999E-2</v>
      </c>
      <c r="G165" s="2"/>
      <c r="H165" s="4">
        <f t="shared" si="34"/>
        <v>1</v>
      </c>
      <c r="I165" s="2" t="s">
        <v>370</v>
      </c>
      <c r="J165" s="2" t="s">
        <v>415</v>
      </c>
      <c r="K165" s="2" t="s">
        <v>413</v>
      </c>
      <c r="L165" s="2" t="s">
        <v>76</v>
      </c>
      <c r="M165" s="155"/>
      <c r="N165" s="155"/>
      <c r="O165" s="2">
        <v>8</v>
      </c>
      <c r="P165" s="6"/>
      <c r="Q165" s="132" t="str">
        <f t="shared" si="35"/>
        <v/>
      </c>
      <c r="R165" s="33" t="str">
        <f t="shared" si="36"/>
        <v/>
      </c>
      <c r="S165" s="132" t="str">
        <f t="shared" si="37"/>
        <v/>
      </c>
      <c r="T165" s="132" t="str">
        <f t="shared" si="38"/>
        <v/>
      </c>
      <c r="W165" s="13"/>
      <c r="CH165">
        <v>5</v>
      </c>
      <c r="CI165">
        <v>80</v>
      </c>
    </row>
    <row r="166" spans="1:87" x14ac:dyDescent="0.3">
      <c r="A166" s="2">
        <v>625</v>
      </c>
      <c r="B166" s="2" t="s">
        <v>84</v>
      </c>
      <c r="C166" s="2" t="s">
        <v>21</v>
      </c>
      <c r="D166" s="123" t="s">
        <v>416</v>
      </c>
      <c r="E166" s="2">
        <v>700</v>
      </c>
      <c r="F166" s="2">
        <v>1.5699999999999999E-2</v>
      </c>
      <c r="G166" s="2">
        <v>1.32E-2</v>
      </c>
      <c r="H166" s="4">
        <f t="shared" si="34"/>
        <v>0.15923566878980885</v>
      </c>
      <c r="I166" s="123" t="s">
        <v>86</v>
      </c>
      <c r="J166" s="2" t="s">
        <v>291</v>
      </c>
      <c r="K166" s="2" t="s">
        <v>105</v>
      </c>
      <c r="L166" s="2" t="s">
        <v>76</v>
      </c>
      <c r="M166" s="155"/>
      <c r="N166" s="155"/>
      <c r="O166" s="2">
        <v>6</v>
      </c>
      <c r="P166" s="6"/>
      <c r="Q166" s="132" t="str">
        <f t="shared" si="35"/>
        <v/>
      </c>
      <c r="R166" s="33" t="str">
        <f t="shared" si="36"/>
        <v/>
      </c>
      <c r="S166" s="132" t="str">
        <f t="shared" si="37"/>
        <v/>
      </c>
      <c r="T166" s="132" t="str">
        <f t="shared" si="38"/>
        <v/>
      </c>
      <c r="W166" s="13"/>
      <c r="CH166">
        <v>3</v>
      </c>
      <c r="CI166">
        <v>48</v>
      </c>
    </row>
    <row r="167" spans="1:87" x14ac:dyDescent="0.3">
      <c r="A167" s="2">
        <v>632</v>
      </c>
      <c r="B167" s="2" t="s">
        <v>0</v>
      </c>
      <c r="C167" s="2" t="s">
        <v>21</v>
      </c>
      <c r="D167" s="2" t="s">
        <v>417</v>
      </c>
      <c r="E167" s="2">
        <v>700</v>
      </c>
      <c r="F167" s="2">
        <v>1.6799999999999999E-2</v>
      </c>
      <c r="G167" s="2">
        <v>1.32E-2</v>
      </c>
      <c r="H167" s="4">
        <f t="shared" si="34"/>
        <v>0.21428571428571425</v>
      </c>
      <c r="I167" s="2" t="s">
        <v>98</v>
      </c>
      <c r="J167" s="2" t="s">
        <v>418</v>
      </c>
      <c r="K167" s="2" t="s">
        <v>105</v>
      </c>
      <c r="L167" s="2" t="s">
        <v>76</v>
      </c>
      <c r="M167" s="155"/>
      <c r="N167" s="155"/>
      <c r="O167" s="2">
        <v>6</v>
      </c>
      <c r="P167" s="6">
        <v>30</v>
      </c>
      <c r="Q167" s="132">
        <f t="shared" si="35"/>
        <v>8.2285714285714278</v>
      </c>
      <c r="R167" s="33">
        <f t="shared" si="36"/>
        <v>30.000000000000004</v>
      </c>
      <c r="S167" s="132">
        <f t="shared" si="37"/>
        <v>3.7500000000000004</v>
      </c>
      <c r="T167" s="132">
        <f t="shared" si="38"/>
        <v>3.7500000000000004</v>
      </c>
      <c r="W167" s="13"/>
      <c r="CH167">
        <v>2</v>
      </c>
      <c r="CI167">
        <v>64</v>
      </c>
    </row>
    <row r="168" spans="1:87" x14ac:dyDescent="0.3">
      <c r="A168" s="2">
        <v>626</v>
      </c>
      <c r="B168" s="2" t="s">
        <v>84</v>
      </c>
      <c r="C168" s="2" t="s">
        <v>21</v>
      </c>
      <c r="D168" s="123" t="s">
        <v>419</v>
      </c>
      <c r="E168" s="2">
        <v>2700</v>
      </c>
      <c r="F168" s="2">
        <v>6.0000000000000001E-3</v>
      </c>
      <c r="G168" s="2">
        <v>4.4999999999999997E-3</v>
      </c>
      <c r="H168" s="4">
        <f t="shared" si="34"/>
        <v>0.25000000000000006</v>
      </c>
      <c r="I168" s="123" t="s">
        <v>86</v>
      </c>
      <c r="J168" s="2" t="s">
        <v>420</v>
      </c>
      <c r="K168" s="2" t="s">
        <v>105</v>
      </c>
      <c r="L168" s="2" t="s">
        <v>76</v>
      </c>
      <c r="M168" s="155"/>
      <c r="N168" s="155"/>
      <c r="O168" s="2">
        <v>5</v>
      </c>
      <c r="P168" s="6"/>
      <c r="Q168" s="132" t="str">
        <f t="shared" si="35"/>
        <v/>
      </c>
      <c r="R168" s="33" t="str">
        <f t="shared" si="36"/>
        <v/>
      </c>
      <c r="S168" s="132" t="str">
        <f t="shared" si="37"/>
        <v/>
      </c>
      <c r="T168" s="132" t="str">
        <f t="shared" si="38"/>
        <v/>
      </c>
      <c r="W168" s="13"/>
      <c r="CH168">
        <v>4</v>
      </c>
      <c r="CI168">
        <v>54</v>
      </c>
    </row>
    <row r="169" spans="1:87" x14ac:dyDescent="0.3">
      <c r="A169" s="2">
        <v>635</v>
      </c>
      <c r="B169" s="2" t="s">
        <v>0</v>
      </c>
      <c r="C169" s="2" t="s">
        <v>21</v>
      </c>
      <c r="D169" s="123" t="s">
        <v>421</v>
      </c>
      <c r="E169" s="2">
        <v>2300</v>
      </c>
      <c r="F169" s="2">
        <v>9.5999999999999992E-3</v>
      </c>
      <c r="G169" s="2">
        <v>7.1999999999999998E-3</v>
      </c>
      <c r="H169" s="4">
        <f t="shared" si="34"/>
        <v>0.24999999999999994</v>
      </c>
      <c r="I169" s="123" t="s">
        <v>86</v>
      </c>
      <c r="J169" s="2" t="s">
        <v>216</v>
      </c>
      <c r="K169" s="2" t="s">
        <v>261</v>
      </c>
      <c r="L169" s="2" t="s">
        <v>76</v>
      </c>
      <c r="M169" s="155"/>
      <c r="N169" s="155"/>
      <c r="O169" s="2">
        <v>5</v>
      </c>
      <c r="P169" s="6">
        <v>14</v>
      </c>
      <c r="Q169" s="132">
        <f t="shared" si="35"/>
        <v>4.4720496894409942</v>
      </c>
      <c r="R169" s="33">
        <f t="shared" si="36"/>
        <v>13.999999999999998</v>
      </c>
      <c r="S169" s="132">
        <f t="shared" si="37"/>
        <v>1.7499999999999998</v>
      </c>
      <c r="T169" s="132">
        <f t="shared" si="38"/>
        <v>1.7499999999999998</v>
      </c>
      <c r="W169" s="13"/>
      <c r="CH169">
        <v>1</v>
      </c>
      <c r="CI169">
        <v>44</v>
      </c>
    </row>
    <row r="170" spans="1:87" x14ac:dyDescent="0.3">
      <c r="A170" s="2">
        <v>639</v>
      </c>
      <c r="B170" s="2" t="s">
        <v>0</v>
      </c>
      <c r="C170" s="2" t="s">
        <v>21</v>
      </c>
      <c r="D170" s="2" t="s">
        <v>422</v>
      </c>
      <c r="E170" s="2">
        <v>2300</v>
      </c>
      <c r="F170" s="2">
        <v>9.9000000000000008E-3</v>
      </c>
      <c r="G170" s="2">
        <v>7.1999999999999998E-3</v>
      </c>
      <c r="H170" s="4">
        <f t="shared" si="34"/>
        <v>0.27272727272727282</v>
      </c>
      <c r="I170" s="2" t="s">
        <v>98</v>
      </c>
      <c r="J170" s="2" t="s">
        <v>418</v>
      </c>
      <c r="K170" s="2" t="s">
        <v>261</v>
      </c>
      <c r="L170" s="2" t="s">
        <v>76</v>
      </c>
      <c r="M170" s="155"/>
      <c r="N170" s="155"/>
      <c r="O170" s="2">
        <v>5</v>
      </c>
      <c r="P170" s="6">
        <v>14</v>
      </c>
      <c r="Q170" s="132">
        <f t="shared" si="35"/>
        <v>4.4720496894409942</v>
      </c>
      <c r="R170" s="33">
        <f t="shared" si="36"/>
        <v>13.999999999999998</v>
      </c>
      <c r="S170" s="132">
        <f t="shared" si="37"/>
        <v>1.7499999999999998</v>
      </c>
      <c r="T170" s="132">
        <f t="shared" si="38"/>
        <v>1.7499999999999998</v>
      </c>
      <c r="W170" s="13"/>
      <c r="CH170">
        <v>4</v>
      </c>
      <c r="CI170">
        <v>51</v>
      </c>
    </row>
    <row r="171" spans="1:87" x14ac:dyDescent="0.3">
      <c r="A171" s="2">
        <v>627</v>
      </c>
      <c r="B171" s="2" t="s">
        <v>84</v>
      </c>
      <c r="C171" s="2" t="s">
        <v>21</v>
      </c>
      <c r="D171" s="123" t="s">
        <v>423</v>
      </c>
      <c r="E171" s="2">
        <v>1800</v>
      </c>
      <c r="F171" s="2">
        <v>9.5999999999999992E-3</v>
      </c>
      <c r="G171" s="2">
        <v>7.1999999999999998E-3</v>
      </c>
      <c r="H171" s="4">
        <f t="shared" si="34"/>
        <v>0.24999999999999994</v>
      </c>
      <c r="I171" s="123" t="s">
        <v>86</v>
      </c>
      <c r="J171" s="2" t="s">
        <v>216</v>
      </c>
      <c r="K171" s="2" t="s">
        <v>261</v>
      </c>
      <c r="L171" s="2" t="s">
        <v>76</v>
      </c>
      <c r="M171" s="155"/>
      <c r="N171" s="155"/>
      <c r="O171" s="2">
        <v>5</v>
      </c>
      <c r="P171" s="6"/>
      <c r="Q171" s="132" t="str">
        <f t="shared" si="35"/>
        <v/>
      </c>
      <c r="R171" s="33" t="str">
        <f t="shared" si="36"/>
        <v/>
      </c>
      <c r="S171" s="132" t="str">
        <f t="shared" si="37"/>
        <v/>
      </c>
      <c r="T171" s="132" t="str">
        <f t="shared" si="38"/>
        <v/>
      </c>
      <c r="W171" s="13"/>
      <c r="CH171">
        <v>5</v>
      </c>
      <c r="CI171">
        <v>56</v>
      </c>
    </row>
    <row r="172" spans="1:87" x14ac:dyDescent="0.3">
      <c r="A172" s="2">
        <v>641</v>
      </c>
      <c r="B172" s="2" t="s">
        <v>0</v>
      </c>
      <c r="C172" s="2" t="s">
        <v>21</v>
      </c>
      <c r="D172" s="2" t="s">
        <v>424</v>
      </c>
      <c r="E172" s="2">
        <v>1800</v>
      </c>
      <c r="F172" s="2">
        <v>9.9000000000000008E-3</v>
      </c>
      <c r="G172" s="2">
        <v>7.1999999999999998E-3</v>
      </c>
      <c r="H172" s="4">
        <f t="shared" ref="H172:H203" si="39">(F172-G172)/F172</f>
        <v>0.27272727272727282</v>
      </c>
      <c r="I172" s="2" t="s">
        <v>98</v>
      </c>
      <c r="J172" s="2" t="s">
        <v>418</v>
      </c>
      <c r="K172" s="2" t="s">
        <v>261</v>
      </c>
      <c r="L172" s="2" t="s">
        <v>76</v>
      </c>
      <c r="M172" s="155"/>
      <c r="N172" s="155"/>
      <c r="O172" s="2">
        <v>5</v>
      </c>
      <c r="P172" s="6">
        <v>19</v>
      </c>
      <c r="Q172" s="132">
        <f t="shared" si="35"/>
        <v>4.2105263157894735</v>
      </c>
      <c r="R172" s="33">
        <f t="shared" si="36"/>
        <v>19</v>
      </c>
      <c r="S172" s="132">
        <f t="shared" si="37"/>
        <v>2.375</v>
      </c>
      <c r="T172" s="132">
        <f t="shared" si="38"/>
        <v>2.375</v>
      </c>
      <c r="W172" s="13"/>
      <c r="CH172">
        <v>5</v>
      </c>
      <c r="CI172">
        <v>90</v>
      </c>
    </row>
    <row r="173" spans="1:87" x14ac:dyDescent="0.3">
      <c r="A173" s="23">
        <v>1033</v>
      </c>
      <c r="B173" s="2" t="s">
        <v>0</v>
      </c>
      <c r="C173" s="2" t="s">
        <v>21</v>
      </c>
      <c r="D173" s="2" t="s">
        <v>425</v>
      </c>
      <c r="E173" s="2">
        <v>960</v>
      </c>
      <c r="F173" s="2">
        <v>1.2699999999999999E-2</v>
      </c>
      <c r="G173" s="2">
        <v>9.4999999999999998E-3</v>
      </c>
      <c r="H173" s="4">
        <f t="shared" si="39"/>
        <v>0.25196850393700787</v>
      </c>
      <c r="I173" s="2" t="s">
        <v>73</v>
      </c>
      <c r="J173" s="2" t="s">
        <v>426</v>
      </c>
      <c r="K173" s="2" t="s">
        <v>105</v>
      </c>
      <c r="L173" s="2" t="s">
        <v>76</v>
      </c>
      <c r="M173" s="155"/>
      <c r="N173" s="155"/>
      <c r="O173" s="2">
        <v>10</v>
      </c>
      <c r="P173" s="6">
        <v>25</v>
      </c>
      <c r="Q173" s="132">
        <f t="shared" si="35"/>
        <v>8.5</v>
      </c>
      <c r="R173" s="33">
        <f t="shared" si="36"/>
        <v>35.294117647058826</v>
      </c>
      <c r="S173" s="132">
        <f t="shared" si="37"/>
        <v>4.4117647058823533</v>
      </c>
      <c r="T173" s="132">
        <f t="shared" si="38"/>
        <v>4.4117647058823533</v>
      </c>
      <c r="W173" s="13"/>
      <c r="AD173" s="22">
        <v>45360</v>
      </c>
      <c r="AE173">
        <v>14</v>
      </c>
      <c r="AF173">
        <v>2.5</v>
      </c>
      <c r="AG173">
        <v>0.5</v>
      </c>
      <c r="AH173">
        <v>2</v>
      </c>
      <c r="AI173">
        <v>0.55000000000000004</v>
      </c>
      <c r="AJ173">
        <v>0.5</v>
      </c>
      <c r="AK173">
        <v>0.16</v>
      </c>
      <c r="AL173">
        <v>0.3</v>
      </c>
      <c r="AM173">
        <v>0.9</v>
      </c>
      <c r="AN173">
        <v>0.6</v>
      </c>
      <c r="AO173">
        <v>8.5</v>
      </c>
      <c r="AP173">
        <v>39</v>
      </c>
      <c r="AQ173">
        <v>119</v>
      </c>
      <c r="AR173">
        <v>119</v>
      </c>
      <c r="AS173">
        <v>119</v>
      </c>
      <c r="AT173">
        <v>45</v>
      </c>
      <c r="AU173">
        <v>20</v>
      </c>
      <c r="AV173">
        <v>40</v>
      </c>
      <c r="AW173">
        <v>20</v>
      </c>
      <c r="AX173">
        <v>100</v>
      </c>
      <c r="AY173">
        <v>340</v>
      </c>
      <c r="AZ173" t="s">
        <v>78</v>
      </c>
      <c r="BA173">
        <v>700</v>
      </c>
      <c r="BB173">
        <v>10</v>
      </c>
      <c r="CH173">
        <v>1</v>
      </c>
      <c r="CI173">
        <v>69</v>
      </c>
    </row>
    <row r="174" spans="1:87" x14ac:dyDescent="0.3">
      <c r="A174" s="2">
        <v>648</v>
      </c>
      <c r="B174" s="2" t="s">
        <v>84</v>
      </c>
      <c r="C174" s="2" t="s">
        <v>21</v>
      </c>
      <c r="D174" s="123" t="s">
        <v>427</v>
      </c>
      <c r="E174" s="2">
        <v>960</v>
      </c>
      <c r="F174" s="2">
        <v>9.7999999999999997E-3</v>
      </c>
      <c r="G174" s="2">
        <v>7.4000000000000003E-3</v>
      </c>
      <c r="H174" s="4">
        <f t="shared" si="39"/>
        <v>0.24489795918367341</v>
      </c>
      <c r="I174" s="123" t="s">
        <v>86</v>
      </c>
      <c r="J174" s="2" t="s">
        <v>428</v>
      </c>
      <c r="K174" s="2" t="s">
        <v>105</v>
      </c>
      <c r="L174" s="2" t="s">
        <v>76</v>
      </c>
      <c r="M174" s="155"/>
      <c r="N174" s="155"/>
      <c r="O174" s="2">
        <v>10</v>
      </c>
      <c r="P174" s="6"/>
      <c r="Q174" s="132" t="str">
        <f t="shared" si="35"/>
        <v/>
      </c>
      <c r="R174" s="33" t="str">
        <f t="shared" si="36"/>
        <v/>
      </c>
      <c r="S174" s="132" t="str">
        <f t="shared" si="37"/>
        <v/>
      </c>
      <c r="T174" s="132" t="str">
        <f t="shared" si="38"/>
        <v/>
      </c>
      <c r="W174" s="13"/>
      <c r="CH174">
        <v>2</v>
      </c>
      <c r="CI174">
        <v>32</v>
      </c>
    </row>
    <row r="175" spans="1:87" x14ac:dyDescent="0.3">
      <c r="A175" s="23">
        <v>591</v>
      </c>
      <c r="B175" s="2" t="s">
        <v>0</v>
      </c>
      <c r="C175" s="2" t="s">
        <v>21</v>
      </c>
      <c r="D175" s="2" t="s">
        <v>429</v>
      </c>
      <c r="E175" s="2">
        <v>1080</v>
      </c>
      <c r="F175" s="2">
        <v>7.1000000000000004E-3</v>
      </c>
      <c r="G175" s="2">
        <v>5.4999999999999997E-3</v>
      </c>
      <c r="H175" s="4">
        <f t="shared" si="39"/>
        <v>0.22535211267605643</v>
      </c>
      <c r="I175" s="2" t="s">
        <v>82</v>
      </c>
      <c r="J175" s="2" t="s">
        <v>107</v>
      </c>
      <c r="K175" s="2" t="s">
        <v>95</v>
      </c>
      <c r="L175" s="2" t="s">
        <v>96</v>
      </c>
      <c r="M175" s="155">
        <v>12</v>
      </c>
      <c r="N175" s="155">
        <v>90</v>
      </c>
      <c r="O175" s="2">
        <v>15</v>
      </c>
      <c r="P175" s="6">
        <v>30</v>
      </c>
      <c r="Q175" s="132">
        <f t="shared" si="35"/>
        <v>8.6999999999999993</v>
      </c>
      <c r="R175" s="33">
        <f t="shared" si="36"/>
        <v>45.977011494252878</v>
      </c>
      <c r="S175" s="132">
        <f t="shared" si="37"/>
        <v>5.7471264367816097</v>
      </c>
      <c r="T175" s="132">
        <v>23</v>
      </c>
      <c r="W175" s="13"/>
      <c r="AD175" s="22">
        <v>45351</v>
      </c>
      <c r="AE175">
        <v>12</v>
      </c>
      <c r="AF175">
        <v>1.9</v>
      </c>
      <c r="AG175">
        <v>0.5</v>
      </c>
      <c r="AH175">
        <v>2</v>
      </c>
      <c r="AI175">
        <v>0.8</v>
      </c>
      <c r="AJ175">
        <v>1.3</v>
      </c>
      <c r="AK175">
        <v>0.16</v>
      </c>
      <c r="AL175">
        <v>0.14000000000000001</v>
      </c>
      <c r="AM175">
        <v>0.9</v>
      </c>
      <c r="AN175">
        <v>0.6</v>
      </c>
      <c r="AO175">
        <v>8.6999999999999993</v>
      </c>
      <c r="AP175">
        <v>52</v>
      </c>
      <c r="AQ175">
        <v>100</v>
      </c>
      <c r="AR175">
        <v>100</v>
      </c>
      <c r="AS175">
        <v>100</v>
      </c>
      <c r="AT175">
        <v>44</v>
      </c>
      <c r="AU175">
        <v>30</v>
      </c>
      <c r="AV175">
        <v>40</v>
      </c>
      <c r="AW175">
        <v>40</v>
      </c>
      <c r="AX175">
        <v>66</v>
      </c>
      <c r="AY175">
        <v>510</v>
      </c>
      <c r="AZ175" t="s">
        <v>78</v>
      </c>
      <c r="BA175">
        <v>2500</v>
      </c>
      <c r="BB175">
        <v>10</v>
      </c>
      <c r="CH175">
        <v>4</v>
      </c>
      <c r="CI175">
        <v>79</v>
      </c>
    </row>
    <row r="176" spans="1:87" x14ac:dyDescent="0.3">
      <c r="A176" s="2">
        <v>649</v>
      </c>
      <c r="B176" s="2" t="s">
        <v>84</v>
      </c>
      <c r="C176" s="2" t="s">
        <v>21</v>
      </c>
      <c r="D176" s="123" t="s">
        <v>430</v>
      </c>
      <c r="E176" s="2">
        <v>1080</v>
      </c>
      <c r="F176" s="2">
        <v>5.4999999999999997E-3</v>
      </c>
      <c r="G176" s="2">
        <v>4.1999999999999997E-3</v>
      </c>
      <c r="H176" s="4">
        <f t="shared" si="39"/>
        <v>0.23636363636363636</v>
      </c>
      <c r="I176" s="123" t="s">
        <v>86</v>
      </c>
      <c r="J176" s="2" t="s">
        <v>431</v>
      </c>
      <c r="K176" s="2" t="s">
        <v>95</v>
      </c>
      <c r="L176" s="2" t="s">
        <v>96</v>
      </c>
      <c r="M176" s="155"/>
      <c r="N176" s="155"/>
      <c r="O176" s="2">
        <v>15</v>
      </c>
      <c r="P176" s="6"/>
      <c r="Q176" s="132" t="str">
        <f t="shared" si="35"/>
        <v/>
      </c>
      <c r="R176" s="33" t="str">
        <f t="shared" si="36"/>
        <v/>
      </c>
      <c r="S176" s="132" t="str">
        <f t="shared" si="37"/>
        <v/>
      </c>
      <c r="T176" s="132" t="str">
        <f t="shared" ref="T176:T207" si="40">IFERROR(IF(R176&gt;2,S176,""),"")</f>
        <v/>
      </c>
      <c r="W176" s="13"/>
      <c r="CH176">
        <v>2</v>
      </c>
      <c r="CI176">
        <v>40</v>
      </c>
    </row>
    <row r="177" spans="1:87" x14ac:dyDescent="0.3">
      <c r="A177" s="2">
        <v>690</v>
      </c>
      <c r="B177" s="2" t="s">
        <v>84</v>
      </c>
      <c r="C177" s="2" t="s">
        <v>21</v>
      </c>
      <c r="D177" s="123" t="s">
        <v>432</v>
      </c>
      <c r="E177" s="2">
        <v>2100</v>
      </c>
      <c r="F177" s="2">
        <v>8.8000000000000005E-3</v>
      </c>
      <c r="G177" s="2">
        <v>7.6E-3</v>
      </c>
      <c r="H177" s="4">
        <f t="shared" si="39"/>
        <v>0.13636363636363641</v>
      </c>
      <c r="I177" s="123" t="s">
        <v>86</v>
      </c>
      <c r="J177" s="2" t="s">
        <v>218</v>
      </c>
      <c r="K177" s="2" t="s">
        <v>105</v>
      </c>
      <c r="L177" s="2" t="s">
        <v>76</v>
      </c>
      <c r="M177" s="155"/>
      <c r="N177" s="155"/>
      <c r="O177" s="2">
        <v>8</v>
      </c>
      <c r="P177" s="6"/>
      <c r="Q177" s="132" t="str">
        <f t="shared" si="35"/>
        <v/>
      </c>
      <c r="R177" s="33" t="str">
        <f t="shared" si="36"/>
        <v/>
      </c>
      <c r="S177" s="132" t="str">
        <f t="shared" si="37"/>
        <v/>
      </c>
      <c r="T177" s="132" t="str">
        <f t="shared" si="40"/>
        <v/>
      </c>
      <c r="W177" s="13"/>
      <c r="CH177">
        <v>1</v>
      </c>
      <c r="CI177">
        <v>39</v>
      </c>
    </row>
    <row r="178" spans="1:87" x14ac:dyDescent="0.3">
      <c r="A178" s="2">
        <v>35</v>
      </c>
      <c r="B178" s="2" t="s">
        <v>84</v>
      </c>
      <c r="C178" s="2" t="s">
        <v>21</v>
      </c>
      <c r="D178" s="2" t="s">
        <v>433</v>
      </c>
      <c r="E178" s="2">
        <v>400</v>
      </c>
      <c r="F178" s="2">
        <v>6.9400000000000003E-2</v>
      </c>
      <c r="G178" s="2">
        <v>4.5400000000000003E-2</v>
      </c>
      <c r="H178" s="4">
        <f t="shared" si="39"/>
        <v>0.345821325648415</v>
      </c>
      <c r="I178" s="2" t="s">
        <v>73</v>
      </c>
      <c r="J178" s="2" t="s">
        <v>434</v>
      </c>
      <c r="K178" s="2" t="s">
        <v>435</v>
      </c>
      <c r="L178" s="2" t="s">
        <v>436</v>
      </c>
      <c r="M178" s="155"/>
      <c r="N178" s="155"/>
      <c r="O178" s="2">
        <v>6</v>
      </c>
      <c r="P178" s="6"/>
      <c r="Q178" s="132" t="str">
        <f t="shared" si="35"/>
        <v/>
      </c>
      <c r="R178" s="33" t="str">
        <f t="shared" si="36"/>
        <v/>
      </c>
      <c r="S178" s="132" t="str">
        <f t="shared" si="37"/>
        <v/>
      </c>
      <c r="T178" s="132" t="str">
        <f t="shared" si="40"/>
        <v/>
      </c>
      <c r="W178" s="13"/>
      <c r="AI178" s="20"/>
      <c r="CH178">
        <v>3</v>
      </c>
      <c r="CI178">
        <v>89</v>
      </c>
    </row>
    <row r="179" spans="1:87" x14ac:dyDescent="0.3">
      <c r="A179" s="2">
        <v>770</v>
      </c>
      <c r="B179" s="2" t="s">
        <v>84</v>
      </c>
      <c r="C179" s="2" t="s">
        <v>21</v>
      </c>
      <c r="D179" s="123" t="s">
        <v>437</v>
      </c>
      <c r="E179" s="2">
        <v>1080</v>
      </c>
      <c r="F179" s="2">
        <v>1.5699999999999999E-2</v>
      </c>
      <c r="G179" s="2">
        <v>1.24E-2</v>
      </c>
      <c r="H179" s="4">
        <f t="shared" si="39"/>
        <v>0.21019108280254772</v>
      </c>
      <c r="I179" s="123" t="s">
        <v>86</v>
      </c>
      <c r="J179" s="2" t="s">
        <v>315</v>
      </c>
      <c r="K179" s="2" t="s">
        <v>200</v>
      </c>
      <c r="L179" s="2" t="s">
        <v>76</v>
      </c>
      <c r="M179" s="155"/>
      <c r="N179" s="155"/>
      <c r="O179" s="2">
        <v>6</v>
      </c>
      <c r="P179" s="6"/>
      <c r="Q179" s="132" t="str">
        <f t="shared" si="35"/>
        <v/>
      </c>
      <c r="R179" s="33" t="str">
        <f t="shared" si="36"/>
        <v/>
      </c>
      <c r="S179" s="132" t="str">
        <f t="shared" si="37"/>
        <v/>
      </c>
      <c r="T179" s="132" t="str">
        <f t="shared" si="40"/>
        <v/>
      </c>
      <c r="W179" s="13"/>
      <c r="CH179">
        <v>2</v>
      </c>
      <c r="CI179">
        <v>36</v>
      </c>
    </row>
    <row r="180" spans="1:87" x14ac:dyDescent="0.3">
      <c r="A180" s="2">
        <v>1798</v>
      </c>
      <c r="B180" s="2" t="s">
        <v>84</v>
      </c>
      <c r="C180" s="2" t="s">
        <v>21</v>
      </c>
      <c r="D180" s="123" t="s">
        <v>438</v>
      </c>
      <c r="E180" s="2">
        <v>510</v>
      </c>
      <c r="F180" s="2">
        <v>1.9800000000000002E-2</v>
      </c>
      <c r="G180" s="2">
        <v>1.6199999999999999E-2</v>
      </c>
      <c r="H180" s="4">
        <f t="shared" si="39"/>
        <v>0.18181818181818193</v>
      </c>
      <c r="I180" s="123" t="s">
        <v>86</v>
      </c>
      <c r="J180" s="2" t="s">
        <v>203</v>
      </c>
      <c r="K180" s="2" t="s">
        <v>105</v>
      </c>
      <c r="L180" s="2" t="s">
        <v>76</v>
      </c>
      <c r="M180" s="155"/>
      <c r="N180" s="155"/>
      <c r="O180" s="2">
        <v>6</v>
      </c>
      <c r="P180" s="6"/>
      <c r="Q180" s="132" t="str">
        <f t="shared" si="35"/>
        <v/>
      </c>
      <c r="R180" s="33" t="str">
        <f t="shared" si="36"/>
        <v/>
      </c>
      <c r="S180" s="132" t="str">
        <f t="shared" si="37"/>
        <v/>
      </c>
      <c r="T180" s="132" t="str">
        <f t="shared" si="40"/>
        <v/>
      </c>
      <c r="W180" s="13"/>
      <c r="CH180">
        <v>4</v>
      </c>
      <c r="CI180">
        <v>70</v>
      </c>
    </row>
    <row r="181" spans="1:87" x14ac:dyDescent="0.3">
      <c r="A181" s="2">
        <v>12</v>
      </c>
      <c r="B181" s="2" t="s">
        <v>84</v>
      </c>
      <c r="C181" s="2" t="s">
        <v>21</v>
      </c>
      <c r="D181" s="2" t="s">
        <v>439</v>
      </c>
      <c r="E181" s="2">
        <v>2200</v>
      </c>
      <c r="F181" s="2">
        <v>1.5100000000000001E-2</v>
      </c>
      <c r="G181" s="2"/>
      <c r="H181" s="4">
        <f t="shared" si="39"/>
        <v>1</v>
      </c>
      <c r="I181" s="2" t="s">
        <v>370</v>
      </c>
      <c r="J181" s="2" t="s">
        <v>440</v>
      </c>
      <c r="K181" s="2"/>
      <c r="L181" s="2"/>
      <c r="M181" s="155"/>
      <c r="N181" s="155"/>
      <c r="O181" s="2">
        <v>6</v>
      </c>
      <c r="P181" s="6"/>
      <c r="Q181" s="132" t="str">
        <f t="shared" si="35"/>
        <v/>
      </c>
      <c r="R181" s="33" t="str">
        <f t="shared" si="36"/>
        <v/>
      </c>
      <c r="S181" s="132" t="str">
        <f t="shared" si="37"/>
        <v/>
      </c>
      <c r="T181" s="132" t="str">
        <f t="shared" si="40"/>
        <v/>
      </c>
      <c r="W181" s="13"/>
      <c r="Y181"/>
      <c r="CH181">
        <v>2</v>
      </c>
      <c r="CI181">
        <v>45</v>
      </c>
    </row>
    <row r="182" spans="1:87" x14ac:dyDescent="0.3">
      <c r="A182" s="2">
        <v>793</v>
      </c>
      <c r="B182" s="2" t="s">
        <v>84</v>
      </c>
      <c r="C182" s="2" t="s">
        <v>21</v>
      </c>
      <c r="D182" s="123" t="s">
        <v>441</v>
      </c>
      <c r="E182" s="2">
        <v>1680</v>
      </c>
      <c r="F182" s="2">
        <v>9.7999999999999997E-3</v>
      </c>
      <c r="G182" s="2">
        <v>7.4999999999999997E-3</v>
      </c>
      <c r="H182" s="4">
        <f t="shared" si="39"/>
        <v>0.23469387755102042</v>
      </c>
      <c r="I182" s="123" t="s">
        <v>86</v>
      </c>
      <c r="J182" s="2" t="s">
        <v>442</v>
      </c>
      <c r="K182" s="2" t="s">
        <v>261</v>
      </c>
      <c r="L182" s="2" t="s">
        <v>76</v>
      </c>
      <c r="M182" s="155"/>
      <c r="N182" s="155"/>
      <c r="O182" s="2">
        <v>5</v>
      </c>
      <c r="P182" s="6"/>
      <c r="Q182" s="132" t="str">
        <f t="shared" si="35"/>
        <v/>
      </c>
      <c r="R182" s="33" t="str">
        <f t="shared" si="36"/>
        <v/>
      </c>
      <c r="S182" s="132" t="str">
        <f t="shared" si="37"/>
        <v/>
      </c>
      <c r="T182" s="132" t="str">
        <f t="shared" si="40"/>
        <v/>
      </c>
      <c r="W182" s="13"/>
      <c r="CH182">
        <v>1</v>
      </c>
      <c r="CI182">
        <v>58</v>
      </c>
    </row>
    <row r="183" spans="1:87" x14ac:dyDescent="0.3">
      <c r="A183" s="2">
        <v>790</v>
      </c>
      <c r="B183" s="2" t="s">
        <v>0</v>
      </c>
      <c r="C183" s="2" t="s">
        <v>21</v>
      </c>
      <c r="D183" s="2" t="s">
        <v>443</v>
      </c>
      <c r="E183" s="2">
        <v>1680</v>
      </c>
      <c r="F183" s="2">
        <v>1.32E-2</v>
      </c>
      <c r="G183" s="2">
        <v>6.7999999999999996E-3</v>
      </c>
      <c r="H183" s="4">
        <f t="shared" si="39"/>
        <v>0.48484848484848486</v>
      </c>
      <c r="I183" s="2" t="s">
        <v>98</v>
      </c>
      <c r="J183" s="2" t="s">
        <v>444</v>
      </c>
      <c r="K183" s="2" t="s">
        <v>261</v>
      </c>
      <c r="L183" s="2" t="s">
        <v>76</v>
      </c>
      <c r="M183" s="155"/>
      <c r="N183" s="155"/>
      <c r="O183" s="2">
        <v>5</v>
      </c>
      <c r="P183" s="6">
        <v>23</v>
      </c>
      <c r="Q183" s="132">
        <f t="shared" si="35"/>
        <v>3.7267080745341614</v>
      </c>
      <c r="R183" s="33">
        <f t="shared" si="36"/>
        <v>23</v>
      </c>
      <c r="S183" s="132">
        <f t="shared" si="37"/>
        <v>2.875</v>
      </c>
      <c r="T183" s="132">
        <f t="shared" si="40"/>
        <v>2.875</v>
      </c>
      <c r="W183" s="13"/>
      <c r="CH183">
        <v>1</v>
      </c>
      <c r="CI183">
        <v>80</v>
      </c>
    </row>
    <row r="184" spans="1:87" x14ac:dyDescent="0.3">
      <c r="A184" s="2">
        <v>786</v>
      </c>
      <c r="B184" s="2" t="s">
        <v>84</v>
      </c>
      <c r="C184" s="2" t="s">
        <v>21</v>
      </c>
      <c r="D184" s="123" t="s">
        <v>445</v>
      </c>
      <c r="E184" s="2">
        <v>700</v>
      </c>
      <c r="F184" s="2">
        <v>1.5699999999999999E-2</v>
      </c>
      <c r="G184" s="2">
        <v>1.32E-2</v>
      </c>
      <c r="H184" s="4">
        <f t="shared" si="39"/>
        <v>0.15923566878980885</v>
      </c>
      <c r="I184" s="123" t="s">
        <v>86</v>
      </c>
      <c r="J184" s="2" t="s">
        <v>291</v>
      </c>
      <c r="K184" s="2" t="s">
        <v>105</v>
      </c>
      <c r="L184" s="2" t="s">
        <v>76</v>
      </c>
      <c r="M184" s="155"/>
      <c r="N184" s="155"/>
      <c r="O184" s="2">
        <v>6</v>
      </c>
      <c r="P184" s="6"/>
      <c r="Q184" s="132" t="str">
        <f t="shared" si="35"/>
        <v/>
      </c>
      <c r="R184" s="33" t="str">
        <f t="shared" si="36"/>
        <v/>
      </c>
      <c r="S184" s="132" t="str">
        <f t="shared" si="37"/>
        <v/>
      </c>
      <c r="T184" s="132" t="str">
        <f t="shared" si="40"/>
        <v/>
      </c>
      <c r="W184" s="13"/>
      <c r="CH184">
        <v>3</v>
      </c>
      <c r="CI184">
        <v>60</v>
      </c>
    </row>
    <row r="185" spans="1:87" x14ac:dyDescent="0.3">
      <c r="A185" s="2">
        <v>796</v>
      </c>
      <c r="B185" s="2" t="s">
        <v>0</v>
      </c>
      <c r="C185" s="2" t="s">
        <v>21</v>
      </c>
      <c r="D185" s="2" t="s">
        <v>446</v>
      </c>
      <c r="E185" s="2">
        <v>700</v>
      </c>
      <c r="F185" s="2">
        <v>1.6799999999999999E-2</v>
      </c>
      <c r="G185" s="2">
        <v>1.32E-2</v>
      </c>
      <c r="H185" s="4">
        <f t="shared" si="39"/>
        <v>0.21428571428571425</v>
      </c>
      <c r="I185" s="2" t="s">
        <v>98</v>
      </c>
      <c r="J185" s="2" t="s">
        <v>418</v>
      </c>
      <c r="K185" s="2" t="s">
        <v>105</v>
      </c>
      <c r="L185" s="2" t="s">
        <v>76</v>
      </c>
      <c r="M185" s="155"/>
      <c r="N185" s="155"/>
      <c r="O185" s="2">
        <v>6</v>
      </c>
      <c r="P185" s="6">
        <v>30</v>
      </c>
      <c r="Q185" s="132">
        <f t="shared" si="35"/>
        <v>8.2285714285714278</v>
      </c>
      <c r="R185" s="33">
        <f t="shared" si="36"/>
        <v>30.000000000000004</v>
      </c>
      <c r="S185" s="132">
        <f t="shared" si="37"/>
        <v>3.7500000000000004</v>
      </c>
      <c r="T185" s="132">
        <f t="shared" si="40"/>
        <v>3.7500000000000004</v>
      </c>
      <c r="W185" s="13"/>
      <c r="CH185">
        <v>6</v>
      </c>
      <c r="CI185">
        <v>76</v>
      </c>
    </row>
    <row r="186" spans="1:87" x14ac:dyDescent="0.3">
      <c r="A186" s="2">
        <v>797</v>
      </c>
      <c r="B186" s="2" t="s">
        <v>84</v>
      </c>
      <c r="C186" s="2" t="s">
        <v>21</v>
      </c>
      <c r="D186" s="123" t="s">
        <v>447</v>
      </c>
      <c r="E186" s="2">
        <v>840</v>
      </c>
      <c r="F186" s="2">
        <v>1.23E-2</v>
      </c>
      <c r="G186" s="2">
        <v>9.2999999999999992E-3</v>
      </c>
      <c r="H186" s="4">
        <f t="shared" si="39"/>
        <v>0.24390243902439032</v>
      </c>
      <c r="I186" s="123" t="s">
        <v>86</v>
      </c>
      <c r="J186" s="2" t="s">
        <v>315</v>
      </c>
      <c r="K186" s="2" t="s">
        <v>105</v>
      </c>
      <c r="L186" s="2" t="s">
        <v>76</v>
      </c>
      <c r="M186" s="155"/>
      <c r="N186" s="155"/>
      <c r="O186" s="2">
        <v>6</v>
      </c>
      <c r="P186" s="6"/>
      <c r="Q186" s="132" t="str">
        <f t="shared" si="35"/>
        <v/>
      </c>
      <c r="R186" s="33" t="str">
        <f t="shared" si="36"/>
        <v/>
      </c>
      <c r="S186" s="132" t="str">
        <f t="shared" si="37"/>
        <v/>
      </c>
      <c r="T186" s="132" t="str">
        <f t="shared" si="40"/>
        <v/>
      </c>
      <c r="W186" s="13"/>
      <c r="CH186">
        <v>4</v>
      </c>
      <c r="CI186">
        <v>76</v>
      </c>
    </row>
    <row r="187" spans="1:87" x14ac:dyDescent="0.3">
      <c r="A187" s="2">
        <v>798</v>
      </c>
      <c r="B187" s="2" t="s">
        <v>0</v>
      </c>
      <c r="C187" s="2" t="s">
        <v>21</v>
      </c>
      <c r="D187" s="2" t="s">
        <v>448</v>
      </c>
      <c r="E187" s="2">
        <v>840</v>
      </c>
      <c r="F187" s="2">
        <v>1.23E-2</v>
      </c>
      <c r="G187" s="2">
        <v>9.2999999999999992E-3</v>
      </c>
      <c r="H187" s="4">
        <f t="shared" si="39"/>
        <v>0.24390243902439032</v>
      </c>
      <c r="I187" s="2" t="s">
        <v>98</v>
      </c>
      <c r="J187" s="2" t="s">
        <v>412</v>
      </c>
      <c r="K187" s="2" t="s">
        <v>105</v>
      </c>
      <c r="L187" s="2" t="s">
        <v>76</v>
      </c>
      <c r="M187" s="155"/>
      <c r="N187" s="155"/>
      <c r="O187" s="2">
        <v>6</v>
      </c>
      <c r="P187" s="6">
        <v>30</v>
      </c>
      <c r="Q187" s="132">
        <f t="shared" si="35"/>
        <v>6.8571428571428568</v>
      </c>
      <c r="R187" s="33">
        <f t="shared" si="36"/>
        <v>30.000000000000004</v>
      </c>
      <c r="S187" s="132">
        <f t="shared" si="37"/>
        <v>3.7500000000000004</v>
      </c>
      <c r="T187" s="132">
        <f t="shared" si="40"/>
        <v>3.7500000000000004</v>
      </c>
      <c r="W187" s="13"/>
      <c r="CH187">
        <v>2</v>
      </c>
      <c r="CI187">
        <v>34</v>
      </c>
    </row>
    <row r="188" spans="1:87" x14ac:dyDescent="0.3">
      <c r="A188" s="23">
        <v>1135</v>
      </c>
      <c r="B188" s="2" t="s">
        <v>0</v>
      </c>
      <c r="C188" s="2" t="s">
        <v>21</v>
      </c>
      <c r="D188" s="2" t="s">
        <v>449</v>
      </c>
      <c r="E188" s="2">
        <v>500</v>
      </c>
      <c r="F188" s="2">
        <v>1.18E-2</v>
      </c>
      <c r="G188" s="2">
        <v>7.4999999999999997E-3</v>
      </c>
      <c r="H188" s="4">
        <f t="shared" si="39"/>
        <v>0.36440677966101698</v>
      </c>
      <c r="I188" s="2" t="s">
        <v>73</v>
      </c>
      <c r="J188" s="2" t="s">
        <v>74</v>
      </c>
      <c r="K188" s="23" t="s">
        <v>5</v>
      </c>
      <c r="L188" s="2" t="s">
        <v>6</v>
      </c>
      <c r="M188" s="155">
        <v>5</v>
      </c>
      <c r="N188" s="155">
        <v>100</v>
      </c>
      <c r="O188" s="2">
        <v>6</v>
      </c>
      <c r="P188" s="6">
        <v>40</v>
      </c>
      <c r="Q188" s="132">
        <f t="shared" si="35"/>
        <v>8.1</v>
      </c>
      <c r="R188" s="33">
        <f t="shared" si="36"/>
        <v>42.666666666666671</v>
      </c>
      <c r="S188" s="132">
        <f t="shared" si="37"/>
        <v>5.3333333333333339</v>
      </c>
      <c r="T188" s="132">
        <f t="shared" si="40"/>
        <v>5.3333333333333339</v>
      </c>
      <c r="W188" s="13"/>
      <c r="Z188" t="s">
        <v>359</v>
      </c>
      <c r="AD188" s="22">
        <v>45499</v>
      </c>
      <c r="AE188">
        <v>14</v>
      </c>
      <c r="AF188">
        <v>2.2999999999999998</v>
      </c>
      <c r="AG188">
        <v>0.5</v>
      </c>
      <c r="AH188">
        <v>2.2999999999999998</v>
      </c>
      <c r="AI188">
        <v>0.5</v>
      </c>
      <c r="AJ188">
        <v>1</v>
      </c>
      <c r="AK188">
        <v>0.16</v>
      </c>
      <c r="AL188">
        <v>0.17</v>
      </c>
      <c r="AM188">
        <v>0.4</v>
      </c>
      <c r="AN188" s="42">
        <v>0.25</v>
      </c>
      <c r="AO188">
        <v>8.1</v>
      </c>
      <c r="AP188">
        <v>54</v>
      </c>
      <c r="AQ188">
        <v>97</v>
      </c>
      <c r="AR188">
        <v>97</v>
      </c>
      <c r="AS188">
        <v>97</v>
      </c>
      <c r="AT188">
        <v>40</v>
      </c>
      <c r="AU188">
        <v>20</v>
      </c>
      <c r="AV188">
        <v>40</v>
      </c>
      <c r="AW188">
        <v>20</v>
      </c>
      <c r="AX188">
        <v>70</v>
      </c>
      <c r="AY188">
        <v>315</v>
      </c>
      <c r="AZ188" t="s">
        <v>78</v>
      </c>
      <c r="BA188">
        <v>900</v>
      </c>
      <c r="BB188">
        <v>10</v>
      </c>
      <c r="CH188">
        <v>3</v>
      </c>
      <c r="CI188">
        <v>75</v>
      </c>
    </row>
    <row r="189" spans="1:87" x14ac:dyDescent="0.3">
      <c r="A189" s="2">
        <v>856</v>
      </c>
      <c r="B189" s="2" t="s">
        <v>84</v>
      </c>
      <c r="C189" s="2" t="s">
        <v>21</v>
      </c>
      <c r="D189" s="123" t="s">
        <v>450</v>
      </c>
      <c r="E189" s="2">
        <v>500</v>
      </c>
      <c r="F189" s="2">
        <v>9.2999999999999992E-3</v>
      </c>
      <c r="G189" s="2">
        <v>5.4999999999999997E-3</v>
      </c>
      <c r="H189" s="4">
        <f t="shared" si="39"/>
        <v>0.40860215053763438</v>
      </c>
      <c r="I189" s="123" t="s">
        <v>86</v>
      </c>
      <c r="J189" s="2" t="s">
        <v>218</v>
      </c>
      <c r="K189" s="2" t="s">
        <v>90</v>
      </c>
      <c r="L189" s="2" t="s">
        <v>6</v>
      </c>
      <c r="M189" s="155"/>
      <c r="N189" s="155"/>
      <c r="O189" s="2">
        <v>6</v>
      </c>
      <c r="P189" s="6">
        <v>40</v>
      </c>
      <c r="Q189" s="132">
        <f t="shared" si="35"/>
        <v>8.64</v>
      </c>
      <c r="R189" s="33">
        <f t="shared" si="36"/>
        <v>40</v>
      </c>
      <c r="S189" s="132">
        <f t="shared" si="37"/>
        <v>5</v>
      </c>
      <c r="T189" s="132">
        <f t="shared" si="40"/>
        <v>5</v>
      </c>
      <c r="W189" s="13"/>
      <c r="CH189">
        <v>6</v>
      </c>
      <c r="CI189">
        <v>86</v>
      </c>
    </row>
    <row r="190" spans="1:87" x14ac:dyDescent="0.3">
      <c r="A190" s="23">
        <v>1136</v>
      </c>
      <c r="B190" s="2" t="s">
        <v>0</v>
      </c>
      <c r="C190" s="2" t="s">
        <v>21</v>
      </c>
      <c r="D190" s="2" t="s">
        <v>451</v>
      </c>
      <c r="E190" s="2">
        <v>500</v>
      </c>
      <c r="F190" s="2">
        <v>1.4200000000000001E-2</v>
      </c>
      <c r="G190" s="2">
        <v>8.8000000000000005E-3</v>
      </c>
      <c r="H190" s="4">
        <f t="shared" si="39"/>
        <v>0.38028169014084506</v>
      </c>
      <c r="I190" s="2" t="s">
        <v>73</v>
      </c>
      <c r="J190" s="2" t="s">
        <v>452</v>
      </c>
      <c r="K190" s="2" t="s">
        <v>5</v>
      </c>
      <c r="L190" s="2" t="s">
        <v>6</v>
      </c>
      <c r="M190" s="155">
        <v>5</v>
      </c>
      <c r="N190" s="155">
        <v>100</v>
      </c>
      <c r="O190" s="2">
        <v>6</v>
      </c>
      <c r="P190" s="6">
        <v>35</v>
      </c>
      <c r="Q190" s="132">
        <f t="shared" si="35"/>
        <v>7.3</v>
      </c>
      <c r="R190" s="33">
        <f t="shared" si="36"/>
        <v>47.342465753424662</v>
      </c>
      <c r="S190" s="132">
        <f t="shared" si="37"/>
        <v>5.9178082191780828</v>
      </c>
      <c r="T190" s="132">
        <f t="shared" si="40"/>
        <v>5.9178082191780828</v>
      </c>
      <c r="W190" s="13"/>
      <c r="Z190" t="s">
        <v>359</v>
      </c>
      <c r="AD190" s="22">
        <v>45532</v>
      </c>
      <c r="AE190">
        <v>14</v>
      </c>
      <c r="AF190">
        <v>2</v>
      </c>
      <c r="AG190">
        <v>0.4</v>
      </c>
      <c r="AH190">
        <v>2</v>
      </c>
      <c r="AI190">
        <v>0.4</v>
      </c>
      <c r="AJ190">
        <v>0.65</v>
      </c>
      <c r="AK190">
        <v>0.16</v>
      </c>
      <c r="AL190">
        <v>0.18</v>
      </c>
      <c r="AM190">
        <v>0.6</v>
      </c>
      <c r="AN190">
        <v>0.3</v>
      </c>
      <c r="AO190">
        <v>7.3</v>
      </c>
      <c r="AP190">
        <v>49</v>
      </c>
      <c r="AQ190">
        <v>95</v>
      </c>
      <c r="AR190">
        <v>95</v>
      </c>
      <c r="AS190">
        <v>95</v>
      </c>
      <c r="AT190">
        <v>45</v>
      </c>
      <c r="AU190">
        <v>20</v>
      </c>
      <c r="AV190">
        <v>40</v>
      </c>
      <c r="AW190">
        <v>20</v>
      </c>
      <c r="AX190">
        <v>70</v>
      </c>
      <c r="AY190">
        <v>315</v>
      </c>
      <c r="AZ190" t="s">
        <v>78</v>
      </c>
      <c r="BA190">
        <v>900</v>
      </c>
      <c r="BB190">
        <v>10</v>
      </c>
      <c r="BE190" s="116">
        <f>AO190/BQ190-1</f>
        <v>-8.7500000000000022E-2</v>
      </c>
      <c r="BF190" s="22">
        <v>45423</v>
      </c>
      <c r="BG190">
        <v>14</v>
      </c>
      <c r="BH190">
        <v>2</v>
      </c>
      <c r="BI190">
        <v>0.5</v>
      </c>
      <c r="BJ190">
        <v>2</v>
      </c>
      <c r="BK190">
        <v>0.5</v>
      </c>
      <c r="BL190">
        <v>1.2</v>
      </c>
      <c r="BM190">
        <v>0.15</v>
      </c>
      <c r="BN190">
        <v>0.17</v>
      </c>
      <c r="BO190">
        <v>0.6</v>
      </c>
      <c r="BP190">
        <v>0.3</v>
      </c>
      <c r="BQ190">
        <v>8</v>
      </c>
      <c r="BR190">
        <v>55</v>
      </c>
      <c r="BS190">
        <v>99</v>
      </c>
      <c r="BT190">
        <v>99</v>
      </c>
      <c r="BU190">
        <v>99</v>
      </c>
      <c r="BV190">
        <v>40</v>
      </c>
      <c r="BW190">
        <v>20</v>
      </c>
      <c r="BX190">
        <v>40</v>
      </c>
      <c r="BY190">
        <v>20</v>
      </c>
      <c r="BZ190">
        <v>100</v>
      </c>
      <c r="CA190">
        <v>315</v>
      </c>
      <c r="CB190" t="s">
        <v>78</v>
      </c>
      <c r="CC190">
        <v>700</v>
      </c>
      <c r="CD190">
        <v>10</v>
      </c>
      <c r="CH190">
        <v>1</v>
      </c>
      <c r="CI190">
        <v>66</v>
      </c>
    </row>
    <row r="191" spans="1:87" x14ac:dyDescent="0.3">
      <c r="A191" s="2">
        <v>858</v>
      </c>
      <c r="B191" s="2" t="s">
        <v>84</v>
      </c>
      <c r="C191" s="2" t="s">
        <v>21</v>
      </c>
      <c r="D191" s="123" t="s">
        <v>453</v>
      </c>
      <c r="E191" s="2">
        <v>500</v>
      </c>
      <c r="F191" s="2">
        <v>1.15E-2</v>
      </c>
      <c r="G191" s="2">
        <v>6.6E-3</v>
      </c>
      <c r="H191" s="4">
        <f t="shared" si="39"/>
        <v>0.42608695652173911</v>
      </c>
      <c r="I191" s="123" t="s">
        <v>86</v>
      </c>
      <c r="J191" s="2" t="s">
        <v>216</v>
      </c>
      <c r="K191" s="2" t="s">
        <v>90</v>
      </c>
      <c r="L191" s="2" t="s">
        <v>6</v>
      </c>
      <c r="M191" s="155"/>
      <c r="N191" s="155"/>
      <c r="O191" s="2">
        <v>6</v>
      </c>
      <c r="P191" s="6">
        <v>35</v>
      </c>
      <c r="Q191" s="132">
        <f t="shared" si="35"/>
        <v>9.8742857142857137</v>
      </c>
      <c r="R191" s="33">
        <f t="shared" si="36"/>
        <v>35.000000000000007</v>
      </c>
      <c r="S191" s="132">
        <f t="shared" si="37"/>
        <v>4.3750000000000009</v>
      </c>
      <c r="T191" s="132">
        <f t="shared" si="40"/>
        <v>4.3750000000000009</v>
      </c>
      <c r="W191" s="13"/>
      <c r="CH191">
        <v>6</v>
      </c>
      <c r="CI191">
        <v>40</v>
      </c>
    </row>
    <row r="192" spans="1:87" x14ac:dyDescent="0.3">
      <c r="A192" s="2">
        <v>869</v>
      </c>
      <c r="B192" s="2" t="s">
        <v>0</v>
      </c>
      <c r="C192" s="2" t="s">
        <v>21</v>
      </c>
      <c r="D192" s="2" t="s">
        <v>454</v>
      </c>
      <c r="E192" s="2">
        <v>540</v>
      </c>
      <c r="F192" s="2">
        <v>2.53E-2</v>
      </c>
      <c r="G192" s="2">
        <v>1.55E-2</v>
      </c>
      <c r="H192" s="4">
        <f t="shared" si="39"/>
        <v>0.38735177865612647</v>
      </c>
      <c r="I192" s="2" t="s">
        <v>455</v>
      </c>
      <c r="J192" s="2" t="s">
        <v>456</v>
      </c>
      <c r="K192" s="2" t="s">
        <v>200</v>
      </c>
      <c r="L192" s="2" t="s">
        <v>76</v>
      </c>
      <c r="M192" s="155"/>
      <c r="N192" s="155"/>
      <c r="O192" s="2">
        <v>6</v>
      </c>
      <c r="P192" s="6">
        <v>30</v>
      </c>
      <c r="Q192" s="132">
        <f t="shared" si="35"/>
        <v>10.666666666666666</v>
      </c>
      <c r="R192" s="33">
        <f t="shared" si="36"/>
        <v>30</v>
      </c>
      <c r="S192" s="132">
        <f t="shared" si="37"/>
        <v>3.75</v>
      </c>
      <c r="T192" s="132">
        <f t="shared" si="40"/>
        <v>3.75</v>
      </c>
      <c r="W192" s="13"/>
      <c r="CH192">
        <v>6</v>
      </c>
      <c r="CI192">
        <v>74</v>
      </c>
    </row>
    <row r="193" spans="1:87" x14ac:dyDescent="0.3">
      <c r="A193" s="2">
        <v>870</v>
      </c>
      <c r="B193" s="2" t="s">
        <v>0</v>
      </c>
      <c r="C193" s="2" t="s">
        <v>21</v>
      </c>
      <c r="D193" s="2" t="s">
        <v>457</v>
      </c>
      <c r="E193" s="2">
        <v>540</v>
      </c>
      <c r="F193" s="2">
        <v>2.53E-2</v>
      </c>
      <c r="G193" s="2">
        <v>1.55E-2</v>
      </c>
      <c r="H193" s="4">
        <f t="shared" si="39"/>
        <v>0.38735177865612647</v>
      </c>
      <c r="I193" s="2" t="s">
        <v>455</v>
      </c>
      <c r="J193" s="2" t="s">
        <v>456</v>
      </c>
      <c r="K193" s="2" t="s">
        <v>200</v>
      </c>
      <c r="L193" s="2" t="s">
        <v>76</v>
      </c>
      <c r="M193" s="155"/>
      <c r="N193" s="155"/>
      <c r="O193" s="2">
        <v>6</v>
      </c>
      <c r="P193" s="6">
        <v>35</v>
      </c>
      <c r="Q193" s="132">
        <f t="shared" si="35"/>
        <v>9.1428571428571423</v>
      </c>
      <c r="R193" s="33">
        <f t="shared" si="36"/>
        <v>35</v>
      </c>
      <c r="S193" s="132">
        <f t="shared" si="37"/>
        <v>4.375</v>
      </c>
      <c r="T193" s="132">
        <f t="shared" si="40"/>
        <v>4.375</v>
      </c>
      <c r="W193" s="13"/>
      <c r="CH193">
        <v>2</v>
      </c>
      <c r="CI193">
        <v>58</v>
      </c>
    </row>
    <row r="194" spans="1:87" x14ac:dyDescent="0.3">
      <c r="A194" s="2">
        <v>206</v>
      </c>
      <c r="B194" s="2" t="s">
        <v>0</v>
      </c>
      <c r="C194" s="2" t="s">
        <v>21</v>
      </c>
      <c r="D194" s="2" t="s">
        <v>458</v>
      </c>
      <c r="E194" s="2">
        <v>1600</v>
      </c>
      <c r="F194" s="2">
        <v>8.8999999999999999E-3</v>
      </c>
      <c r="G194" s="2">
        <v>6.8999999999999999E-3</v>
      </c>
      <c r="H194" s="4">
        <f t="shared" si="39"/>
        <v>0.2247191011235955</v>
      </c>
      <c r="I194" s="2" t="s">
        <v>82</v>
      </c>
      <c r="J194" s="2" t="s">
        <v>134</v>
      </c>
      <c r="K194" s="2" t="s">
        <v>105</v>
      </c>
      <c r="L194" s="2" t="s">
        <v>76</v>
      </c>
      <c r="M194" s="155"/>
      <c r="N194" s="155"/>
      <c r="O194" s="2">
        <v>10</v>
      </c>
      <c r="P194" s="6">
        <v>20</v>
      </c>
      <c r="Q194" s="132">
        <f t="shared" si="35"/>
        <v>9</v>
      </c>
      <c r="R194" s="33">
        <f t="shared" ref="R194:R225" si="41">IFERROR(60*60*8*O194/E194/Q194,"")</f>
        <v>20</v>
      </c>
      <c r="S194" s="132">
        <f t="shared" ref="S194:S225" si="42">IFERROR(R194/8,"")</f>
        <v>2.5</v>
      </c>
      <c r="T194" s="132">
        <f t="shared" si="40"/>
        <v>2.5</v>
      </c>
      <c r="W194" s="13"/>
      <c r="CH194">
        <v>1</v>
      </c>
      <c r="CI194">
        <v>71</v>
      </c>
    </row>
    <row r="195" spans="1:87" x14ac:dyDescent="0.3">
      <c r="A195" s="2">
        <v>900</v>
      </c>
      <c r="B195" s="2" t="s">
        <v>84</v>
      </c>
      <c r="C195" s="2" t="s">
        <v>21</v>
      </c>
      <c r="D195" s="123" t="s">
        <v>459</v>
      </c>
      <c r="E195" s="2">
        <v>1650</v>
      </c>
      <c r="F195" s="2">
        <v>7.0000000000000001E-3</v>
      </c>
      <c r="G195" s="2">
        <v>5.4000000000000003E-3</v>
      </c>
      <c r="H195" s="4">
        <f t="shared" si="39"/>
        <v>0.22857142857142854</v>
      </c>
      <c r="I195" s="123" t="s">
        <v>86</v>
      </c>
      <c r="J195" s="2" t="s">
        <v>136</v>
      </c>
      <c r="K195" s="2" t="s">
        <v>105</v>
      </c>
      <c r="L195" s="2" t="s">
        <v>76</v>
      </c>
      <c r="M195" s="155"/>
      <c r="N195" s="155"/>
      <c r="O195" s="2">
        <v>10</v>
      </c>
      <c r="P195" s="6"/>
      <c r="Q195" s="132" t="str">
        <f t="shared" si="35"/>
        <v/>
      </c>
      <c r="R195" s="33" t="str">
        <f t="shared" si="41"/>
        <v/>
      </c>
      <c r="S195" s="132" t="str">
        <f t="shared" si="42"/>
        <v/>
      </c>
      <c r="T195" s="132" t="str">
        <f t="shared" si="40"/>
        <v/>
      </c>
      <c r="W195" s="13"/>
      <c r="CH195">
        <v>6</v>
      </c>
      <c r="CI195">
        <v>57</v>
      </c>
    </row>
    <row r="196" spans="1:87" x14ac:dyDescent="0.3">
      <c r="A196" s="2">
        <v>901</v>
      </c>
      <c r="B196" s="2" t="s">
        <v>0</v>
      </c>
      <c r="C196" s="2" t="s">
        <v>21</v>
      </c>
      <c r="D196" s="2" t="s">
        <v>460</v>
      </c>
      <c r="E196" s="2">
        <v>1500</v>
      </c>
      <c r="F196" s="2">
        <v>9.7000000000000003E-3</v>
      </c>
      <c r="G196" s="2">
        <v>6.4000000000000003E-3</v>
      </c>
      <c r="H196" s="4">
        <f t="shared" si="39"/>
        <v>0.34020618556701032</v>
      </c>
      <c r="I196" s="2" t="s">
        <v>98</v>
      </c>
      <c r="J196" s="2" t="s">
        <v>194</v>
      </c>
      <c r="K196" s="2" t="s">
        <v>105</v>
      </c>
      <c r="L196" s="2" t="s">
        <v>76</v>
      </c>
      <c r="M196" s="155"/>
      <c r="N196" s="155"/>
      <c r="O196" s="2">
        <v>10</v>
      </c>
      <c r="P196" s="6">
        <v>25</v>
      </c>
      <c r="Q196" s="132">
        <f t="shared" si="35"/>
        <v>7.68</v>
      </c>
      <c r="R196" s="33">
        <f t="shared" si="41"/>
        <v>25</v>
      </c>
      <c r="S196" s="132">
        <f t="shared" si="42"/>
        <v>3.125</v>
      </c>
      <c r="T196" s="132">
        <f t="shared" si="40"/>
        <v>3.125</v>
      </c>
      <c r="W196" s="13"/>
      <c r="CH196">
        <v>1</v>
      </c>
      <c r="CI196">
        <v>61</v>
      </c>
    </row>
    <row r="197" spans="1:87" x14ac:dyDescent="0.3">
      <c r="A197" s="2">
        <v>907</v>
      </c>
      <c r="B197" s="2" t="s">
        <v>84</v>
      </c>
      <c r="C197" s="2" t="s">
        <v>21</v>
      </c>
      <c r="D197" s="2" t="s">
        <v>461</v>
      </c>
      <c r="E197" s="2">
        <v>750</v>
      </c>
      <c r="F197" s="2">
        <v>1.09E-2</v>
      </c>
      <c r="G197" s="2">
        <v>9.1000000000000004E-3</v>
      </c>
      <c r="H197" s="4">
        <f t="shared" si="39"/>
        <v>0.16513761467889904</v>
      </c>
      <c r="I197" s="2" t="s">
        <v>98</v>
      </c>
      <c r="J197" s="2" t="s">
        <v>418</v>
      </c>
      <c r="K197" s="2" t="s">
        <v>105</v>
      </c>
      <c r="L197" s="2" t="s">
        <v>76</v>
      </c>
      <c r="M197" s="155"/>
      <c r="N197" s="155"/>
      <c r="O197" s="2">
        <v>8</v>
      </c>
      <c r="P197" s="6">
        <v>45</v>
      </c>
      <c r="Q197" s="132">
        <f t="shared" si="35"/>
        <v>6.8266666666666671</v>
      </c>
      <c r="R197" s="33">
        <f t="shared" si="41"/>
        <v>44.999999999999993</v>
      </c>
      <c r="S197" s="132">
        <f t="shared" si="42"/>
        <v>5.6249999999999991</v>
      </c>
      <c r="T197" s="132">
        <f t="shared" si="40"/>
        <v>5.6249999999999991</v>
      </c>
      <c r="W197" s="13"/>
      <c r="CH197">
        <v>2</v>
      </c>
      <c r="CI197">
        <v>72</v>
      </c>
    </row>
    <row r="198" spans="1:87" x14ac:dyDescent="0.3">
      <c r="A198" s="2">
        <v>1895</v>
      </c>
      <c r="B198" s="2" t="s">
        <v>0</v>
      </c>
      <c r="C198" s="2" t="s">
        <v>21</v>
      </c>
      <c r="D198" s="2" t="s">
        <v>462</v>
      </c>
      <c r="E198" s="2">
        <v>850</v>
      </c>
      <c r="F198" s="2">
        <v>9.4999999999999998E-3</v>
      </c>
      <c r="G198" s="2">
        <v>7.4000000000000003E-3</v>
      </c>
      <c r="H198" s="4">
        <f t="shared" si="39"/>
        <v>0.22105263157894731</v>
      </c>
      <c r="I198" s="2" t="s">
        <v>73</v>
      </c>
      <c r="J198" s="2" t="s">
        <v>356</v>
      </c>
      <c r="K198" s="2" t="s">
        <v>357</v>
      </c>
      <c r="L198" s="2" t="s">
        <v>6</v>
      </c>
      <c r="M198" s="155" t="s">
        <v>463</v>
      </c>
      <c r="N198" s="155"/>
      <c r="O198" s="2">
        <v>6</v>
      </c>
      <c r="P198" s="6">
        <v>25</v>
      </c>
      <c r="Q198" s="132">
        <f t="shared" si="35"/>
        <v>8.1317647058823521</v>
      </c>
      <c r="R198" s="33">
        <f t="shared" si="41"/>
        <v>25</v>
      </c>
      <c r="S198" s="132">
        <f t="shared" si="42"/>
        <v>3.125</v>
      </c>
      <c r="T198" s="132">
        <f t="shared" si="40"/>
        <v>3.125</v>
      </c>
      <c r="W198" s="13"/>
      <c r="CH198">
        <v>4</v>
      </c>
      <c r="CI198">
        <v>83</v>
      </c>
    </row>
    <row r="199" spans="1:87" x14ac:dyDescent="0.3">
      <c r="A199" s="2">
        <v>13</v>
      </c>
      <c r="B199" s="2" t="s">
        <v>84</v>
      </c>
      <c r="C199" s="2" t="s">
        <v>21</v>
      </c>
      <c r="D199" s="2" t="s">
        <v>464</v>
      </c>
      <c r="E199" s="2">
        <v>1000</v>
      </c>
      <c r="F199" s="2">
        <v>1.6899999999999998E-2</v>
      </c>
      <c r="G199" s="2"/>
      <c r="H199" s="4">
        <f t="shared" si="39"/>
        <v>1</v>
      </c>
      <c r="I199" s="2" t="s">
        <v>370</v>
      </c>
      <c r="J199" s="2" t="s">
        <v>373</v>
      </c>
      <c r="K199" s="2" t="s">
        <v>222</v>
      </c>
      <c r="L199" s="2" t="s">
        <v>76</v>
      </c>
      <c r="M199" s="155"/>
      <c r="N199" s="155"/>
      <c r="O199" s="2">
        <v>6</v>
      </c>
      <c r="P199" s="6"/>
      <c r="Q199" s="132" t="str">
        <f t="shared" si="35"/>
        <v/>
      </c>
      <c r="R199" s="33" t="str">
        <f t="shared" si="41"/>
        <v/>
      </c>
      <c r="S199" s="132" t="str">
        <f t="shared" si="42"/>
        <v/>
      </c>
      <c r="T199" s="132" t="str">
        <f t="shared" si="40"/>
        <v/>
      </c>
      <c r="W199" s="13"/>
      <c r="Y199"/>
      <c r="CH199">
        <v>3</v>
      </c>
      <c r="CI199">
        <v>84</v>
      </c>
    </row>
    <row r="200" spans="1:87" x14ac:dyDescent="0.3">
      <c r="A200" s="2">
        <v>915</v>
      </c>
      <c r="B200" s="2" t="s">
        <v>84</v>
      </c>
      <c r="C200" s="2" t="s">
        <v>21</v>
      </c>
      <c r="D200" s="123" t="s">
        <v>465</v>
      </c>
      <c r="E200" s="2">
        <v>600</v>
      </c>
      <c r="F200" s="2">
        <v>3.1699999999999999E-2</v>
      </c>
      <c r="G200" s="2">
        <v>2.24E-2</v>
      </c>
      <c r="H200" s="4">
        <f t="shared" si="39"/>
        <v>0.29337539432176657</v>
      </c>
      <c r="I200" s="123" t="s">
        <v>86</v>
      </c>
      <c r="J200" s="2" t="s">
        <v>87</v>
      </c>
      <c r="K200" s="2" t="s">
        <v>222</v>
      </c>
      <c r="L200" s="2" t="s">
        <v>76</v>
      </c>
      <c r="M200" s="155"/>
      <c r="N200" s="155"/>
      <c r="O200" s="2">
        <v>2</v>
      </c>
      <c r="P200" s="6"/>
      <c r="Q200" s="132" t="str">
        <f t="shared" si="35"/>
        <v/>
      </c>
      <c r="R200" s="33" t="str">
        <f t="shared" si="41"/>
        <v/>
      </c>
      <c r="S200" s="132" t="str">
        <f t="shared" si="42"/>
        <v/>
      </c>
      <c r="T200" s="132" t="str">
        <f t="shared" si="40"/>
        <v/>
      </c>
      <c r="W200" s="13"/>
      <c r="CH200">
        <v>3</v>
      </c>
      <c r="CI200">
        <v>90</v>
      </c>
    </row>
    <row r="201" spans="1:87" x14ac:dyDescent="0.3">
      <c r="A201" s="2">
        <v>1030</v>
      </c>
      <c r="B201" s="2" t="s">
        <v>0</v>
      </c>
      <c r="C201" s="2" t="s">
        <v>21</v>
      </c>
      <c r="D201" s="2" t="s">
        <v>466</v>
      </c>
      <c r="E201" s="2">
        <v>400</v>
      </c>
      <c r="F201" s="2">
        <v>3.6799999999999999E-2</v>
      </c>
      <c r="G201" s="2">
        <v>2.6599999999999999E-2</v>
      </c>
      <c r="H201" s="4">
        <f t="shared" si="39"/>
        <v>0.27717391304347827</v>
      </c>
      <c r="I201" s="2" t="s">
        <v>82</v>
      </c>
      <c r="J201" s="2" t="s">
        <v>467</v>
      </c>
      <c r="K201" s="2" t="s">
        <v>222</v>
      </c>
      <c r="L201" s="2" t="s">
        <v>76</v>
      </c>
      <c r="M201" s="155"/>
      <c r="N201" s="155"/>
      <c r="O201" s="2">
        <v>2</v>
      </c>
      <c r="P201" s="6">
        <v>18</v>
      </c>
      <c r="Q201" s="132">
        <f t="shared" si="35"/>
        <v>8</v>
      </c>
      <c r="R201" s="33">
        <f t="shared" si="41"/>
        <v>18</v>
      </c>
      <c r="S201" s="132">
        <f t="shared" si="42"/>
        <v>2.25</v>
      </c>
      <c r="T201" s="132">
        <f t="shared" si="40"/>
        <v>2.25</v>
      </c>
      <c r="W201" s="13"/>
      <c r="CH201">
        <v>5</v>
      </c>
      <c r="CI201">
        <v>59</v>
      </c>
    </row>
    <row r="202" spans="1:87" x14ac:dyDescent="0.3">
      <c r="A202" s="23">
        <v>1093</v>
      </c>
      <c r="B202" s="93" t="s">
        <v>0</v>
      </c>
      <c r="C202" s="93" t="s">
        <v>21</v>
      </c>
      <c r="D202" s="93" t="s">
        <v>468</v>
      </c>
      <c r="E202" s="93">
        <v>300</v>
      </c>
      <c r="F202" s="2">
        <v>1.09E-2</v>
      </c>
      <c r="G202" s="2">
        <v>6.4000000000000003E-3</v>
      </c>
      <c r="H202" s="4">
        <f t="shared" si="39"/>
        <v>0.41284403669724767</v>
      </c>
      <c r="I202" s="2" t="s">
        <v>82</v>
      </c>
      <c r="J202" s="2" t="s">
        <v>134</v>
      </c>
      <c r="K202" s="2" t="s">
        <v>469</v>
      </c>
      <c r="L202" s="2" t="s">
        <v>6</v>
      </c>
      <c r="M202" s="155">
        <v>4</v>
      </c>
      <c r="N202" s="155">
        <v>75</v>
      </c>
      <c r="O202" s="2">
        <v>6</v>
      </c>
      <c r="P202" s="6">
        <v>75</v>
      </c>
      <c r="Q202" s="132">
        <f t="shared" si="35"/>
        <v>5.8</v>
      </c>
      <c r="R202" s="33">
        <f t="shared" si="41"/>
        <v>99.310344827586206</v>
      </c>
      <c r="S202" s="132">
        <f t="shared" si="42"/>
        <v>12.413793103448276</v>
      </c>
      <c r="T202" s="132">
        <f t="shared" si="40"/>
        <v>12.413793103448276</v>
      </c>
      <c r="W202" s="13"/>
      <c r="AD202" s="24">
        <v>45518</v>
      </c>
      <c r="AE202">
        <v>12</v>
      </c>
      <c r="AF202">
        <v>1.5</v>
      </c>
      <c r="AG202">
        <v>0.4</v>
      </c>
      <c r="AH202">
        <v>1.5</v>
      </c>
      <c r="AI202">
        <v>0.4</v>
      </c>
      <c r="AJ202">
        <v>0.6</v>
      </c>
      <c r="AK202">
        <v>0.18</v>
      </c>
      <c r="AL202">
        <v>0.18</v>
      </c>
      <c r="AM202">
        <v>0.5</v>
      </c>
      <c r="AN202">
        <v>0.3</v>
      </c>
      <c r="AO202">
        <v>5.8</v>
      </c>
      <c r="AP202">
        <v>52</v>
      </c>
      <c r="AQ202">
        <v>102</v>
      </c>
      <c r="AR202">
        <v>102</v>
      </c>
      <c r="AS202">
        <v>102</v>
      </c>
      <c r="AT202">
        <v>40</v>
      </c>
      <c r="AU202">
        <v>38</v>
      </c>
      <c r="AV202">
        <v>40</v>
      </c>
      <c r="AW202">
        <v>40</v>
      </c>
      <c r="AX202">
        <v>101</v>
      </c>
      <c r="AY202">
        <v>326</v>
      </c>
      <c r="AZ202" t="s">
        <v>78</v>
      </c>
      <c r="BA202">
        <v>2400</v>
      </c>
      <c r="BB202">
        <v>10</v>
      </c>
      <c r="BE202" s="116">
        <f>AO202/BQ202-1</f>
        <v>-0.1470588235294118</v>
      </c>
      <c r="BF202" s="24">
        <v>45348</v>
      </c>
      <c r="BG202">
        <v>12</v>
      </c>
      <c r="BH202">
        <v>2</v>
      </c>
      <c r="BI202">
        <v>1.1000000000000001</v>
      </c>
      <c r="BJ202">
        <v>2.1</v>
      </c>
      <c r="BK202">
        <v>1.1000000000000001</v>
      </c>
      <c r="BL202">
        <v>0.25</v>
      </c>
      <c r="BM202">
        <v>0.15</v>
      </c>
      <c r="BN202">
        <v>0.18</v>
      </c>
      <c r="BO202">
        <v>0.35</v>
      </c>
      <c r="BP202">
        <v>0.25</v>
      </c>
      <c r="BQ202">
        <v>6.8</v>
      </c>
      <c r="BR202">
        <v>41</v>
      </c>
      <c r="BS202">
        <v>97</v>
      </c>
      <c r="BT202">
        <v>98</v>
      </c>
      <c r="BU202">
        <v>98</v>
      </c>
      <c r="BV202">
        <v>44</v>
      </c>
      <c r="BW202">
        <v>38</v>
      </c>
      <c r="BX202">
        <v>40</v>
      </c>
      <c r="BY202">
        <v>40</v>
      </c>
      <c r="BZ202">
        <v>67</v>
      </c>
      <c r="CA202">
        <v>328</v>
      </c>
      <c r="CB202" t="s">
        <v>78</v>
      </c>
      <c r="CC202">
        <v>2550</v>
      </c>
      <c r="CD202">
        <v>10</v>
      </c>
      <c r="CH202">
        <v>5</v>
      </c>
      <c r="CI202">
        <v>80</v>
      </c>
    </row>
    <row r="203" spans="1:87" x14ac:dyDescent="0.3">
      <c r="A203" s="2">
        <v>1076</v>
      </c>
      <c r="B203" s="2" t="s">
        <v>84</v>
      </c>
      <c r="C203" s="2" t="s">
        <v>21</v>
      </c>
      <c r="D203" s="123" t="s">
        <v>470</v>
      </c>
      <c r="E203" s="2">
        <v>240</v>
      </c>
      <c r="F203" s="2">
        <v>1.29E-2</v>
      </c>
      <c r="G203" s="2">
        <v>9.2999999999999992E-3</v>
      </c>
      <c r="H203" s="4">
        <f t="shared" si="39"/>
        <v>0.27906976744186052</v>
      </c>
      <c r="I203" s="123" t="s">
        <v>86</v>
      </c>
      <c r="J203" s="2" t="s">
        <v>291</v>
      </c>
      <c r="K203" s="2" t="s">
        <v>471</v>
      </c>
      <c r="L203" s="2" t="s">
        <v>6</v>
      </c>
      <c r="M203" s="155"/>
      <c r="N203" s="155"/>
      <c r="O203" s="2">
        <v>6</v>
      </c>
      <c r="P203" s="6"/>
      <c r="Q203" s="132" t="str">
        <f t="shared" si="35"/>
        <v/>
      </c>
      <c r="R203" s="33" t="str">
        <f t="shared" si="41"/>
        <v/>
      </c>
      <c r="S203" s="132" t="str">
        <f t="shared" si="42"/>
        <v/>
      </c>
      <c r="T203" s="132" t="str">
        <f t="shared" si="40"/>
        <v/>
      </c>
      <c r="W203" s="13"/>
      <c r="CH203">
        <v>4</v>
      </c>
      <c r="CI203">
        <v>73</v>
      </c>
    </row>
    <row r="204" spans="1:87" x14ac:dyDescent="0.3">
      <c r="A204" s="23">
        <v>1078</v>
      </c>
      <c r="B204" s="2" t="s">
        <v>0</v>
      </c>
      <c r="C204" s="2" t="s">
        <v>21</v>
      </c>
      <c r="D204" s="2" t="s">
        <v>470</v>
      </c>
      <c r="E204" s="2">
        <v>240</v>
      </c>
      <c r="F204" s="2">
        <v>1.37E-2</v>
      </c>
      <c r="G204" s="2">
        <v>9.9000000000000008E-3</v>
      </c>
      <c r="H204" s="91">
        <f t="shared" ref="H204:H235" si="43">(F204-G204)/F204</f>
        <v>0.27737226277372257</v>
      </c>
      <c r="I204" s="2" t="s">
        <v>82</v>
      </c>
      <c r="J204" s="2" t="s">
        <v>174</v>
      </c>
      <c r="K204" s="2" t="s">
        <v>471</v>
      </c>
      <c r="L204" s="2" t="s">
        <v>6</v>
      </c>
      <c r="M204" s="155">
        <v>4</v>
      </c>
      <c r="N204" s="155">
        <v>60</v>
      </c>
      <c r="O204" s="2">
        <v>6</v>
      </c>
      <c r="P204" s="6">
        <v>70</v>
      </c>
      <c r="Q204" s="132">
        <v>6.8</v>
      </c>
      <c r="R204" s="33">
        <f t="shared" si="41"/>
        <v>105.88235294117648</v>
      </c>
      <c r="S204" s="132">
        <f t="shared" si="42"/>
        <v>13.23529411764706</v>
      </c>
      <c r="T204" s="132">
        <f t="shared" si="40"/>
        <v>13.23529411764706</v>
      </c>
      <c r="W204" s="13"/>
      <c r="AD204" s="24">
        <v>45519</v>
      </c>
      <c r="AE204">
        <v>12</v>
      </c>
      <c r="AF204">
        <v>1.2</v>
      </c>
      <c r="AG204">
        <v>0.6</v>
      </c>
      <c r="AH204">
        <v>2.5</v>
      </c>
      <c r="AI204">
        <v>0.6</v>
      </c>
      <c r="AJ204">
        <v>0.5</v>
      </c>
      <c r="AK204">
        <v>0.23</v>
      </c>
      <c r="AL204">
        <v>0.18</v>
      </c>
      <c r="AM204">
        <v>0.4</v>
      </c>
      <c r="AN204">
        <v>0.25</v>
      </c>
      <c r="AO204">
        <v>6.8</v>
      </c>
      <c r="AP204">
        <v>49</v>
      </c>
      <c r="AQ204">
        <v>106</v>
      </c>
      <c r="AR204">
        <v>106</v>
      </c>
      <c r="AS204">
        <v>106</v>
      </c>
      <c r="AT204">
        <v>41</v>
      </c>
      <c r="AU204">
        <v>30</v>
      </c>
      <c r="AV204">
        <v>40</v>
      </c>
      <c r="AW204">
        <v>40</v>
      </c>
      <c r="AX204">
        <v>101</v>
      </c>
      <c r="AY204">
        <v>405</v>
      </c>
      <c r="AZ204" t="s">
        <v>78</v>
      </c>
      <c r="BA204">
        <v>2000</v>
      </c>
      <c r="BB204">
        <v>10</v>
      </c>
      <c r="BE204" s="116">
        <f>AO204/BQ204-1</f>
        <v>-0.49629629629629635</v>
      </c>
      <c r="BF204" s="22">
        <v>45366</v>
      </c>
      <c r="BG204">
        <v>15</v>
      </c>
      <c r="BH204">
        <v>3</v>
      </c>
      <c r="BI204">
        <v>2.5</v>
      </c>
      <c r="BJ204">
        <v>3.8</v>
      </c>
      <c r="BK204">
        <v>2</v>
      </c>
      <c r="BL204">
        <v>0.35</v>
      </c>
      <c r="BM204">
        <v>0.21</v>
      </c>
      <c r="BN204">
        <v>0.18</v>
      </c>
      <c r="BO204">
        <v>0.55000000000000004</v>
      </c>
      <c r="BP204">
        <v>0.57999999999999996</v>
      </c>
      <c r="BQ204">
        <v>13.5</v>
      </c>
      <c r="BR204">
        <v>50</v>
      </c>
      <c r="BS204">
        <v>125</v>
      </c>
      <c r="BT204">
        <v>125</v>
      </c>
      <c r="BU204">
        <v>128</v>
      </c>
      <c r="BV204">
        <v>50</v>
      </c>
      <c r="BW204">
        <v>20</v>
      </c>
      <c r="BX204">
        <v>40</v>
      </c>
      <c r="BY204">
        <v>20</v>
      </c>
      <c r="BZ204">
        <v>100</v>
      </c>
      <c r="CA204">
        <v>392</v>
      </c>
      <c r="CB204" t="s">
        <v>78</v>
      </c>
      <c r="CC204">
        <v>1000</v>
      </c>
      <c r="CD204">
        <v>10</v>
      </c>
      <c r="CH204">
        <v>5</v>
      </c>
      <c r="CI204">
        <v>69</v>
      </c>
    </row>
    <row r="205" spans="1:87" x14ac:dyDescent="0.3">
      <c r="A205" s="2">
        <v>1072</v>
      </c>
      <c r="B205" s="2" t="s">
        <v>0</v>
      </c>
      <c r="C205" s="2" t="s">
        <v>21</v>
      </c>
      <c r="D205" s="2" t="s">
        <v>472</v>
      </c>
      <c r="E205" s="2">
        <v>240</v>
      </c>
      <c r="F205" s="2">
        <v>1.37E-2</v>
      </c>
      <c r="G205" s="2">
        <v>9.9000000000000008E-3</v>
      </c>
      <c r="H205" s="4">
        <f t="shared" si="43"/>
        <v>0.27737226277372257</v>
      </c>
      <c r="I205" s="2" t="s">
        <v>82</v>
      </c>
      <c r="J205" s="2" t="s">
        <v>174</v>
      </c>
      <c r="K205" s="2" t="s">
        <v>471</v>
      </c>
      <c r="L205" s="2" t="s">
        <v>6</v>
      </c>
      <c r="M205" s="155"/>
      <c r="N205" s="155"/>
      <c r="O205" s="2">
        <v>6</v>
      </c>
      <c r="P205" s="6">
        <v>70</v>
      </c>
      <c r="Q205" s="132">
        <f t="shared" ref="Q205:Q238" si="44">IFERROR(IF(AO205&gt;1,AO205,60*60*8*O205/P205/E205),"")</f>
        <v>10.285714285714285</v>
      </c>
      <c r="R205" s="33">
        <f t="shared" si="41"/>
        <v>70</v>
      </c>
      <c r="S205" s="132">
        <f t="shared" si="42"/>
        <v>8.75</v>
      </c>
      <c r="T205" s="132">
        <f t="shared" si="40"/>
        <v>8.75</v>
      </c>
      <c r="W205" s="13"/>
      <c r="CH205">
        <v>2</v>
      </c>
      <c r="CI205">
        <v>37</v>
      </c>
    </row>
    <row r="206" spans="1:87" x14ac:dyDescent="0.3">
      <c r="A206" s="23">
        <v>1075</v>
      </c>
      <c r="B206" s="2" t="s">
        <v>0</v>
      </c>
      <c r="C206" s="2" t="s">
        <v>21</v>
      </c>
      <c r="D206" s="2" t="s">
        <v>473</v>
      </c>
      <c r="E206" s="2">
        <v>240</v>
      </c>
      <c r="F206" s="2">
        <v>1.29E-2</v>
      </c>
      <c r="G206" s="2">
        <v>9.2999999999999992E-3</v>
      </c>
      <c r="H206" s="91">
        <f t="shared" si="43"/>
        <v>0.27906976744186052</v>
      </c>
      <c r="I206" s="2" t="s">
        <v>98</v>
      </c>
      <c r="J206" s="2" t="s">
        <v>474</v>
      </c>
      <c r="K206" s="2" t="s">
        <v>471</v>
      </c>
      <c r="L206" s="2" t="s">
        <v>6</v>
      </c>
      <c r="M206" s="155">
        <v>4</v>
      </c>
      <c r="N206" s="155">
        <v>60</v>
      </c>
      <c r="O206" s="2">
        <v>6</v>
      </c>
      <c r="P206" s="6">
        <v>70</v>
      </c>
      <c r="Q206" s="132">
        <f t="shared" si="44"/>
        <v>6.8</v>
      </c>
      <c r="R206" s="33">
        <f t="shared" si="41"/>
        <v>105.88235294117648</v>
      </c>
      <c r="S206" s="132">
        <f t="shared" si="42"/>
        <v>13.23529411764706</v>
      </c>
      <c r="T206" s="132">
        <f t="shared" si="40"/>
        <v>13.23529411764706</v>
      </c>
      <c r="W206" s="13"/>
      <c r="AD206" s="24">
        <v>45524</v>
      </c>
      <c r="AE206">
        <v>12</v>
      </c>
      <c r="AF206">
        <v>1.8</v>
      </c>
      <c r="AG206">
        <v>0.5</v>
      </c>
      <c r="AH206">
        <v>2.2000000000000002</v>
      </c>
      <c r="AI206">
        <v>0.7</v>
      </c>
      <c r="AJ206">
        <v>0.18</v>
      </c>
      <c r="AK206">
        <v>0.1</v>
      </c>
      <c r="AL206">
        <v>0.33</v>
      </c>
      <c r="AM206">
        <v>0.35</v>
      </c>
      <c r="AN206">
        <v>0.25</v>
      </c>
      <c r="AO206">
        <v>6.8</v>
      </c>
      <c r="AP206">
        <v>34</v>
      </c>
      <c r="AQ206">
        <v>144</v>
      </c>
      <c r="AR206">
        <v>139</v>
      </c>
      <c r="AS206">
        <v>142</v>
      </c>
      <c r="AT206">
        <v>80</v>
      </c>
      <c r="AU206">
        <v>30</v>
      </c>
      <c r="AV206">
        <v>40</v>
      </c>
      <c r="AW206">
        <v>40</v>
      </c>
      <c r="AX206">
        <v>101</v>
      </c>
      <c r="AY206">
        <v>1110</v>
      </c>
      <c r="AZ206" t="s">
        <v>78</v>
      </c>
      <c r="BA206">
        <v>1300</v>
      </c>
      <c r="BB206">
        <v>10</v>
      </c>
      <c r="BE206" s="116">
        <f>AO206/BQ206-1</f>
        <v>-0.26086956521739124</v>
      </c>
      <c r="BF206" s="24">
        <v>45524</v>
      </c>
      <c r="BG206">
        <v>12</v>
      </c>
      <c r="BH206">
        <v>3.4</v>
      </c>
      <c r="BI206">
        <v>0.4</v>
      </c>
      <c r="BJ206">
        <v>3.4</v>
      </c>
      <c r="BK206">
        <v>0.4</v>
      </c>
      <c r="BL206">
        <v>0.2</v>
      </c>
      <c r="BM206">
        <v>0.1</v>
      </c>
      <c r="BN206">
        <v>0.18</v>
      </c>
      <c r="BO206">
        <v>0.32</v>
      </c>
      <c r="BP206">
        <v>0.25</v>
      </c>
      <c r="BQ206">
        <v>9.1999999999999993</v>
      </c>
      <c r="BR206">
        <v>34</v>
      </c>
      <c r="BS206">
        <v>132</v>
      </c>
      <c r="BT206">
        <v>129</v>
      </c>
      <c r="BU206">
        <v>130</v>
      </c>
      <c r="BV206">
        <v>80</v>
      </c>
      <c r="BW206">
        <v>30</v>
      </c>
      <c r="BX206">
        <v>40</v>
      </c>
      <c r="BY206">
        <v>40</v>
      </c>
      <c r="BZ206">
        <v>101</v>
      </c>
      <c r="CA206">
        <v>406</v>
      </c>
      <c r="CB206" t="s">
        <v>78</v>
      </c>
      <c r="CC206">
        <v>1300</v>
      </c>
      <c r="CD206">
        <v>10</v>
      </c>
      <c r="CH206">
        <v>1</v>
      </c>
      <c r="CI206">
        <v>71</v>
      </c>
    </row>
    <row r="207" spans="1:87" x14ac:dyDescent="0.3">
      <c r="A207" s="2">
        <v>1122</v>
      </c>
      <c r="B207" s="2" t="s">
        <v>0</v>
      </c>
      <c r="C207" s="2" t="s">
        <v>21</v>
      </c>
      <c r="D207" s="2" t="s">
        <v>475</v>
      </c>
      <c r="E207" s="2">
        <v>480</v>
      </c>
      <c r="F207" s="2">
        <v>1.37E-2</v>
      </c>
      <c r="G207" s="2">
        <v>9.9000000000000008E-3</v>
      </c>
      <c r="H207" s="4">
        <f t="shared" si="43"/>
        <v>0.27737226277372257</v>
      </c>
      <c r="I207" s="2" t="s">
        <v>73</v>
      </c>
      <c r="J207" s="2" t="s">
        <v>184</v>
      </c>
      <c r="K207" s="2" t="s">
        <v>476</v>
      </c>
      <c r="L207" s="2" t="s">
        <v>96</v>
      </c>
      <c r="M207" s="155">
        <v>4</v>
      </c>
      <c r="N207" s="155">
        <v>120</v>
      </c>
      <c r="O207" s="2">
        <v>6</v>
      </c>
      <c r="P207" s="6">
        <v>35</v>
      </c>
      <c r="Q207" s="132">
        <f t="shared" si="44"/>
        <v>10.285714285714285</v>
      </c>
      <c r="R207" s="33">
        <f t="shared" si="41"/>
        <v>35</v>
      </c>
      <c r="S207" s="132">
        <f t="shared" si="42"/>
        <v>4.375</v>
      </c>
      <c r="T207" s="132">
        <f t="shared" si="40"/>
        <v>4.375</v>
      </c>
      <c r="W207" s="13"/>
      <c r="CH207">
        <v>3</v>
      </c>
      <c r="CI207">
        <v>70</v>
      </c>
    </row>
    <row r="208" spans="1:87" x14ac:dyDescent="0.3">
      <c r="A208" s="2">
        <v>1098</v>
      </c>
      <c r="B208" s="2" t="s">
        <v>0</v>
      </c>
      <c r="C208" s="2" t="s">
        <v>21</v>
      </c>
      <c r="D208" s="2" t="s">
        <v>477</v>
      </c>
      <c r="E208" s="2">
        <v>240</v>
      </c>
      <c r="F208" s="2">
        <v>1.37E-2</v>
      </c>
      <c r="G208" s="2">
        <v>9.9000000000000008E-3</v>
      </c>
      <c r="H208" s="4">
        <f t="shared" si="43"/>
        <v>0.27737226277372257</v>
      </c>
      <c r="I208" s="2" t="s">
        <v>82</v>
      </c>
      <c r="J208" s="2" t="s">
        <v>174</v>
      </c>
      <c r="K208" s="2" t="s">
        <v>471</v>
      </c>
      <c r="L208" s="2" t="s">
        <v>6</v>
      </c>
      <c r="M208" s="155"/>
      <c r="N208" s="155"/>
      <c r="O208" s="2">
        <v>6</v>
      </c>
      <c r="P208" s="6">
        <v>70</v>
      </c>
      <c r="Q208" s="132">
        <f t="shared" si="44"/>
        <v>10.285714285714285</v>
      </c>
      <c r="R208" s="33">
        <f t="shared" si="41"/>
        <v>70</v>
      </c>
      <c r="S208" s="132">
        <f t="shared" si="42"/>
        <v>8.75</v>
      </c>
      <c r="T208" s="132">
        <f t="shared" ref="T208:T238" si="45">IFERROR(IF(R208&gt;2,S208,""),"")</f>
        <v>8.75</v>
      </c>
      <c r="W208" s="13"/>
      <c r="CH208">
        <v>3</v>
      </c>
      <c r="CI208">
        <v>42</v>
      </c>
    </row>
    <row r="209" spans="1:87" x14ac:dyDescent="0.3">
      <c r="A209" s="2">
        <v>927</v>
      </c>
      <c r="B209" s="2" t="s">
        <v>84</v>
      </c>
      <c r="C209" s="2" t="s">
        <v>21</v>
      </c>
      <c r="D209" s="123" t="s">
        <v>478</v>
      </c>
      <c r="E209" s="2">
        <v>2800</v>
      </c>
      <c r="F209" s="2">
        <v>6.4000000000000003E-3</v>
      </c>
      <c r="G209" s="2"/>
      <c r="H209" s="4">
        <f t="shared" si="43"/>
        <v>1</v>
      </c>
      <c r="I209" s="123" t="s">
        <v>86</v>
      </c>
      <c r="J209" s="2" t="s">
        <v>282</v>
      </c>
      <c r="K209" s="2"/>
      <c r="L209" s="2"/>
      <c r="M209" s="155"/>
      <c r="N209" s="155"/>
      <c r="O209" s="2">
        <v>9</v>
      </c>
      <c r="P209" s="6"/>
      <c r="Q209" s="132" t="str">
        <f t="shared" si="44"/>
        <v/>
      </c>
      <c r="R209" s="33" t="str">
        <f t="shared" si="41"/>
        <v/>
      </c>
      <c r="S209" s="132" t="str">
        <f t="shared" si="42"/>
        <v/>
      </c>
      <c r="T209" s="132" t="str">
        <f t="shared" si="45"/>
        <v/>
      </c>
      <c r="W209" s="13"/>
      <c r="CH209">
        <v>1</v>
      </c>
      <c r="CI209">
        <v>38</v>
      </c>
    </row>
    <row r="210" spans="1:87" x14ac:dyDescent="0.3">
      <c r="A210" s="2">
        <v>939</v>
      </c>
      <c r="B210" s="2" t="s">
        <v>84</v>
      </c>
      <c r="C210" s="2" t="s">
        <v>21</v>
      </c>
      <c r="D210" s="123" t="s">
        <v>479</v>
      </c>
      <c r="E210" s="2">
        <v>500</v>
      </c>
      <c r="F210" s="2">
        <v>1.1599999999999999E-2</v>
      </c>
      <c r="G210" s="2">
        <v>8.3999999999999995E-3</v>
      </c>
      <c r="H210" s="4">
        <f t="shared" si="43"/>
        <v>0.27586206896551724</v>
      </c>
      <c r="I210" s="123" t="s">
        <v>86</v>
      </c>
      <c r="J210" s="2" t="s">
        <v>363</v>
      </c>
      <c r="K210" s="2" t="s">
        <v>105</v>
      </c>
      <c r="L210" s="2" t="s">
        <v>76</v>
      </c>
      <c r="M210" s="155"/>
      <c r="N210" s="155"/>
      <c r="O210" s="2">
        <v>6</v>
      </c>
      <c r="P210" s="6"/>
      <c r="Q210" s="132" t="str">
        <f t="shared" si="44"/>
        <v/>
      </c>
      <c r="R210" s="33" t="str">
        <f t="shared" si="41"/>
        <v/>
      </c>
      <c r="S210" s="132" t="str">
        <f t="shared" si="42"/>
        <v/>
      </c>
      <c r="T210" s="132" t="str">
        <f t="shared" si="45"/>
        <v/>
      </c>
      <c r="W210" s="13"/>
      <c r="CH210">
        <v>3</v>
      </c>
      <c r="CI210">
        <v>81</v>
      </c>
    </row>
    <row r="211" spans="1:87" x14ac:dyDescent="0.3">
      <c r="A211" s="2">
        <v>14</v>
      </c>
      <c r="B211" s="2" t="s">
        <v>84</v>
      </c>
      <c r="C211" s="2" t="s">
        <v>21</v>
      </c>
      <c r="D211" s="2" t="s">
        <v>480</v>
      </c>
      <c r="E211" s="2">
        <v>1200</v>
      </c>
      <c r="F211" s="2">
        <v>1.66E-2</v>
      </c>
      <c r="G211" s="2">
        <v>1.24E-2</v>
      </c>
      <c r="H211" s="4">
        <f t="shared" si="43"/>
        <v>0.25301204819277112</v>
      </c>
      <c r="I211" s="2" t="s">
        <v>370</v>
      </c>
      <c r="J211" s="2" t="s">
        <v>225</v>
      </c>
      <c r="K211" s="2" t="s">
        <v>105</v>
      </c>
      <c r="L211" s="2" t="s">
        <v>76</v>
      </c>
      <c r="M211" s="155"/>
      <c r="N211" s="155"/>
      <c r="O211" s="2">
        <v>6</v>
      </c>
      <c r="P211" s="6"/>
      <c r="Q211" s="132" t="str">
        <f t="shared" si="44"/>
        <v/>
      </c>
      <c r="R211" s="33" t="str">
        <f t="shared" si="41"/>
        <v/>
      </c>
      <c r="S211" s="132" t="str">
        <f t="shared" si="42"/>
        <v/>
      </c>
      <c r="T211" s="132" t="str">
        <f t="shared" si="45"/>
        <v/>
      </c>
      <c r="W211" s="13"/>
      <c r="Y211"/>
      <c r="CH211">
        <v>2</v>
      </c>
      <c r="CI211">
        <v>33</v>
      </c>
    </row>
    <row r="212" spans="1:87" x14ac:dyDescent="0.3">
      <c r="A212" s="2">
        <v>16</v>
      </c>
      <c r="B212" s="2" t="s">
        <v>84</v>
      </c>
      <c r="C212" s="2" t="s">
        <v>21</v>
      </c>
      <c r="D212" s="2" t="s">
        <v>481</v>
      </c>
      <c r="E212" s="2">
        <v>1200</v>
      </c>
      <c r="F212" s="2">
        <v>1.8700000000000001E-2</v>
      </c>
      <c r="G212" s="2"/>
      <c r="H212" s="4">
        <f t="shared" si="43"/>
        <v>1</v>
      </c>
      <c r="I212" s="2" t="s">
        <v>370</v>
      </c>
      <c r="J212" s="2" t="s">
        <v>205</v>
      </c>
      <c r="K212" s="2" t="s">
        <v>105</v>
      </c>
      <c r="L212" s="2" t="s">
        <v>76</v>
      </c>
      <c r="M212" s="155"/>
      <c r="N212" s="155"/>
      <c r="O212" s="2">
        <v>6</v>
      </c>
      <c r="P212" s="6"/>
      <c r="Q212" s="132" t="str">
        <f t="shared" si="44"/>
        <v/>
      </c>
      <c r="R212" s="33" t="str">
        <f t="shared" si="41"/>
        <v/>
      </c>
      <c r="S212" s="132" t="str">
        <f t="shared" si="42"/>
        <v/>
      </c>
      <c r="T212" s="132" t="str">
        <f t="shared" si="45"/>
        <v/>
      </c>
      <c r="W212" s="13"/>
      <c r="Y212"/>
      <c r="CH212">
        <v>4</v>
      </c>
      <c r="CI212">
        <v>57</v>
      </c>
    </row>
    <row r="213" spans="1:87" x14ac:dyDescent="0.3">
      <c r="A213" s="2">
        <v>945</v>
      </c>
      <c r="B213" s="2" t="s">
        <v>84</v>
      </c>
      <c r="C213" s="2" t="s">
        <v>21</v>
      </c>
      <c r="D213" s="2" t="s">
        <v>482</v>
      </c>
      <c r="E213" s="2">
        <v>1000</v>
      </c>
      <c r="F213" s="2">
        <v>1.38E-2</v>
      </c>
      <c r="G213" s="2"/>
      <c r="H213" s="4">
        <f t="shared" si="43"/>
        <v>1</v>
      </c>
      <c r="I213" s="2" t="s">
        <v>370</v>
      </c>
      <c r="J213" s="2" t="s">
        <v>373</v>
      </c>
      <c r="K213" s="2" t="s">
        <v>105</v>
      </c>
      <c r="L213" s="2" t="s">
        <v>76</v>
      </c>
      <c r="M213" s="155"/>
      <c r="N213" s="155"/>
      <c r="O213" s="2">
        <v>8</v>
      </c>
      <c r="P213" s="6"/>
      <c r="Q213" s="132" t="str">
        <f t="shared" si="44"/>
        <v/>
      </c>
      <c r="R213" s="33" t="str">
        <f t="shared" si="41"/>
        <v/>
      </c>
      <c r="S213" s="132" t="str">
        <f t="shared" si="42"/>
        <v/>
      </c>
      <c r="T213" s="132" t="str">
        <f t="shared" si="45"/>
        <v/>
      </c>
      <c r="W213" s="13"/>
      <c r="CH213">
        <v>6</v>
      </c>
      <c r="CI213">
        <v>61</v>
      </c>
    </row>
    <row r="214" spans="1:87" x14ac:dyDescent="0.3">
      <c r="A214" s="2">
        <v>950</v>
      </c>
      <c r="B214" s="2" t="s">
        <v>84</v>
      </c>
      <c r="C214" s="2" t="s">
        <v>21</v>
      </c>
      <c r="D214" s="2" t="s">
        <v>483</v>
      </c>
      <c r="E214" s="2">
        <v>1500</v>
      </c>
      <c r="F214" s="2">
        <v>1.6500000000000001E-2</v>
      </c>
      <c r="G214" s="2"/>
      <c r="H214" s="4">
        <f t="shared" si="43"/>
        <v>1</v>
      </c>
      <c r="I214" s="2" t="s">
        <v>98</v>
      </c>
      <c r="J214" s="2" t="s">
        <v>412</v>
      </c>
      <c r="K214" s="2" t="s">
        <v>105</v>
      </c>
      <c r="L214" s="2" t="s">
        <v>76</v>
      </c>
      <c r="M214" s="155"/>
      <c r="N214" s="155"/>
      <c r="O214" s="2">
        <v>8</v>
      </c>
      <c r="P214" s="6"/>
      <c r="Q214" s="132" t="str">
        <f t="shared" si="44"/>
        <v/>
      </c>
      <c r="R214" s="33" t="str">
        <f t="shared" si="41"/>
        <v/>
      </c>
      <c r="S214" s="132" t="str">
        <f t="shared" si="42"/>
        <v/>
      </c>
      <c r="T214" s="132" t="str">
        <f t="shared" si="45"/>
        <v/>
      </c>
      <c r="W214" s="13"/>
      <c r="CH214">
        <v>4</v>
      </c>
      <c r="CI214">
        <v>44</v>
      </c>
    </row>
    <row r="215" spans="1:87" x14ac:dyDescent="0.3">
      <c r="A215" s="2">
        <v>951</v>
      </c>
      <c r="B215" s="2" t="s">
        <v>84</v>
      </c>
      <c r="C215" s="2" t="s">
        <v>21</v>
      </c>
      <c r="D215" s="2" t="s">
        <v>484</v>
      </c>
      <c r="E215" s="2">
        <v>1500</v>
      </c>
      <c r="F215" s="2">
        <v>1.6500000000000001E-2</v>
      </c>
      <c r="G215" s="2"/>
      <c r="H215" s="4">
        <f t="shared" si="43"/>
        <v>1</v>
      </c>
      <c r="I215" s="2" t="s">
        <v>98</v>
      </c>
      <c r="J215" s="2" t="s">
        <v>412</v>
      </c>
      <c r="K215" s="2" t="s">
        <v>105</v>
      </c>
      <c r="L215" s="2" t="s">
        <v>76</v>
      </c>
      <c r="M215" s="155"/>
      <c r="N215" s="155"/>
      <c r="O215" s="2">
        <v>8</v>
      </c>
      <c r="P215" s="6"/>
      <c r="Q215" s="132" t="str">
        <f t="shared" si="44"/>
        <v/>
      </c>
      <c r="R215" s="33" t="str">
        <f t="shared" si="41"/>
        <v/>
      </c>
      <c r="S215" s="132" t="str">
        <f t="shared" si="42"/>
        <v/>
      </c>
      <c r="T215" s="132" t="str">
        <f t="shared" si="45"/>
        <v/>
      </c>
      <c r="W215" s="13"/>
      <c r="CH215">
        <v>2</v>
      </c>
      <c r="CI215">
        <v>55</v>
      </c>
    </row>
    <row r="216" spans="1:87" x14ac:dyDescent="0.3">
      <c r="A216" s="2">
        <v>954</v>
      </c>
      <c r="B216" s="2" t="s">
        <v>84</v>
      </c>
      <c r="C216" s="2" t="s">
        <v>21</v>
      </c>
      <c r="D216" s="123" t="s">
        <v>485</v>
      </c>
      <c r="E216" s="2">
        <v>700</v>
      </c>
      <c r="F216" s="2">
        <v>1.5699999999999999E-2</v>
      </c>
      <c r="G216" s="2">
        <v>1.32E-2</v>
      </c>
      <c r="H216" s="4">
        <f t="shared" si="43"/>
        <v>0.15923566878980885</v>
      </c>
      <c r="I216" s="123" t="s">
        <v>86</v>
      </c>
      <c r="J216" s="2" t="s">
        <v>291</v>
      </c>
      <c r="K216" s="2" t="s">
        <v>105</v>
      </c>
      <c r="L216" s="2" t="s">
        <v>76</v>
      </c>
      <c r="M216" s="155"/>
      <c r="N216" s="155"/>
      <c r="O216" s="2">
        <v>6</v>
      </c>
      <c r="P216" s="6"/>
      <c r="Q216" s="132" t="str">
        <f t="shared" si="44"/>
        <v/>
      </c>
      <c r="R216" s="33" t="str">
        <f t="shared" si="41"/>
        <v/>
      </c>
      <c r="S216" s="132" t="str">
        <f t="shared" si="42"/>
        <v/>
      </c>
      <c r="T216" s="132" t="str">
        <f t="shared" si="45"/>
        <v/>
      </c>
      <c r="W216" s="13"/>
      <c r="CH216">
        <v>6</v>
      </c>
      <c r="CI216">
        <v>59</v>
      </c>
    </row>
    <row r="217" spans="1:87" x14ac:dyDescent="0.3">
      <c r="A217" s="2">
        <v>962</v>
      </c>
      <c r="B217" s="2" t="s">
        <v>0</v>
      </c>
      <c r="C217" s="2" t="s">
        <v>21</v>
      </c>
      <c r="D217" s="2" t="s">
        <v>486</v>
      </c>
      <c r="E217" s="2">
        <v>700</v>
      </c>
      <c r="F217" s="2">
        <v>1.6799999999999999E-2</v>
      </c>
      <c r="G217" s="2">
        <v>1.32E-2</v>
      </c>
      <c r="H217" s="4">
        <f t="shared" si="43"/>
        <v>0.21428571428571425</v>
      </c>
      <c r="I217" s="2" t="s">
        <v>98</v>
      </c>
      <c r="J217" s="2" t="s">
        <v>418</v>
      </c>
      <c r="K217" s="2" t="s">
        <v>105</v>
      </c>
      <c r="L217" s="2" t="s">
        <v>76</v>
      </c>
      <c r="M217" s="155"/>
      <c r="N217" s="155"/>
      <c r="O217" s="2">
        <v>6</v>
      </c>
      <c r="P217" s="6">
        <v>30</v>
      </c>
      <c r="Q217" s="132">
        <f t="shared" si="44"/>
        <v>8.2285714285714278</v>
      </c>
      <c r="R217" s="33">
        <f t="shared" si="41"/>
        <v>30.000000000000004</v>
      </c>
      <c r="S217" s="132">
        <f t="shared" si="42"/>
        <v>3.7500000000000004</v>
      </c>
      <c r="T217" s="132">
        <f t="shared" si="45"/>
        <v>3.7500000000000004</v>
      </c>
      <c r="W217" s="13"/>
      <c r="CH217">
        <v>6</v>
      </c>
      <c r="CI217">
        <v>68</v>
      </c>
    </row>
    <row r="218" spans="1:87" x14ac:dyDescent="0.3">
      <c r="A218" s="2">
        <v>957</v>
      </c>
      <c r="B218" s="2" t="s">
        <v>84</v>
      </c>
      <c r="C218" s="2" t="s">
        <v>21</v>
      </c>
      <c r="D218" s="123" t="s">
        <v>487</v>
      </c>
      <c r="E218" s="2">
        <v>3150</v>
      </c>
      <c r="F218" s="2">
        <v>5.4999999999999997E-3</v>
      </c>
      <c r="G218" s="2">
        <v>4.1999999999999997E-3</v>
      </c>
      <c r="H218" s="4">
        <f t="shared" si="43"/>
        <v>0.23636363636363636</v>
      </c>
      <c r="I218" s="123" t="s">
        <v>86</v>
      </c>
      <c r="J218" s="2" t="s">
        <v>488</v>
      </c>
      <c r="K218" s="2" t="s">
        <v>261</v>
      </c>
      <c r="L218" s="2" t="s">
        <v>76</v>
      </c>
      <c r="M218" s="155"/>
      <c r="N218" s="155"/>
      <c r="O218" s="2">
        <v>10</v>
      </c>
      <c r="P218" s="6"/>
      <c r="Q218" s="132" t="str">
        <f t="shared" si="44"/>
        <v/>
      </c>
      <c r="R218" s="33" t="str">
        <f t="shared" si="41"/>
        <v/>
      </c>
      <c r="S218" s="132" t="str">
        <f t="shared" si="42"/>
        <v/>
      </c>
      <c r="T218" s="132" t="str">
        <f t="shared" si="45"/>
        <v/>
      </c>
      <c r="W218" s="13"/>
      <c r="CH218">
        <v>2</v>
      </c>
      <c r="CI218">
        <v>35</v>
      </c>
    </row>
    <row r="219" spans="1:87" x14ac:dyDescent="0.3">
      <c r="A219" s="2">
        <v>964</v>
      </c>
      <c r="B219" s="2" t="s">
        <v>84</v>
      </c>
      <c r="C219" s="2" t="s">
        <v>21</v>
      </c>
      <c r="D219" s="123" t="s">
        <v>489</v>
      </c>
      <c r="E219" s="2">
        <v>700</v>
      </c>
      <c r="F219" s="2">
        <v>1.5699999999999999E-2</v>
      </c>
      <c r="G219" s="2">
        <v>1.32E-2</v>
      </c>
      <c r="H219" s="4">
        <f t="shared" si="43"/>
        <v>0.15923566878980885</v>
      </c>
      <c r="I219" s="123" t="s">
        <v>86</v>
      </c>
      <c r="J219" s="2" t="s">
        <v>291</v>
      </c>
      <c r="K219" s="2" t="s">
        <v>105</v>
      </c>
      <c r="L219" s="2" t="s">
        <v>76</v>
      </c>
      <c r="M219" s="155"/>
      <c r="N219" s="155"/>
      <c r="O219" s="2">
        <v>6</v>
      </c>
      <c r="P219" s="6"/>
      <c r="Q219" s="132" t="str">
        <f t="shared" si="44"/>
        <v/>
      </c>
      <c r="R219" s="33" t="str">
        <f t="shared" si="41"/>
        <v/>
      </c>
      <c r="S219" s="132" t="str">
        <f t="shared" si="42"/>
        <v/>
      </c>
      <c r="T219" s="132" t="str">
        <f t="shared" si="45"/>
        <v/>
      </c>
      <c r="W219" s="13"/>
      <c r="CH219">
        <v>6</v>
      </c>
      <c r="CI219">
        <v>70</v>
      </c>
    </row>
    <row r="220" spans="1:87" x14ac:dyDescent="0.3">
      <c r="A220" s="23">
        <v>965</v>
      </c>
      <c r="B220" s="2" t="s">
        <v>0</v>
      </c>
      <c r="C220" s="2" t="s">
        <v>21</v>
      </c>
      <c r="D220" s="2" t="s">
        <v>490</v>
      </c>
      <c r="E220" s="2">
        <v>1150</v>
      </c>
      <c r="F220" s="2">
        <v>1.5100000000000001E-2</v>
      </c>
      <c r="G220" s="2">
        <v>1.09E-2</v>
      </c>
      <c r="H220" s="4">
        <f t="shared" si="43"/>
        <v>0.27814569536423844</v>
      </c>
      <c r="I220" s="2" t="s">
        <v>82</v>
      </c>
      <c r="J220" s="2" t="s">
        <v>337</v>
      </c>
      <c r="K220" s="2" t="s">
        <v>105</v>
      </c>
      <c r="L220" s="2" t="s">
        <v>76</v>
      </c>
      <c r="M220" s="155"/>
      <c r="N220" s="155"/>
      <c r="O220" s="2">
        <v>5</v>
      </c>
      <c r="P220" s="6">
        <v>15</v>
      </c>
      <c r="Q220" s="132">
        <f t="shared" si="44"/>
        <v>5.5</v>
      </c>
      <c r="R220" s="33">
        <f t="shared" si="41"/>
        <v>22.766798418972332</v>
      </c>
      <c r="S220" s="132">
        <f t="shared" si="42"/>
        <v>2.8458498023715415</v>
      </c>
      <c r="T220" s="132">
        <f t="shared" si="45"/>
        <v>2.8458498023715415</v>
      </c>
      <c r="W220" s="13"/>
      <c r="AD220" s="24">
        <v>45608</v>
      </c>
      <c r="AE220">
        <v>12</v>
      </c>
      <c r="AF220">
        <v>1.6</v>
      </c>
      <c r="AG220">
        <v>0.3</v>
      </c>
      <c r="AH220">
        <v>1.5</v>
      </c>
      <c r="AI220">
        <v>0.3</v>
      </c>
      <c r="AJ220">
        <v>0.14000000000000001</v>
      </c>
      <c r="AK220">
        <v>0.18</v>
      </c>
      <c r="AL220">
        <v>0.4</v>
      </c>
      <c r="AM220">
        <v>0.45</v>
      </c>
      <c r="AN220">
        <v>0.3</v>
      </c>
      <c r="AO220">
        <v>5.5</v>
      </c>
      <c r="AP220">
        <v>38</v>
      </c>
      <c r="AQ220">
        <v>118</v>
      </c>
      <c r="AR220">
        <v>118</v>
      </c>
      <c r="AS220">
        <v>118</v>
      </c>
      <c r="AT220">
        <v>45</v>
      </c>
      <c r="AU220">
        <v>30</v>
      </c>
      <c r="AV220">
        <v>35</v>
      </c>
      <c r="AW220">
        <v>42</v>
      </c>
      <c r="AX220">
        <v>51</v>
      </c>
      <c r="AY220">
        <v>231</v>
      </c>
      <c r="AZ220" t="s">
        <v>78</v>
      </c>
      <c r="BA220">
        <v>2500</v>
      </c>
      <c r="BB220">
        <v>14</v>
      </c>
      <c r="CH220">
        <v>5</v>
      </c>
      <c r="CI220">
        <v>77</v>
      </c>
    </row>
    <row r="221" spans="1:87" x14ac:dyDescent="0.3">
      <c r="A221" s="2">
        <v>958</v>
      </c>
      <c r="B221" s="2" t="s">
        <v>84</v>
      </c>
      <c r="C221" s="2" t="s">
        <v>21</v>
      </c>
      <c r="D221" s="123" t="s">
        <v>491</v>
      </c>
      <c r="E221" s="2">
        <v>2100</v>
      </c>
      <c r="F221" s="2">
        <v>8.6999999999999994E-3</v>
      </c>
      <c r="G221" s="2">
        <v>6.4000000000000003E-3</v>
      </c>
      <c r="H221" s="4">
        <f t="shared" si="43"/>
        <v>0.26436781609195392</v>
      </c>
      <c r="I221" s="123" t="s">
        <v>86</v>
      </c>
      <c r="J221" s="2" t="s">
        <v>492</v>
      </c>
      <c r="K221" s="2" t="s">
        <v>261</v>
      </c>
      <c r="L221" s="2" t="s">
        <v>76</v>
      </c>
      <c r="M221" s="155"/>
      <c r="N221" s="155"/>
      <c r="O221" s="2">
        <v>5</v>
      </c>
      <c r="P221" s="6"/>
      <c r="Q221" s="132" t="str">
        <f t="shared" si="44"/>
        <v/>
      </c>
      <c r="R221" s="33" t="str">
        <f t="shared" si="41"/>
        <v/>
      </c>
      <c r="S221" s="132" t="str">
        <f t="shared" si="42"/>
        <v/>
      </c>
      <c r="T221" s="132" t="str">
        <f t="shared" si="45"/>
        <v/>
      </c>
      <c r="W221" s="13"/>
      <c r="CH221">
        <v>2</v>
      </c>
      <c r="CI221">
        <v>39</v>
      </c>
    </row>
    <row r="222" spans="1:87" x14ac:dyDescent="0.3">
      <c r="A222" s="2">
        <v>968</v>
      </c>
      <c r="B222" s="2" t="s">
        <v>84</v>
      </c>
      <c r="C222" s="2" t="s">
        <v>21</v>
      </c>
      <c r="D222" s="123" t="s">
        <v>493</v>
      </c>
      <c r="E222" s="2">
        <v>1470</v>
      </c>
      <c r="F222" s="2">
        <v>1.1900000000000001E-2</v>
      </c>
      <c r="G222" s="2">
        <v>8.0999999999999996E-3</v>
      </c>
      <c r="H222" s="4">
        <f t="shared" si="43"/>
        <v>0.31932773109243706</v>
      </c>
      <c r="I222" s="123" t="s">
        <v>86</v>
      </c>
      <c r="J222" s="2" t="s">
        <v>203</v>
      </c>
      <c r="K222" s="2" t="s">
        <v>261</v>
      </c>
      <c r="L222" s="2" t="s">
        <v>76</v>
      </c>
      <c r="M222" s="155"/>
      <c r="N222" s="155"/>
      <c r="O222" s="2">
        <v>5</v>
      </c>
      <c r="P222" s="6"/>
      <c r="Q222" s="132" t="str">
        <f t="shared" si="44"/>
        <v/>
      </c>
      <c r="R222" s="33" t="str">
        <f t="shared" si="41"/>
        <v/>
      </c>
      <c r="S222" s="132" t="str">
        <f t="shared" si="42"/>
        <v/>
      </c>
      <c r="T222" s="132" t="str">
        <f t="shared" si="45"/>
        <v/>
      </c>
      <c r="W222" s="13"/>
      <c r="CH222">
        <v>5</v>
      </c>
      <c r="CI222">
        <v>89</v>
      </c>
    </row>
    <row r="223" spans="1:87" x14ac:dyDescent="0.3">
      <c r="A223" s="2">
        <v>956</v>
      </c>
      <c r="B223" s="2" t="s">
        <v>0</v>
      </c>
      <c r="C223" s="2" t="s">
        <v>21</v>
      </c>
      <c r="D223" s="2" t="s">
        <v>494</v>
      </c>
      <c r="E223" s="2">
        <v>2100</v>
      </c>
      <c r="F223" s="2">
        <v>9.9000000000000008E-3</v>
      </c>
      <c r="G223" s="2">
        <v>6.4000000000000003E-3</v>
      </c>
      <c r="H223" s="4">
        <f t="shared" si="43"/>
        <v>0.35353535353535354</v>
      </c>
      <c r="I223" s="2" t="s">
        <v>98</v>
      </c>
      <c r="J223" s="2" t="s">
        <v>495</v>
      </c>
      <c r="K223" s="2" t="s">
        <v>261</v>
      </c>
      <c r="L223" s="2" t="s">
        <v>76</v>
      </c>
      <c r="M223" s="155"/>
      <c r="N223" s="155"/>
      <c r="O223" s="2">
        <v>5</v>
      </c>
      <c r="P223" s="6">
        <v>18</v>
      </c>
      <c r="Q223" s="132">
        <f t="shared" si="44"/>
        <v>3.8095238095238093</v>
      </c>
      <c r="R223" s="33">
        <f t="shared" si="41"/>
        <v>18</v>
      </c>
      <c r="S223" s="132">
        <f t="shared" si="42"/>
        <v>2.25</v>
      </c>
      <c r="T223" s="132">
        <f t="shared" si="45"/>
        <v>2.25</v>
      </c>
      <c r="W223" s="13"/>
      <c r="CH223">
        <v>4</v>
      </c>
      <c r="CI223">
        <v>33</v>
      </c>
    </row>
    <row r="224" spans="1:87" x14ac:dyDescent="0.3">
      <c r="A224" s="2">
        <v>1001</v>
      </c>
      <c r="B224" s="2" t="s">
        <v>84</v>
      </c>
      <c r="C224" s="2" t="s">
        <v>21</v>
      </c>
      <c r="D224" s="123" t="s">
        <v>496</v>
      </c>
      <c r="E224" s="2">
        <v>500</v>
      </c>
      <c r="F224" s="2">
        <v>1.2999999999999999E-2</v>
      </c>
      <c r="G224" s="2">
        <v>9.5999999999999992E-3</v>
      </c>
      <c r="H224" s="4">
        <f t="shared" si="43"/>
        <v>0.26153846153846155</v>
      </c>
      <c r="I224" s="123" t="s">
        <v>86</v>
      </c>
      <c r="J224" s="2" t="s">
        <v>218</v>
      </c>
      <c r="K224" s="2" t="s">
        <v>222</v>
      </c>
      <c r="L224" s="2" t="s">
        <v>76</v>
      </c>
      <c r="M224" s="155"/>
      <c r="N224" s="155"/>
      <c r="O224" s="2">
        <v>6</v>
      </c>
      <c r="P224" s="6"/>
      <c r="Q224" s="132" t="str">
        <f t="shared" si="44"/>
        <v/>
      </c>
      <c r="R224" s="33" t="str">
        <f t="shared" si="41"/>
        <v/>
      </c>
      <c r="S224" s="132" t="str">
        <f t="shared" si="42"/>
        <v/>
      </c>
      <c r="T224" s="132" t="str">
        <f t="shared" si="45"/>
        <v/>
      </c>
      <c r="W224" s="13"/>
      <c r="CH224">
        <v>4</v>
      </c>
      <c r="CI224">
        <v>63</v>
      </c>
    </row>
    <row r="225" spans="1:87" x14ac:dyDescent="0.3">
      <c r="A225" s="2">
        <v>1002</v>
      </c>
      <c r="B225" s="2" t="s">
        <v>0</v>
      </c>
      <c r="C225" s="2" t="s">
        <v>21</v>
      </c>
      <c r="D225" s="2" t="s">
        <v>497</v>
      </c>
      <c r="E225" s="2">
        <v>500</v>
      </c>
      <c r="F225" s="2">
        <v>1.6199999999999999E-2</v>
      </c>
      <c r="G225" s="2">
        <v>1.0800000000000001E-2</v>
      </c>
      <c r="H225" s="4">
        <f t="shared" si="43"/>
        <v>0.33333333333333326</v>
      </c>
      <c r="I225" s="2" t="s">
        <v>98</v>
      </c>
      <c r="J225" s="2" t="s">
        <v>418</v>
      </c>
      <c r="K225" s="2" t="s">
        <v>222</v>
      </c>
      <c r="L225" s="2" t="s">
        <v>76</v>
      </c>
      <c r="M225" s="155"/>
      <c r="N225" s="155"/>
      <c r="O225" s="2">
        <v>6</v>
      </c>
      <c r="P225" s="6">
        <v>20</v>
      </c>
      <c r="Q225" s="132">
        <f t="shared" si="44"/>
        <v>17.28</v>
      </c>
      <c r="R225" s="33">
        <f t="shared" si="41"/>
        <v>20</v>
      </c>
      <c r="S225" s="132">
        <f t="shared" si="42"/>
        <v>2.5</v>
      </c>
      <c r="T225" s="132">
        <f t="shared" si="45"/>
        <v>2.5</v>
      </c>
      <c r="W225" s="13"/>
      <c r="CH225">
        <v>3</v>
      </c>
      <c r="CI225">
        <v>80</v>
      </c>
    </row>
    <row r="226" spans="1:87" x14ac:dyDescent="0.3">
      <c r="A226" s="2">
        <v>1003</v>
      </c>
      <c r="B226" s="2" t="s">
        <v>0</v>
      </c>
      <c r="C226" s="2" t="s">
        <v>21</v>
      </c>
      <c r="D226" s="2" t="s">
        <v>498</v>
      </c>
      <c r="E226" s="2">
        <v>500</v>
      </c>
      <c r="F226" s="2">
        <v>1.6199999999999999E-2</v>
      </c>
      <c r="G226" s="2">
        <v>1.0800000000000001E-2</v>
      </c>
      <c r="H226" s="4">
        <f t="shared" si="43"/>
        <v>0.33333333333333326</v>
      </c>
      <c r="I226" s="2" t="s">
        <v>98</v>
      </c>
      <c r="J226" s="2" t="s">
        <v>499</v>
      </c>
      <c r="K226" s="2" t="s">
        <v>222</v>
      </c>
      <c r="L226" s="2" t="s">
        <v>76</v>
      </c>
      <c r="M226" s="155"/>
      <c r="N226" s="155"/>
      <c r="O226" s="2">
        <v>6</v>
      </c>
      <c r="P226" s="6">
        <v>20</v>
      </c>
      <c r="Q226" s="132">
        <f t="shared" si="44"/>
        <v>17.28</v>
      </c>
      <c r="R226" s="33">
        <f t="shared" ref="R226:R238" si="46">IFERROR(60*60*8*O226/E226/Q226,"")</f>
        <v>20</v>
      </c>
      <c r="S226" s="132">
        <f t="shared" ref="S226:S238" si="47">IFERROR(R226/8,"")</f>
        <v>2.5</v>
      </c>
      <c r="T226" s="132">
        <f t="shared" si="45"/>
        <v>2.5</v>
      </c>
      <c r="W226" s="13"/>
      <c r="CH226">
        <v>2</v>
      </c>
      <c r="CI226">
        <v>42</v>
      </c>
    </row>
    <row r="227" spans="1:87" x14ac:dyDescent="0.3">
      <c r="A227" s="2">
        <v>1004</v>
      </c>
      <c r="B227" s="2" t="s">
        <v>84</v>
      </c>
      <c r="C227" s="2" t="s">
        <v>21</v>
      </c>
      <c r="D227" s="123" t="s">
        <v>500</v>
      </c>
      <c r="E227" s="2">
        <v>500</v>
      </c>
      <c r="F227" s="2">
        <v>1.2999999999999999E-2</v>
      </c>
      <c r="G227" s="2">
        <v>9.5999999999999992E-3</v>
      </c>
      <c r="H227" s="4">
        <f t="shared" si="43"/>
        <v>0.26153846153846155</v>
      </c>
      <c r="I227" s="123" t="s">
        <v>86</v>
      </c>
      <c r="J227" s="2" t="s">
        <v>218</v>
      </c>
      <c r="K227" s="2"/>
      <c r="L227" s="2"/>
      <c r="M227" s="155"/>
      <c r="N227" s="155"/>
      <c r="O227" s="2">
        <v>6</v>
      </c>
      <c r="P227" s="6"/>
      <c r="Q227" s="132" t="str">
        <f t="shared" si="44"/>
        <v/>
      </c>
      <c r="R227" s="33" t="str">
        <f t="shared" si="46"/>
        <v/>
      </c>
      <c r="S227" s="132" t="str">
        <f t="shared" si="47"/>
        <v/>
      </c>
      <c r="T227" s="132" t="str">
        <f t="shared" si="45"/>
        <v/>
      </c>
      <c r="W227" s="13"/>
      <c r="CH227">
        <v>1</v>
      </c>
      <c r="CI227">
        <v>49</v>
      </c>
    </row>
    <row r="228" spans="1:87" x14ac:dyDescent="0.3">
      <c r="A228" s="2">
        <v>1949</v>
      </c>
      <c r="B228" s="2" t="s">
        <v>0</v>
      </c>
      <c r="C228" s="2" t="s">
        <v>21</v>
      </c>
      <c r="D228" s="2" t="s">
        <v>501</v>
      </c>
      <c r="E228" s="2">
        <v>100</v>
      </c>
      <c r="F228" s="2">
        <v>6.9099999999999995E-2</v>
      </c>
      <c r="G228" s="2">
        <v>4.4400000000000002E-2</v>
      </c>
      <c r="H228" s="4">
        <f t="shared" si="43"/>
        <v>0.35745296671490584</v>
      </c>
      <c r="I228" s="2" t="s">
        <v>208</v>
      </c>
      <c r="J228" s="25" t="s">
        <v>209</v>
      </c>
      <c r="K228" s="2" t="s">
        <v>200</v>
      </c>
      <c r="L228" s="2" t="s">
        <v>76</v>
      </c>
      <c r="M228" s="155"/>
      <c r="N228" s="155"/>
      <c r="O228" s="2"/>
      <c r="P228" s="2" t="s">
        <v>210</v>
      </c>
      <c r="Q228" s="132" t="str">
        <f t="shared" si="44"/>
        <v/>
      </c>
      <c r="R228" s="33" t="str">
        <f t="shared" si="46"/>
        <v/>
      </c>
      <c r="S228" s="132" t="str">
        <f t="shared" si="47"/>
        <v/>
      </c>
      <c r="T228" s="132" t="str">
        <f t="shared" si="45"/>
        <v/>
      </c>
      <c r="V228"/>
      <c r="W228" s="18"/>
      <c r="X228" s="18"/>
      <c r="Y228" s="160"/>
      <c r="Z228" s="18"/>
      <c r="AA228" s="18"/>
      <c r="AB228" s="18"/>
      <c r="AC228" s="18"/>
      <c r="AD228" s="18"/>
      <c r="CH228">
        <v>5</v>
      </c>
      <c r="CI228">
        <v>33</v>
      </c>
    </row>
    <row r="229" spans="1:87" x14ac:dyDescent="0.3">
      <c r="A229" s="2">
        <v>1950</v>
      </c>
      <c r="B229" s="2" t="s">
        <v>0</v>
      </c>
      <c r="C229" s="2" t="s">
        <v>21</v>
      </c>
      <c r="D229" s="2" t="s">
        <v>502</v>
      </c>
      <c r="E229" s="2">
        <v>100</v>
      </c>
      <c r="F229" s="2">
        <v>0.08</v>
      </c>
      <c r="G229" s="2">
        <v>5.0799999999999998E-2</v>
      </c>
      <c r="H229" s="4">
        <f t="shared" si="43"/>
        <v>0.36500000000000005</v>
      </c>
      <c r="I229" s="2" t="s">
        <v>208</v>
      </c>
      <c r="J229" s="25" t="s">
        <v>209</v>
      </c>
      <c r="K229" s="2" t="s">
        <v>200</v>
      </c>
      <c r="L229" s="2" t="s">
        <v>76</v>
      </c>
      <c r="M229" s="155"/>
      <c r="N229" s="155"/>
      <c r="O229" s="2"/>
      <c r="P229" s="2" t="s">
        <v>210</v>
      </c>
      <c r="Q229" s="132" t="str">
        <f t="shared" si="44"/>
        <v/>
      </c>
      <c r="R229" s="33" t="str">
        <f t="shared" si="46"/>
        <v/>
      </c>
      <c r="S229" s="132" t="str">
        <f t="shared" si="47"/>
        <v/>
      </c>
      <c r="T229" s="132" t="str">
        <f t="shared" si="45"/>
        <v/>
      </c>
      <c r="V229"/>
      <c r="W229" s="18"/>
      <c r="X229" s="18"/>
      <c r="Y229" s="160"/>
      <c r="Z229" s="18"/>
      <c r="AA229" s="18"/>
      <c r="AB229" s="18"/>
      <c r="AC229" s="18"/>
      <c r="AD229" s="18"/>
      <c r="CH229">
        <v>4</v>
      </c>
      <c r="CI229">
        <v>71</v>
      </c>
    </row>
    <row r="230" spans="1:87" x14ac:dyDescent="0.3">
      <c r="A230" s="2">
        <v>1130</v>
      </c>
      <c r="B230" s="2" t="s">
        <v>0</v>
      </c>
      <c r="C230" s="2" t="s">
        <v>21</v>
      </c>
      <c r="D230" s="2" t="s">
        <v>503</v>
      </c>
      <c r="E230" s="2">
        <v>200</v>
      </c>
      <c r="F230" s="2">
        <v>3.3500000000000002E-2</v>
      </c>
      <c r="G230" s="2">
        <v>1.9E-2</v>
      </c>
      <c r="H230" s="4">
        <f t="shared" si="43"/>
        <v>0.43283582089552242</v>
      </c>
      <c r="I230" s="2" t="s">
        <v>98</v>
      </c>
      <c r="J230" s="2" t="s">
        <v>504</v>
      </c>
      <c r="K230" s="2" t="s">
        <v>105</v>
      </c>
      <c r="L230" s="2" t="s">
        <v>76</v>
      </c>
      <c r="M230" s="155"/>
      <c r="N230" s="155"/>
      <c r="O230" s="2">
        <v>2</v>
      </c>
      <c r="P230" s="6">
        <v>60</v>
      </c>
      <c r="Q230" s="132">
        <f t="shared" si="44"/>
        <v>4.8</v>
      </c>
      <c r="R230" s="33">
        <f t="shared" si="46"/>
        <v>60</v>
      </c>
      <c r="S230" s="132">
        <f t="shared" si="47"/>
        <v>7.5</v>
      </c>
      <c r="T230" s="132">
        <f t="shared" si="45"/>
        <v>7.5</v>
      </c>
      <c r="W230" s="13"/>
      <c r="CH230">
        <v>3</v>
      </c>
      <c r="CI230">
        <v>58</v>
      </c>
    </row>
    <row r="231" spans="1:87" x14ac:dyDescent="0.3">
      <c r="A231" s="23">
        <v>1946</v>
      </c>
      <c r="B231" s="2" t="s">
        <v>0</v>
      </c>
      <c r="C231" s="2" t="s">
        <v>21</v>
      </c>
      <c r="D231" s="2" t="s">
        <v>505</v>
      </c>
      <c r="E231" s="2">
        <v>100</v>
      </c>
      <c r="F231" s="2">
        <v>3.0700000000000002E-2</v>
      </c>
      <c r="G231" s="2">
        <v>1.9E-2</v>
      </c>
      <c r="H231" s="4">
        <f t="shared" si="43"/>
        <v>0.38110749185667758</v>
      </c>
      <c r="I231" s="2" t="s">
        <v>3</v>
      </c>
      <c r="J231" s="2" t="s">
        <v>504</v>
      </c>
      <c r="K231" s="2" t="s">
        <v>200</v>
      </c>
      <c r="L231" s="2" t="s">
        <v>76</v>
      </c>
      <c r="M231" s="155">
        <v>2</v>
      </c>
      <c r="N231" s="155">
        <v>50</v>
      </c>
      <c r="O231" s="2">
        <v>2</v>
      </c>
      <c r="P231" s="2">
        <v>110</v>
      </c>
      <c r="Q231" s="132">
        <f t="shared" si="44"/>
        <v>5.6</v>
      </c>
      <c r="R231" s="33">
        <f t="shared" si="46"/>
        <v>102.85714285714286</v>
      </c>
      <c r="S231" s="132">
        <f t="shared" si="47"/>
        <v>12.857142857142858</v>
      </c>
      <c r="T231" s="132">
        <f t="shared" si="45"/>
        <v>12.857142857142858</v>
      </c>
      <c r="V231"/>
      <c r="W231" s="18"/>
      <c r="X231" s="18"/>
      <c r="Y231" s="160"/>
      <c r="Z231" s="18"/>
      <c r="AA231" s="18"/>
      <c r="AB231" s="18"/>
      <c r="AC231" s="18"/>
      <c r="AD231" s="26">
        <v>44621</v>
      </c>
      <c r="AE231">
        <v>12</v>
      </c>
      <c r="AF231">
        <v>1.4</v>
      </c>
      <c r="AG231">
        <v>0.4</v>
      </c>
      <c r="AH231">
        <v>1.6</v>
      </c>
      <c r="AI231">
        <v>0.4</v>
      </c>
      <c r="AJ231">
        <v>0.5</v>
      </c>
      <c r="AK231">
        <v>0.28000000000000003</v>
      </c>
      <c r="AL231">
        <v>0.14000000000000001</v>
      </c>
      <c r="AM231">
        <v>0.3</v>
      </c>
      <c r="AN231">
        <v>0.2</v>
      </c>
      <c r="AO231">
        <v>5.6</v>
      </c>
      <c r="AP231">
        <v>50</v>
      </c>
      <c r="AQ231">
        <v>128</v>
      </c>
      <c r="AR231">
        <v>128</v>
      </c>
      <c r="AS231">
        <v>129</v>
      </c>
      <c r="AT231">
        <v>75</v>
      </c>
      <c r="AU231">
        <v>30</v>
      </c>
      <c r="AV231">
        <v>40</v>
      </c>
      <c r="AW231">
        <v>30</v>
      </c>
      <c r="AX231">
        <v>100</v>
      </c>
      <c r="AY231">
        <v>260</v>
      </c>
      <c r="AZ231" t="s">
        <v>78</v>
      </c>
      <c r="BA231">
        <v>900</v>
      </c>
      <c r="BB231">
        <v>10</v>
      </c>
      <c r="CH231">
        <v>2</v>
      </c>
      <c r="CI231">
        <v>62</v>
      </c>
    </row>
    <row r="232" spans="1:87" x14ac:dyDescent="0.3">
      <c r="A232" s="2">
        <v>1128</v>
      </c>
      <c r="B232" s="2" t="s">
        <v>0</v>
      </c>
      <c r="C232" s="2" t="s">
        <v>21</v>
      </c>
      <c r="D232" s="2" t="s">
        <v>506</v>
      </c>
      <c r="E232" s="2">
        <v>200</v>
      </c>
      <c r="F232" s="2">
        <v>3.8399999999999997E-2</v>
      </c>
      <c r="G232" s="2">
        <v>2.5399999999999999E-2</v>
      </c>
      <c r="H232" s="4">
        <f t="shared" si="43"/>
        <v>0.33854166666666663</v>
      </c>
      <c r="I232" s="2" t="s">
        <v>82</v>
      </c>
      <c r="J232" s="2" t="s">
        <v>341</v>
      </c>
      <c r="K232" s="2" t="s">
        <v>200</v>
      </c>
      <c r="L232" s="2" t="s">
        <v>76</v>
      </c>
      <c r="M232" s="155"/>
      <c r="N232" s="155"/>
      <c r="O232" s="2">
        <v>2</v>
      </c>
      <c r="P232" s="6">
        <v>40</v>
      </c>
      <c r="Q232" s="132">
        <f t="shared" si="44"/>
        <v>7.2</v>
      </c>
      <c r="R232" s="33">
        <f t="shared" si="46"/>
        <v>40</v>
      </c>
      <c r="S232" s="132">
        <f t="shared" si="47"/>
        <v>5</v>
      </c>
      <c r="T232" s="132">
        <f t="shared" si="45"/>
        <v>5</v>
      </c>
      <c r="W232" s="13"/>
      <c r="CH232">
        <v>2</v>
      </c>
      <c r="CI232">
        <v>43</v>
      </c>
    </row>
    <row r="233" spans="1:87" x14ac:dyDescent="0.3">
      <c r="A233" s="2">
        <v>1131</v>
      </c>
      <c r="B233" s="2" t="s">
        <v>0</v>
      </c>
      <c r="C233" s="2" t="s">
        <v>21</v>
      </c>
      <c r="D233" s="123" t="s">
        <v>507</v>
      </c>
      <c r="E233" s="2">
        <v>200</v>
      </c>
      <c r="F233" s="2">
        <v>3.4500000000000003E-2</v>
      </c>
      <c r="G233" s="2">
        <v>2.23E-2</v>
      </c>
      <c r="H233" s="4">
        <f t="shared" si="43"/>
        <v>0.35362318840579715</v>
      </c>
      <c r="I233" s="123" t="s">
        <v>86</v>
      </c>
      <c r="J233" s="2" t="s">
        <v>203</v>
      </c>
      <c r="K233" s="2" t="s">
        <v>200</v>
      </c>
      <c r="L233" s="2" t="s">
        <v>76</v>
      </c>
      <c r="M233" s="155"/>
      <c r="N233" s="155"/>
      <c r="O233" s="2">
        <v>2</v>
      </c>
      <c r="P233" s="6">
        <v>36</v>
      </c>
      <c r="Q233" s="132">
        <f t="shared" si="44"/>
        <v>8</v>
      </c>
      <c r="R233" s="33">
        <f t="shared" si="46"/>
        <v>36</v>
      </c>
      <c r="S233" s="132">
        <f t="shared" si="47"/>
        <v>4.5</v>
      </c>
      <c r="T233" s="132">
        <f t="shared" si="45"/>
        <v>4.5</v>
      </c>
      <c r="W233" s="13"/>
      <c r="CH233">
        <v>3</v>
      </c>
      <c r="CI233">
        <v>60</v>
      </c>
    </row>
    <row r="234" spans="1:87" x14ac:dyDescent="0.3">
      <c r="A234" s="23">
        <v>1947</v>
      </c>
      <c r="B234" s="2" t="s">
        <v>0</v>
      </c>
      <c r="C234" s="2" t="s">
        <v>21</v>
      </c>
      <c r="D234" s="2" t="s">
        <v>508</v>
      </c>
      <c r="E234" s="2">
        <v>100</v>
      </c>
      <c r="F234" s="2">
        <v>3.8399999999999997E-2</v>
      </c>
      <c r="G234" s="2">
        <v>2.5399999999999999E-2</v>
      </c>
      <c r="H234" s="4">
        <f t="shared" si="43"/>
        <v>0.33854166666666663</v>
      </c>
      <c r="I234" s="2" t="s">
        <v>82</v>
      </c>
      <c r="J234" s="2" t="s">
        <v>341</v>
      </c>
      <c r="K234" s="2" t="s">
        <v>200</v>
      </c>
      <c r="L234" s="2" t="s">
        <v>76</v>
      </c>
      <c r="M234" s="155"/>
      <c r="N234" s="155"/>
      <c r="O234" s="2">
        <v>2</v>
      </c>
      <c r="P234" s="2">
        <v>70</v>
      </c>
      <c r="Q234" s="132">
        <f t="shared" si="44"/>
        <v>6.4</v>
      </c>
      <c r="R234" s="33">
        <f t="shared" si="46"/>
        <v>90</v>
      </c>
      <c r="S234" s="132">
        <f t="shared" si="47"/>
        <v>11.25</v>
      </c>
      <c r="T234" s="132">
        <f t="shared" si="45"/>
        <v>11.25</v>
      </c>
      <c r="V234"/>
      <c r="W234" s="18"/>
      <c r="X234" s="18"/>
      <c r="Y234" s="160"/>
      <c r="Z234" s="18"/>
      <c r="AA234" s="18"/>
      <c r="AB234" s="18"/>
      <c r="AC234" s="18"/>
      <c r="AD234" s="153">
        <v>45630</v>
      </c>
      <c r="AE234">
        <v>12</v>
      </c>
      <c r="AF234">
        <v>1.4</v>
      </c>
      <c r="AG234">
        <v>0.35</v>
      </c>
      <c r="AH234">
        <v>1.3</v>
      </c>
      <c r="AI234">
        <v>0.35</v>
      </c>
      <c r="AJ234">
        <v>0.03</v>
      </c>
      <c r="AK234">
        <v>0.18</v>
      </c>
      <c r="AL234">
        <v>1</v>
      </c>
      <c r="AM234">
        <v>0.8</v>
      </c>
      <c r="AN234">
        <v>0.4</v>
      </c>
      <c r="AO234">
        <v>6.4</v>
      </c>
      <c r="AP234">
        <v>41</v>
      </c>
      <c r="AQ234">
        <v>99</v>
      </c>
      <c r="AR234">
        <v>99</v>
      </c>
      <c r="AS234">
        <v>99</v>
      </c>
      <c r="AT234">
        <v>50</v>
      </c>
      <c r="AU234">
        <v>30</v>
      </c>
      <c r="AV234">
        <v>35</v>
      </c>
      <c r="AW234">
        <v>42</v>
      </c>
      <c r="AX234">
        <v>41</v>
      </c>
      <c r="AY234">
        <v>260</v>
      </c>
      <c r="AZ234" t="s">
        <v>78</v>
      </c>
      <c r="BA234">
        <v>500</v>
      </c>
      <c r="BB234">
        <v>10</v>
      </c>
      <c r="CH234">
        <v>1</v>
      </c>
      <c r="CI234">
        <v>42</v>
      </c>
    </row>
    <row r="235" spans="1:87" x14ac:dyDescent="0.3">
      <c r="A235" s="2">
        <v>1132</v>
      </c>
      <c r="B235" s="2" t="s">
        <v>0</v>
      </c>
      <c r="C235" s="2" t="s">
        <v>21</v>
      </c>
      <c r="D235" s="2" t="s">
        <v>509</v>
      </c>
      <c r="E235" s="2">
        <v>200</v>
      </c>
      <c r="F235" s="2">
        <v>4.9299999999999997E-2</v>
      </c>
      <c r="G235" s="2">
        <v>3.1800000000000002E-2</v>
      </c>
      <c r="H235" s="4">
        <f t="shared" si="43"/>
        <v>0.35496957403651108</v>
      </c>
      <c r="I235" s="2" t="s">
        <v>82</v>
      </c>
      <c r="J235" s="2" t="s">
        <v>510</v>
      </c>
      <c r="K235" s="2" t="s">
        <v>200</v>
      </c>
      <c r="L235" s="2" t="s">
        <v>76</v>
      </c>
      <c r="M235" s="155"/>
      <c r="N235" s="155"/>
      <c r="O235" s="2">
        <v>2</v>
      </c>
      <c r="P235" s="6">
        <v>36</v>
      </c>
      <c r="Q235" s="132">
        <f t="shared" si="44"/>
        <v>8</v>
      </c>
      <c r="R235" s="33">
        <f t="shared" si="46"/>
        <v>36</v>
      </c>
      <c r="S235" s="132">
        <f t="shared" si="47"/>
        <v>4.5</v>
      </c>
      <c r="T235" s="132">
        <f t="shared" si="45"/>
        <v>4.5</v>
      </c>
      <c r="W235" s="13"/>
      <c r="CH235">
        <v>1</v>
      </c>
      <c r="CI235">
        <v>45</v>
      </c>
    </row>
    <row r="236" spans="1:87" x14ac:dyDescent="0.3">
      <c r="A236" s="2">
        <v>1133</v>
      </c>
      <c r="B236" s="2" t="s">
        <v>84</v>
      </c>
      <c r="C236" s="2" t="s">
        <v>21</v>
      </c>
      <c r="D236" s="123" t="s">
        <v>511</v>
      </c>
      <c r="E236" s="2">
        <v>200</v>
      </c>
      <c r="F236" s="2">
        <v>4.3099999999999999E-2</v>
      </c>
      <c r="G236" s="2">
        <v>2.7799999999999998E-2</v>
      </c>
      <c r="H236" s="4">
        <f t="shared" ref="H236:H244" si="48">(F236-G236)/F236</f>
        <v>0.35498839907192581</v>
      </c>
      <c r="I236" s="123" t="s">
        <v>86</v>
      </c>
      <c r="J236" s="2" t="s">
        <v>212</v>
      </c>
      <c r="K236" s="2" t="s">
        <v>200</v>
      </c>
      <c r="L236" s="2" t="s">
        <v>76</v>
      </c>
      <c r="M236" s="155"/>
      <c r="N236" s="155"/>
      <c r="O236" s="2">
        <v>2</v>
      </c>
      <c r="P236" s="6"/>
      <c r="Q236" s="132" t="str">
        <f t="shared" si="44"/>
        <v/>
      </c>
      <c r="R236" s="33" t="str">
        <f t="shared" si="46"/>
        <v/>
      </c>
      <c r="S236" s="132" t="str">
        <f t="shared" si="47"/>
        <v/>
      </c>
      <c r="T236" s="132" t="str">
        <f t="shared" si="45"/>
        <v/>
      </c>
      <c r="W236" s="13"/>
      <c r="CH236">
        <v>5</v>
      </c>
      <c r="CI236">
        <v>31</v>
      </c>
    </row>
    <row r="237" spans="1:87" x14ac:dyDescent="0.3">
      <c r="A237" s="2">
        <v>1948</v>
      </c>
      <c r="B237" s="23" t="s">
        <v>0</v>
      </c>
      <c r="C237" s="2" t="s">
        <v>21</v>
      </c>
      <c r="D237" s="2" t="s">
        <v>512</v>
      </c>
      <c r="E237" s="2">
        <v>100</v>
      </c>
      <c r="F237" s="2">
        <v>4.9299999999999997E-2</v>
      </c>
      <c r="G237" s="2">
        <v>3.1800000000000002E-2</v>
      </c>
      <c r="H237" s="4">
        <f t="shared" si="48"/>
        <v>0.35496957403651108</v>
      </c>
      <c r="I237" s="2" t="s">
        <v>82</v>
      </c>
      <c r="J237" s="2" t="s">
        <v>510</v>
      </c>
      <c r="K237" s="2" t="s">
        <v>200</v>
      </c>
      <c r="L237" s="2" t="s">
        <v>76</v>
      </c>
      <c r="M237" s="155"/>
      <c r="N237" s="155"/>
      <c r="O237" s="2">
        <v>2</v>
      </c>
      <c r="P237" s="2">
        <v>65</v>
      </c>
      <c r="Q237" s="132">
        <f t="shared" si="44"/>
        <v>8.861538461538462</v>
      </c>
      <c r="R237" s="33">
        <f t="shared" si="46"/>
        <v>65</v>
      </c>
      <c r="S237" s="132">
        <f t="shared" si="47"/>
        <v>8.125</v>
      </c>
      <c r="T237" s="132">
        <f t="shared" si="45"/>
        <v>8.125</v>
      </c>
      <c r="V237"/>
      <c r="W237" s="18"/>
      <c r="X237" s="18"/>
      <c r="Y237" s="160"/>
      <c r="Z237" s="18"/>
      <c r="AA237" s="18"/>
      <c r="AB237" s="18"/>
      <c r="AC237" s="18"/>
      <c r="AD237" s="18"/>
      <c r="CH237">
        <v>3</v>
      </c>
      <c r="CI237">
        <v>76</v>
      </c>
    </row>
    <row r="238" spans="1:87" x14ac:dyDescent="0.3">
      <c r="A238" s="23">
        <v>1082</v>
      </c>
      <c r="B238" s="2" t="s">
        <v>0</v>
      </c>
      <c r="C238" s="2" t="s">
        <v>21</v>
      </c>
      <c r="D238" s="2" t="s">
        <v>513</v>
      </c>
      <c r="E238" s="2">
        <v>100</v>
      </c>
      <c r="F238" s="2">
        <v>9.3299999999999994E-2</v>
      </c>
      <c r="G238" s="2">
        <v>7.1999999999999995E-2</v>
      </c>
      <c r="H238" s="4">
        <f t="shared" si="48"/>
        <v>0.22829581993569134</v>
      </c>
      <c r="I238" s="2" t="s">
        <v>73</v>
      </c>
      <c r="J238" s="2" t="s">
        <v>514</v>
      </c>
      <c r="K238" s="2" t="s">
        <v>105</v>
      </c>
      <c r="L238" s="2" t="s">
        <v>76</v>
      </c>
      <c r="M238" s="155">
        <v>2</v>
      </c>
      <c r="N238" s="155">
        <v>50</v>
      </c>
      <c r="O238" s="2">
        <v>1</v>
      </c>
      <c r="P238" s="6">
        <v>50</v>
      </c>
      <c r="Q238" s="132">
        <f t="shared" si="44"/>
        <v>4.5999999999999996</v>
      </c>
      <c r="R238" s="33">
        <f t="shared" si="46"/>
        <v>62.608695652173921</v>
      </c>
      <c r="S238" s="132">
        <f t="shared" si="47"/>
        <v>7.8260869565217401</v>
      </c>
      <c r="T238" s="132">
        <f t="shared" si="45"/>
        <v>7.8260869565217401</v>
      </c>
      <c r="W238" s="13"/>
      <c r="AD238" s="22">
        <v>45545</v>
      </c>
      <c r="AE238">
        <v>15</v>
      </c>
      <c r="AF238">
        <v>1.3</v>
      </c>
      <c r="AG238">
        <v>0.2</v>
      </c>
      <c r="AH238">
        <v>1.1000000000000001</v>
      </c>
      <c r="AI238">
        <v>0.25</v>
      </c>
      <c r="AJ238">
        <v>0.45</v>
      </c>
      <c r="AK238">
        <v>0.16</v>
      </c>
      <c r="AL238">
        <v>0.14000000000000001</v>
      </c>
      <c r="AM238">
        <v>0.5</v>
      </c>
      <c r="AN238">
        <v>0.17</v>
      </c>
      <c r="AO238">
        <v>4.5999999999999996</v>
      </c>
      <c r="AP238">
        <v>51</v>
      </c>
      <c r="AQ238">
        <v>112</v>
      </c>
      <c r="AR238">
        <v>113</v>
      </c>
      <c r="AS238">
        <v>114</v>
      </c>
      <c r="AT238">
        <v>43</v>
      </c>
      <c r="AU238">
        <v>20</v>
      </c>
      <c r="AV238">
        <v>40</v>
      </c>
      <c r="AW238">
        <v>20</v>
      </c>
      <c r="AX238">
        <v>100</v>
      </c>
      <c r="AY238">
        <v>288</v>
      </c>
      <c r="AZ238" t="s">
        <v>78</v>
      </c>
      <c r="BA238">
        <v>1700</v>
      </c>
      <c r="BB238">
        <v>10</v>
      </c>
      <c r="BE238" s="116">
        <f>AO238/BQ238-1</f>
        <v>-4.1666666666666741E-2</v>
      </c>
      <c r="BF238" s="22">
        <v>45376</v>
      </c>
      <c r="BG238">
        <v>14</v>
      </c>
      <c r="BH238">
        <v>1.1000000000000001</v>
      </c>
      <c r="BI238">
        <v>0.2</v>
      </c>
      <c r="BJ238">
        <v>1.1000000000000001</v>
      </c>
      <c r="BK238">
        <v>0.2</v>
      </c>
      <c r="BL238">
        <v>0.5</v>
      </c>
      <c r="BM238">
        <v>0.13</v>
      </c>
      <c r="BN238">
        <v>0.18</v>
      </c>
      <c r="BO238">
        <v>0.45</v>
      </c>
      <c r="BP238">
        <v>0.35</v>
      </c>
      <c r="BQ238">
        <v>4.8</v>
      </c>
      <c r="BR238">
        <v>52</v>
      </c>
      <c r="BS238">
        <v>113</v>
      </c>
      <c r="BT238">
        <v>11</v>
      </c>
      <c r="BU238">
        <v>109</v>
      </c>
      <c r="BV238">
        <v>45</v>
      </c>
      <c r="BW238">
        <v>20</v>
      </c>
      <c r="BX238">
        <v>40</v>
      </c>
      <c r="BY238">
        <v>20</v>
      </c>
      <c r="BZ238">
        <v>100</v>
      </c>
      <c r="CA238">
        <v>288</v>
      </c>
      <c r="CB238" t="s">
        <v>78</v>
      </c>
      <c r="CC238">
        <v>400</v>
      </c>
      <c r="CD238">
        <v>10</v>
      </c>
      <c r="CH238">
        <v>5</v>
      </c>
      <c r="CI238">
        <v>57</v>
      </c>
    </row>
    <row r="239" spans="1:87" x14ac:dyDescent="0.3">
      <c r="A239" s="23">
        <v>1084</v>
      </c>
      <c r="B239" s="2" t="s">
        <v>0</v>
      </c>
      <c r="C239" s="2" t="s">
        <v>21</v>
      </c>
      <c r="D239" s="2" t="s">
        <v>515</v>
      </c>
      <c r="E239" s="2">
        <v>100</v>
      </c>
      <c r="F239" s="2">
        <v>0.1066</v>
      </c>
      <c r="G239" s="2">
        <v>8.2699999999999996E-2</v>
      </c>
      <c r="H239" s="91">
        <f t="shared" si="48"/>
        <v>0.22420262664165108</v>
      </c>
      <c r="I239" s="2" t="s">
        <v>82</v>
      </c>
      <c r="J239" s="2" t="s">
        <v>516</v>
      </c>
      <c r="K239" s="2" t="s">
        <v>105</v>
      </c>
      <c r="L239" s="2" t="s">
        <v>76</v>
      </c>
      <c r="M239" s="155">
        <v>2</v>
      </c>
      <c r="N239" s="155">
        <v>50</v>
      </c>
      <c r="O239" s="2">
        <v>1</v>
      </c>
      <c r="P239" s="6">
        <v>44</v>
      </c>
      <c r="Q239" s="132">
        <v>5.6</v>
      </c>
      <c r="R239" s="137">
        <v>51</v>
      </c>
      <c r="S239" s="132">
        <v>6.3</v>
      </c>
      <c r="T239" s="132" t="s">
        <v>517</v>
      </c>
      <c r="V239" s="92"/>
      <c r="W239" s="13"/>
      <c r="AD239" s="22">
        <v>45392</v>
      </c>
      <c r="AE239" t="s">
        <v>518</v>
      </c>
      <c r="AF239" s="13" t="s">
        <v>519</v>
      </c>
      <c r="AG239" s="13" t="s">
        <v>520</v>
      </c>
      <c r="AH239" s="13" t="s">
        <v>521</v>
      </c>
      <c r="AI239" s="13" t="s">
        <v>520</v>
      </c>
      <c r="AJ239" s="13" t="s">
        <v>522</v>
      </c>
      <c r="AK239" s="13" t="s">
        <v>523</v>
      </c>
      <c r="AL239" s="13" t="s">
        <v>524</v>
      </c>
      <c r="AM239" s="13" t="s">
        <v>525</v>
      </c>
      <c r="AN239" s="13" t="s">
        <v>526</v>
      </c>
      <c r="AO239" s="13" t="s">
        <v>527</v>
      </c>
      <c r="AP239" t="s">
        <v>528</v>
      </c>
      <c r="AQ239" t="s">
        <v>529</v>
      </c>
      <c r="AR239" t="s">
        <v>530</v>
      </c>
      <c r="AS239" t="s">
        <v>531</v>
      </c>
      <c r="AT239" t="s">
        <v>532</v>
      </c>
      <c r="AU239" s="13" t="s">
        <v>122</v>
      </c>
      <c r="AV239" s="13" t="s">
        <v>123</v>
      </c>
      <c r="AW239" s="13" t="s">
        <v>122</v>
      </c>
      <c r="AX239" t="s">
        <v>124</v>
      </c>
      <c r="AY239" t="s">
        <v>533</v>
      </c>
      <c r="AZ239" t="s">
        <v>78</v>
      </c>
      <c r="BA239" s="13" t="s">
        <v>534</v>
      </c>
      <c r="BB239" s="39" t="s">
        <v>127</v>
      </c>
      <c r="CH239">
        <v>5</v>
      </c>
      <c r="CI239">
        <v>77</v>
      </c>
    </row>
    <row r="240" spans="1:87" x14ac:dyDescent="0.3">
      <c r="A240" s="2">
        <v>1083</v>
      </c>
      <c r="B240" s="2" t="s">
        <v>0</v>
      </c>
      <c r="C240" s="2" t="s">
        <v>21</v>
      </c>
      <c r="D240" s="123" t="s">
        <v>535</v>
      </c>
      <c r="E240" s="2">
        <v>100</v>
      </c>
      <c r="F240" s="2">
        <v>0.1066</v>
      </c>
      <c r="G240" s="2">
        <v>8.2699999999999996E-2</v>
      </c>
      <c r="H240" s="4">
        <f t="shared" si="48"/>
        <v>0.22420262664165108</v>
      </c>
      <c r="I240" s="123" t="s">
        <v>73</v>
      </c>
      <c r="J240" s="2" t="s">
        <v>514</v>
      </c>
      <c r="K240" s="2" t="s">
        <v>105</v>
      </c>
      <c r="L240" s="2" t="s">
        <v>76</v>
      </c>
      <c r="M240" s="155"/>
      <c r="N240" s="155"/>
      <c r="O240" s="2">
        <v>1</v>
      </c>
      <c r="P240" s="6">
        <v>44</v>
      </c>
      <c r="Q240" s="132">
        <f>IFERROR(IF(AO240&gt;1,AO240,60*60*8*O240/P240/E240),"")</f>
        <v>6.545454545454545</v>
      </c>
      <c r="R240" s="33">
        <f>IFERROR(60*60*8*O240/E240/Q240,"")</f>
        <v>44</v>
      </c>
      <c r="S240" s="132">
        <f>IFERROR(R240/8,"")</f>
        <v>5.5</v>
      </c>
      <c r="T240" s="132">
        <f>IFERROR(IF(R240&gt;2,S240,""),"")</f>
        <v>5.5</v>
      </c>
      <c r="W240" s="13"/>
      <c r="CH240">
        <v>3</v>
      </c>
      <c r="CI240">
        <v>63</v>
      </c>
    </row>
    <row r="241" spans="1:87" x14ac:dyDescent="0.3">
      <c r="A241" s="2">
        <v>1081</v>
      </c>
      <c r="B241" s="2" t="s">
        <v>84</v>
      </c>
      <c r="C241" s="2" t="s">
        <v>21</v>
      </c>
      <c r="D241" s="123" t="s">
        <v>536</v>
      </c>
      <c r="E241" s="2">
        <v>100</v>
      </c>
      <c r="F241" s="2">
        <v>7.3300000000000004E-2</v>
      </c>
      <c r="G241" s="2">
        <v>5.5100000000000003E-2</v>
      </c>
      <c r="H241" s="4">
        <f t="shared" si="48"/>
        <v>0.24829467939972716</v>
      </c>
      <c r="I241" s="123" t="s">
        <v>86</v>
      </c>
      <c r="J241" s="2" t="s">
        <v>537</v>
      </c>
      <c r="K241" s="2" t="s">
        <v>105</v>
      </c>
      <c r="L241" s="2" t="s">
        <v>76</v>
      </c>
      <c r="M241" s="155"/>
      <c r="N241" s="155"/>
      <c r="O241" s="2">
        <v>1</v>
      </c>
      <c r="P241" s="6"/>
      <c r="Q241" s="132" t="str">
        <f>IFERROR(IF(AO241&gt;1,AO241,60*60*8*O241/P241/E241),"")</f>
        <v/>
      </c>
      <c r="R241" s="33" t="str">
        <f>IFERROR(60*60*8*O241/E241/Q241,"")</f>
        <v/>
      </c>
      <c r="S241" s="132" t="str">
        <f>IFERROR(R241/8,"")</f>
        <v/>
      </c>
      <c r="T241" s="132" t="str">
        <f>IFERROR(IF(R241&gt;2,S241,""),"")</f>
        <v/>
      </c>
      <c r="W241" s="13"/>
      <c r="CH241">
        <v>3</v>
      </c>
      <c r="CI241">
        <v>45</v>
      </c>
    </row>
    <row r="242" spans="1:87" x14ac:dyDescent="0.3">
      <c r="A242" s="23">
        <v>1087</v>
      </c>
      <c r="B242" s="2" t="s">
        <v>0</v>
      </c>
      <c r="C242" s="2" t="s">
        <v>21</v>
      </c>
      <c r="D242" s="2" t="s">
        <v>538</v>
      </c>
      <c r="E242" s="2">
        <v>100</v>
      </c>
      <c r="F242" s="2">
        <v>7.9899999999999999E-2</v>
      </c>
      <c r="G242" s="2">
        <v>6.13E-2</v>
      </c>
      <c r="H242" s="4">
        <f t="shared" si="48"/>
        <v>0.23279098873591988</v>
      </c>
      <c r="I242" s="2" t="s">
        <v>73</v>
      </c>
      <c r="J242" s="2" t="s">
        <v>186</v>
      </c>
      <c r="K242" s="2" t="s">
        <v>105</v>
      </c>
      <c r="L242" s="2" t="s">
        <v>76</v>
      </c>
      <c r="M242" s="155">
        <v>2</v>
      </c>
      <c r="N242" s="155">
        <v>50</v>
      </c>
      <c r="O242" s="2">
        <v>1</v>
      </c>
      <c r="P242" s="6">
        <v>62</v>
      </c>
      <c r="Q242" s="132">
        <f>IFERROR(IF(AO242&gt;1,AO242,60*60*8*O242/P242/E242),"")</f>
        <v>4.3</v>
      </c>
      <c r="R242" s="33">
        <f>IFERROR(60*60*8*O242/E242/Q242,"")</f>
        <v>66.976744186046517</v>
      </c>
      <c r="S242" s="132">
        <f>IFERROR(R242/8,"")</f>
        <v>8.3720930232558146</v>
      </c>
      <c r="T242" s="132">
        <f>IFERROR(IF(R242&gt;2,S242,""),"")</f>
        <v>8.3720930232558146</v>
      </c>
      <c r="W242" s="13"/>
      <c r="AD242" s="22">
        <v>45385</v>
      </c>
      <c r="AE242">
        <v>14</v>
      </c>
      <c r="AF242">
        <v>1.3</v>
      </c>
      <c r="AG242">
        <v>0.1</v>
      </c>
      <c r="AH242">
        <v>1</v>
      </c>
      <c r="AI242">
        <v>0.1</v>
      </c>
      <c r="AJ242">
        <v>0.5</v>
      </c>
      <c r="AK242">
        <v>0.13</v>
      </c>
      <c r="AL242">
        <v>0.16</v>
      </c>
      <c r="AM242">
        <v>0.3</v>
      </c>
      <c r="AN242">
        <v>0.22</v>
      </c>
      <c r="AO242">
        <v>4.3</v>
      </c>
      <c r="AP242">
        <v>49</v>
      </c>
      <c r="AQ242">
        <v>114</v>
      </c>
      <c r="AR242">
        <v>111</v>
      </c>
      <c r="AS242">
        <v>100</v>
      </c>
      <c r="AT242">
        <v>48</v>
      </c>
      <c r="AU242">
        <v>20</v>
      </c>
      <c r="AV242">
        <v>40</v>
      </c>
      <c r="AW242">
        <v>20</v>
      </c>
      <c r="AX242">
        <v>100</v>
      </c>
      <c r="AY242">
        <v>289</v>
      </c>
      <c r="AZ242" t="s">
        <v>78</v>
      </c>
      <c r="BA242">
        <v>1000</v>
      </c>
      <c r="BB242">
        <v>10</v>
      </c>
      <c r="CH242">
        <v>2</v>
      </c>
      <c r="CI242">
        <v>85</v>
      </c>
    </row>
    <row r="243" spans="1:87" x14ac:dyDescent="0.3">
      <c r="A243" s="2">
        <v>1086</v>
      </c>
      <c r="B243" s="2" t="s">
        <v>84</v>
      </c>
      <c r="C243" s="2" t="s">
        <v>21</v>
      </c>
      <c r="D243" s="123" t="s">
        <v>539</v>
      </c>
      <c r="E243" s="2">
        <v>100</v>
      </c>
      <c r="F243" s="2">
        <v>5.91E-2</v>
      </c>
      <c r="G243" s="2">
        <v>4.7399999999999998E-2</v>
      </c>
      <c r="H243" s="4">
        <f t="shared" si="48"/>
        <v>0.19796954314720816</v>
      </c>
      <c r="I243" s="123" t="s">
        <v>86</v>
      </c>
      <c r="J243" s="2" t="s">
        <v>291</v>
      </c>
      <c r="K243" s="2" t="s">
        <v>105</v>
      </c>
      <c r="L243" s="2" t="s">
        <v>76</v>
      </c>
      <c r="M243" s="155"/>
      <c r="N243" s="155"/>
      <c r="O243" s="2">
        <v>1</v>
      </c>
      <c r="P243" s="6"/>
      <c r="Q243" s="132" t="str">
        <f>IFERROR(IF(AO243&gt;1,AO243,60*60*8*O243/P243/E243),"")</f>
        <v/>
      </c>
      <c r="R243" s="33" t="str">
        <f>IFERROR(60*60*8*O243/E243/Q243,"")</f>
        <v/>
      </c>
      <c r="S243" s="132" t="str">
        <f>IFERROR(R243/8,"")</f>
        <v/>
      </c>
      <c r="T243" s="132" t="str">
        <f>IFERROR(IF(R243&gt;2,S243,""),"")</f>
        <v/>
      </c>
      <c r="W243" s="13"/>
      <c r="CH243">
        <v>3</v>
      </c>
      <c r="CI243">
        <v>37</v>
      </c>
    </row>
    <row r="244" spans="1:87" x14ac:dyDescent="0.3">
      <c r="A244" s="2">
        <v>3</v>
      </c>
      <c r="B244" s="2" t="s">
        <v>84</v>
      </c>
      <c r="C244" s="2" t="s">
        <v>21</v>
      </c>
      <c r="D244" s="2"/>
      <c r="E244" s="2">
        <v>1500</v>
      </c>
      <c r="F244" s="2">
        <v>1.38E-2</v>
      </c>
      <c r="G244" s="2"/>
      <c r="H244" s="4">
        <f t="shared" si="48"/>
        <v>1</v>
      </c>
      <c r="I244" s="2" t="s">
        <v>370</v>
      </c>
      <c r="J244" s="2" t="s">
        <v>373</v>
      </c>
      <c r="K244" s="2" t="s">
        <v>105</v>
      </c>
      <c r="L244" s="2" t="s">
        <v>76</v>
      </c>
      <c r="M244" s="155"/>
      <c r="N244" s="155"/>
      <c r="O244" s="2">
        <v>8</v>
      </c>
      <c r="P244" s="6"/>
      <c r="Q244" s="132" t="str">
        <f>IFERROR(IF(AO244&gt;1,AO244,60*60*8*O244/P244/E244),"")</f>
        <v/>
      </c>
      <c r="R244" s="33" t="str">
        <f>IFERROR(60*60*8*O244/E244/Q244,"")</f>
        <v/>
      </c>
      <c r="S244" s="132" t="str">
        <f>IFERROR(R244/8,"")</f>
        <v/>
      </c>
      <c r="T244" s="132" t="str">
        <f>IFERROR(IF(R244&gt;2,S244,""),"")</f>
        <v/>
      </c>
      <c r="W244" s="13"/>
      <c r="CH244">
        <v>4</v>
      </c>
      <c r="CI244">
        <v>76</v>
      </c>
    </row>
    <row r="245" spans="1:87" x14ac:dyDescent="0.3">
      <c r="A245" s="170">
        <v>2127</v>
      </c>
      <c r="B245" s="170" t="s">
        <v>0</v>
      </c>
      <c r="C245" s="170" t="s">
        <v>21</v>
      </c>
      <c r="D245" s="170" t="s">
        <v>468</v>
      </c>
      <c r="E245" s="170">
        <v>300</v>
      </c>
      <c r="F245" s="170"/>
      <c r="G245" s="170"/>
      <c r="H245" s="170"/>
      <c r="I245" s="170" t="s">
        <v>73</v>
      </c>
      <c r="J245" s="170" t="s">
        <v>540</v>
      </c>
      <c r="K245" s="170" t="s">
        <v>541</v>
      </c>
      <c r="L245" s="170" t="s">
        <v>6</v>
      </c>
      <c r="M245" s="170"/>
      <c r="N245" s="170"/>
      <c r="O245" s="170">
        <v>6</v>
      </c>
      <c r="P245" s="170">
        <v>75</v>
      </c>
      <c r="Q245" s="170">
        <v>5.8</v>
      </c>
      <c r="R245" s="170">
        <v>99</v>
      </c>
      <c r="S245" s="170">
        <v>12.4</v>
      </c>
      <c r="T245" s="170">
        <v>12.4</v>
      </c>
      <c r="CH245">
        <v>5</v>
      </c>
      <c r="CI245">
        <v>59</v>
      </c>
    </row>
    <row r="246" spans="1:87" ht="15.75" customHeight="1" x14ac:dyDescent="0.3">
      <c r="A246" s="2" t="s">
        <v>565</v>
      </c>
      <c r="B246" s="2" t="s">
        <v>84</v>
      </c>
      <c r="C246" s="2" t="s">
        <v>1</v>
      </c>
      <c r="D246" s="2" t="s">
        <v>566</v>
      </c>
      <c r="E246" s="2">
        <v>720</v>
      </c>
      <c r="F246" s="2">
        <v>2.9600000000000001E-2</v>
      </c>
      <c r="G246" s="2">
        <v>1.8499999999999999E-2</v>
      </c>
      <c r="H246" s="4">
        <f t="shared" ref="H246" si="49">(F246-G246)/F246</f>
        <v>0.37500000000000006</v>
      </c>
      <c r="I246" s="2" t="s">
        <v>370</v>
      </c>
      <c r="J246" s="2" t="s">
        <v>426</v>
      </c>
      <c r="K246" s="2" t="s">
        <v>222</v>
      </c>
      <c r="L246" s="2" t="s">
        <v>76</v>
      </c>
      <c r="M246" s="155"/>
      <c r="N246" s="155"/>
      <c r="O246" s="2">
        <v>6</v>
      </c>
      <c r="P246" s="6"/>
      <c r="Q246" s="131" t="str">
        <f t="shared" ref="Q246" si="50">IFERROR(60*60*8*O246/E246/P246,"")</f>
        <v/>
      </c>
      <c r="R246" s="33" t="str">
        <f t="shared" ref="R246:R309" si="51">IFERROR(60*60*8*O246/E246/Q246,"")</f>
        <v/>
      </c>
      <c r="S246" s="132" t="str">
        <f t="shared" ref="S246" si="52">IFERROR(R246/8,"")</f>
        <v/>
      </c>
      <c r="T246" s="132" t="str">
        <f t="shared" ref="T246" si="53">IFERROR(IF(R246&gt;2,S246,""),"")</f>
        <v/>
      </c>
      <c r="V246" s="131" t="str">
        <f t="shared" ref="V246" si="54">IF(X246&gt;10,X246*O246/E246,"")</f>
        <v/>
      </c>
      <c r="W246" s="17"/>
      <c r="X246" s="7"/>
      <c r="Y246" s="161"/>
      <c r="Z246" s="7"/>
      <c r="AA246" s="117"/>
      <c r="AB246" s="117"/>
      <c r="AC246" s="117"/>
      <c r="CH246">
        <v>6</v>
      </c>
      <c r="CI246">
        <v>61</v>
      </c>
    </row>
    <row r="247" spans="1:87" x14ac:dyDescent="0.3">
      <c r="A247" s="2">
        <v>11</v>
      </c>
      <c r="B247" s="2" t="s">
        <v>84</v>
      </c>
      <c r="C247" s="2" t="s">
        <v>1</v>
      </c>
      <c r="D247" s="2" t="s">
        <v>567</v>
      </c>
      <c r="E247" s="2">
        <v>600</v>
      </c>
      <c r="F247" s="2">
        <v>2.4E-2</v>
      </c>
      <c r="G247" s="2"/>
      <c r="H247" s="4">
        <f t="shared" ref="H247:H310" si="55">(F247-G247)/F247</f>
        <v>1</v>
      </c>
      <c r="I247" s="2" t="s">
        <v>73</v>
      </c>
      <c r="J247" s="2" t="s">
        <v>568</v>
      </c>
      <c r="K247" s="2"/>
      <c r="L247" s="2"/>
      <c r="M247" s="155"/>
      <c r="N247" s="155"/>
      <c r="O247" s="2">
        <v>15</v>
      </c>
      <c r="P247" s="6"/>
      <c r="Q247" s="131" t="str">
        <f t="shared" ref="Q247:Q310" si="56">IFERROR(60*60*8*O247/E247/P247,"")</f>
        <v/>
      </c>
      <c r="R247" s="33" t="str">
        <f t="shared" si="51"/>
        <v/>
      </c>
      <c r="S247" s="132" t="str">
        <f t="shared" ref="S247:S310" si="57">IFERROR(R247/8,"")</f>
        <v/>
      </c>
      <c r="T247" s="132" t="str">
        <f t="shared" ref="T247:T310" si="58">IFERROR(IF(R247&gt;2,S247,""),"")</f>
        <v/>
      </c>
      <c r="V247" s="131" t="str">
        <f t="shared" ref="V247:V310" si="59">IF(X247&gt;10,X247*O247/E247,"")</f>
        <v/>
      </c>
      <c r="W247" s="17"/>
      <c r="X247" s="7"/>
      <c r="Y247" s="161"/>
      <c r="Z247" s="7"/>
      <c r="AA247" s="117"/>
      <c r="AB247" s="117"/>
      <c r="AC247" s="117"/>
      <c r="CH247">
        <v>1</v>
      </c>
      <c r="CI247">
        <v>31</v>
      </c>
    </row>
    <row r="248" spans="1:87" x14ac:dyDescent="0.3">
      <c r="A248" s="2">
        <v>14</v>
      </c>
      <c r="B248" s="2" t="s">
        <v>84</v>
      </c>
      <c r="C248" s="2" t="s">
        <v>1</v>
      </c>
      <c r="D248" s="2" t="s">
        <v>569</v>
      </c>
      <c r="E248" s="2">
        <v>600</v>
      </c>
      <c r="F248" s="2">
        <v>2.64E-2</v>
      </c>
      <c r="G248" s="2"/>
      <c r="H248" s="4">
        <f t="shared" si="55"/>
        <v>1</v>
      </c>
      <c r="I248" s="2" t="s">
        <v>370</v>
      </c>
      <c r="J248" s="2" t="s">
        <v>570</v>
      </c>
      <c r="K248" s="2" t="s">
        <v>105</v>
      </c>
      <c r="L248" s="2" t="s">
        <v>76</v>
      </c>
      <c r="M248" s="155"/>
      <c r="N248" s="155"/>
      <c r="O248" s="2">
        <v>12</v>
      </c>
      <c r="P248" s="6"/>
      <c r="Q248" s="131" t="str">
        <f t="shared" si="56"/>
        <v/>
      </c>
      <c r="R248" s="33" t="str">
        <f t="shared" si="51"/>
        <v/>
      </c>
      <c r="S248" s="132" t="str">
        <f t="shared" si="57"/>
        <v/>
      </c>
      <c r="T248" s="132" t="str">
        <f t="shared" si="58"/>
        <v/>
      </c>
      <c r="V248" s="131" t="str">
        <f t="shared" si="59"/>
        <v/>
      </c>
      <c r="W248" s="17"/>
      <c r="X248" s="7"/>
      <c r="Y248" s="161"/>
      <c r="Z248" s="7"/>
      <c r="AA248" s="117"/>
      <c r="AB248" s="117"/>
      <c r="AC248" s="117"/>
      <c r="CH248">
        <v>3</v>
      </c>
      <c r="CI248">
        <v>34</v>
      </c>
    </row>
    <row r="249" spans="1:87" x14ac:dyDescent="0.3">
      <c r="A249" s="23">
        <v>18</v>
      </c>
      <c r="B249" s="2" t="s">
        <v>0</v>
      </c>
      <c r="C249" s="2" t="s">
        <v>1</v>
      </c>
      <c r="D249" s="2" t="s">
        <v>571</v>
      </c>
      <c r="E249" s="2">
        <v>4900</v>
      </c>
      <c r="F249" s="2">
        <v>2.5000000000000001E-3</v>
      </c>
      <c r="G249" s="2">
        <v>2.2000000000000001E-3</v>
      </c>
      <c r="H249" s="4">
        <f t="shared" si="55"/>
        <v>0.11999999999999997</v>
      </c>
      <c r="I249" s="2" t="s">
        <v>98</v>
      </c>
      <c r="J249" s="2" t="s">
        <v>572</v>
      </c>
      <c r="K249" s="2" t="s">
        <v>5</v>
      </c>
      <c r="L249" s="2" t="s">
        <v>6</v>
      </c>
      <c r="M249" s="155"/>
      <c r="N249" s="155"/>
      <c r="O249" s="2">
        <v>54</v>
      </c>
      <c r="P249" s="6">
        <v>16</v>
      </c>
      <c r="Q249" s="131">
        <f t="shared" si="56"/>
        <v>19.836734693877553</v>
      </c>
      <c r="R249" s="33">
        <f t="shared" si="51"/>
        <v>16</v>
      </c>
      <c r="S249" s="132">
        <f t="shared" si="57"/>
        <v>2</v>
      </c>
      <c r="T249" s="132">
        <f t="shared" si="58"/>
        <v>2</v>
      </c>
      <c r="V249" s="131">
        <f t="shared" si="59"/>
        <v>12.495580909529167</v>
      </c>
      <c r="W249" s="17">
        <v>25.4</v>
      </c>
      <c r="X249" s="8">
        <f>60*60*8/W249</f>
        <v>1133.8582677165355</v>
      </c>
      <c r="Y249" s="161">
        <v>45407</v>
      </c>
      <c r="Z249" s="7" t="s">
        <v>7</v>
      </c>
      <c r="AA249" s="117"/>
      <c r="AB249" s="117"/>
      <c r="AC249" s="117"/>
      <c r="CH249">
        <v>6</v>
      </c>
      <c r="CI249">
        <v>85</v>
      </c>
    </row>
    <row r="250" spans="1:87" x14ac:dyDescent="0.3">
      <c r="A250" s="23">
        <v>19</v>
      </c>
      <c r="B250" s="2" t="s">
        <v>0</v>
      </c>
      <c r="C250" s="2" t="s">
        <v>1</v>
      </c>
      <c r="D250" s="2" t="s">
        <v>573</v>
      </c>
      <c r="E250" s="2">
        <v>7560</v>
      </c>
      <c r="F250" s="2">
        <v>2.5000000000000001E-3</v>
      </c>
      <c r="G250" s="2">
        <v>2.2000000000000001E-3</v>
      </c>
      <c r="H250" s="4">
        <f t="shared" si="55"/>
        <v>0.11999999999999997</v>
      </c>
      <c r="I250" s="2" t="s">
        <v>98</v>
      </c>
      <c r="J250" s="2" t="s">
        <v>393</v>
      </c>
      <c r="K250" s="2" t="s">
        <v>105</v>
      </c>
      <c r="L250" s="2" t="s">
        <v>76</v>
      </c>
      <c r="M250" s="155"/>
      <c r="N250" s="155"/>
      <c r="O250" s="2">
        <v>54</v>
      </c>
      <c r="P250" s="6">
        <v>8</v>
      </c>
      <c r="Q250" s="131">
        <f t="shared" si="56"/>
        <v>25.714285714285715</v>
      </c>
      <c r="R250" s="33">
        <f t="shared" si="51"/>
        <v>8</v>
      </c>
      <c r="S250" s="132">
        <f t="shared" si="57"/>
        <v>1</v>
      </c>
      <c r="T250" s="132">
        <f t="shared" si="58"/>
        <v>1</v>
      </c>
      <c r="V250" s="131">
        <f t="shared" si="59"/>
        <v>8.0672268907563023</v>
      </c>
      <c r="W250" s="17">
        <v>25.5</v>
      </c>
      <c r="X250" s="8">
        <f>60*60*8/W250</f>
        <v>1129.4117647058824</v>
      </c>
      <c r="Y250" s="161">
        <v>45378</v>
      </c>
      <c r="Z250" s="7" t="s">
        <v>7</v>
      </c>
      <c r="AA250" s="117"/>
      <c r="AB250" s="117"/>
      <c r="AC250" s="117"/>
      <c r="CH250">
        <v>3</v>
      </c>
      <c r="CI250">
        <v>63</v>
      </c>
    </row>
    <row r="251" spans="1:87" x14ac:dyDescent="0.3">
      <c r="A251" s="23">
        <v>21</v>
      </c>
      <c r="B251" s="2" t="s">
        <v>0</v>
      </c>
      <c r="C251" s="2" t="s">
        <v>1</v>
      </c>
      <c r="D251" s="2" t="s">
        <v>574</v>
      </c>
      <c r="E251" s="2">
        <v>4900</v>
      </c>
      <c r="F251" s="2">
        <v>2.5000000000000001E-3</v>
      </c>
      <c r="G251" s="2">
        <v>2.2000000000000001E-3</v>
      </c>
      <c r="H251" s="4">
        <f t="shared" si="55"/>
        <v>0.11999999999999997</v>
      </c>
      <c r="I251" s="2" t="s">
        <v>98</v>
      </c>
      <c r="J251" s="2" t="s">
        <v>575</v>
      </c>
      <c r="K251" s="2" t="s">
        <v>5</v>
      </c>
      <c r="L251" s="2" t="s">
        <v>6</v>
      </c>
      <c r="M251" s="155"/>
      <c r="N251" s="155"/>
      <c r="O251" s="2">
        <v>54</v>
      </c>
      <c r="P251" s="6">
        <v>16</v>
      </c>
      <c r="Q251" s="131">
        <f t="shared" si="56"/>
        <v>19.836734693877553</v>
      </c>
      <c r="R251" s="33">
        <f t="shared" si="51"/>
        <v>16</v>
      </c>
      <c r="S251" s="132">
        <f t="shared" si="57"/>
        <v>2</v>
      </c>
      <c r="T251" s="132">
        <f t="shared" si="58"/>
        <v>2</v>
      </c>
      <c r="V251" s="131">
        <f t="shared" si="59"/>
        <v>12.746496188836982</v>
      </c>
      <c r="W251" s="17">
        <v>24.9</v>
      </c>
      <c r="X251" s="8">
        <f>60*60*8/W251</f>
        <v>1156.6265060240964</v>
      </c>
      <c r="Y251" s="161">
        <v>45517</v>
      </c>
      <c r="Z251" s="7" t="s">
        <v>7</v>
      </c>
      <c r="AA251" s="117">
        <v>25.6</v>
      </c>
      <c r="AB251" s="118">
        <v>45485</v>
      </c>
      <c r="AC251" s="119">
        <f>W251/AA251-1</f>
        <v>-2.7343750000000111E-2</v>
      </c>
      <c r="AD251" s="24">
        <v>45517</v>
      </c>
      <c r="AE251">
        <v>3</v>
      </c>
      <c r="AF251">
        <v>3.1</v>
      </c>
      <c r="AG251">
        <v>2</v>
      </c>
      <c r="AL251">
        <v>6</v>
      </c>
      <c r="AM251">
        <v>5.5</v>
      </c>
      <c r="AN251">
        <v>8</v>
      </c>
      <c r="AS251">
        <v>24.9</v>
      </c>
      <c r="AT251">
        <v>7</v>
      </c>
      <c r="AU251">
        <v>17.5</v>
      </c>
      <c r="AV251">
        <v>107</v>
      </c>
      <c r="AW251">
        <v>118</v>
      </c>
      <c r="AX251">
        <v>20</v>
      </c>
      <c r="AY251">
        <v>51</v>
      </c>
      <c r="AZ251">
        <v>95</v>
      </c>
      <c r="BA251">
        <v>116</v>
      </c>
      <c r="BB251">
        <v>420</v>
      </c>
      <c r="CH251">
        <v>2</v>
      </c>
      <c r="CI251">
        <v>44</v>
      </c>
    </row>
    <row r="252" spans="1:87" x14ac:dyDescent="0.3">
      <c r="A252" s="2">
        <v>27</v>
      </c>
      <c r="B252" s="2" t="s">
        <v>84</v>
      </c>
      <c r="C252" s="2" t="s">
        <v>1</v>
      </c>
      <c r="D252" s="2" t="s">
        <v>576</v>
      </c>
      <c r="E252" s="2">
        <v>1300</v>
      </c>
      <c r="F252" s="2">
        <v>1.2999999999999999E-2</v>
      </c>
      <c r="G252" s="2"/>
      <c r="H252" s="4">
        <f t="shared" si="55"/>
        <v>1</v>
      </c>
      <c r="I252" s="2" t="s">
        <v>98</v>
      </c>
      <c r="J252" s="2" t="s">
        <v>418</v>
      </c>
      <c r="K252" s="2" t="s">
        <v>222</v>
      </c>
      <c r="L252" s="2" t="s">
        <v>76</v>
      </c>
      <c r="M252" s="155"/>
      <c r="N252" s="155"/>
      <c r="O252" s="2">
        <v>16</v>
      </c>
      <c r="P252" s="6"/>
      <c r="Q252" s="131" t="str">
        <f t="shared" si="56"/>
        <v/>
      </c>
      <c r="R252" s="33" t="str">
        <f t="shared" si="51"/>
        <v/>
      </c>
      <c r="S252" s="132" t="str">
        <f t="shared" si="57"/>
        <v/>
      </c>
      <c r="T252" s="132" t="str">
        <f t="shared" si="58"/>
        <v/>
      </c>
      <c r="V252" s="131" t="str">
        <f t="shared" si="59"/>
        <v/>
      </c>
      <c r="W252" s="17"/>
      <c r="X252" s="7"/>
      <c r="Y252" s="161"/>
      <c r="Z252" s="7"/>
      <c r="AA252" s="117"/>
      <c r="AB252" s="117"/>
      <c r="AC252" s="117"/>
      <c r="CH252">
        <v>5</v>
      </c>
      <c r="CI252">
        <v>77</v>
      </c>
    </row>
    <row r="253" spans="1:87" x14ac:dyDescent="0.3">
      <c r="A253" s="2">
        <v>28</v>
      </c>
      <c r="B253" s="2" t="s">
        <v>84</v>
      </c>
      <c r="C253" s="2" t="s">
        <v>1</v>
      </c>
      <c r="D253" s="2" t="s">
        <v>577</v>
      </c>
      <c r="E253" s="2">
        <v>2800</v>
      </c>
      <c r="F253" s="2">
        <v>7.7999999999999996E-3</v>
      </c>
      <c r="G253" s="2"/>
      <c r="H253" s="4">
        <f t="shared" si="55"/>
        <v>1</v>
      </c>
      <c r="I253" s="2" t="s">
        <v>98</v>
      </c>
      <c r="J253" s="2" t="s">
        <v>418</v>
      </c>
      <c r="K253" s="2" t="s">
        <v>222</v>
      </c>
      <c r="L253" s="2" t="s">
        <v>76</v>
      </c>
      <c r="M253" s="155"/>
      <c r="N253" s="155"/>
      <c r="O253" s="2">
        <v>28</v>
      </c>
      <c r="P253" s="6"/>
      <c r="Q253" s="131" t="str">
        <f t="shared" si="56"/>
        <v/>
      </c>
      <c r="R253" s="33" t="str">
        <f t="shared" si="51"/>
        <v/>
      </c>
      <c r="S253" s="132" t="str">
        <f t="shared" si="57"/>
        <v/>
      </c>
      <c r="T253" s="132" t="str">
        <f t="shared" si="58"/>
        <v/>
      </c>
      <c r="V253" s="131" t="str">
        <f t="shared" si="59"/>
        <v/>
      </c>
      <c r="W253" s="17"/>
      <c r="X253" s="7"/>
      <c r="Y253" s="161"/>
      <c r="Z253" s="7"/>
      <c r="AA253" s="117"/>
      <c r="AB253" s="117"/>
      <c r="AC253" s="117"/>
      <c r="CH253">
        <v>4</v>
      </c>
      <c r="CI253">
        <v>66</v>
      </c>
    </row>
    <row r="254" spans="1:87" x14ac:dyDescent="0.3">
      <c r="A254" s="2">
        <v>30</v>
      </c>
      <c r="B254" s="2" t="s">
        <v>0</v>
      </c>
      <c r="C254" s="2" t="s">
        <v>1</v>
      </c>
      <c r="D254" s="2" t="s">
        <v>578</v>
      </c>
      <c r="E254" s="2">
        <v>300</v>
      </c>
      <c r="F254" s="2">
        <v>4.2599999999999999E-2</v>
      </c>
      <c r="G254" s="2">
        <v>2.7E-2</v>
      </c>
      <c r="H254" s="4">
        <f t="shared" si="55"/>
        <v>0.36619718309859156</v>
      </c>
      <c r="I254" s="2" t="s">
        <v>82</v>
      </c>
      <c r="J254" s="2" t="s">
        <v>579</v>
      </c>
      <c r="K254" s="2" t="s">
        <v>105</v>
      </c>
      <c r="L254" s="2" t="s">
        <v>76</v>
      </c>
      <c r="M254" s="155"/>
      <c r="N254" s="155"/>
      <c r="O254" s="2">
        <v>9</v>
      </c>
      <c r="P254" s="6">
        <v>18</v>
      </c>
      <c r="Q254" s="131">
        <f t="shared" si="56"/>
        <v>48</v>
      </c>
      <c r="R254" s="33">
        <f t="shared" si="51"/>
        <v>18</v>
      </c>
      <c r="S254" s="132">
        <f t="shared" si="57"/>
        <v>2.25</v>
      </c>
      <c r="T254" s="132">
        <f t="shared" si="58"/>
        <v>2.25</v>
      </c>
      <c r="V254" s="131" t="str">
        <f t="shared" si="59"/>
        <v/>
      </c>
      <c r="W254" s="17"/>
      <c r="X254" s="7"/>
      <c r="Y254" s="161"/>
      <c r="Z254" s="7"/>
      <c r="AA254" s="117"/>
      <c r="AB254" s="117"/>
      <c r="AC254" s="117"/>
      <c r="CH254">
        <v>2</v>
      </c>
      <c r="CI254">
        <v>42</v>
      </c>
    </row>
    <row r="255" spans="1:87" x14ac:dyDescent="0.3">
      <c r="A255" s="2">
        <v>54</v>
      </c>
      <c r="B255" s="2" t="s">
        <v>0</v>
      </c>
      <c r="C255" s="2" t="s">
        <v>1</v>
      </c>
      <c r="D255" s="2" t="s">
        <v>580</v>
      </c>
      <c r="E255" s="2">
        <v>100</v>
      </c>
      <c r="F255" s="2">
        <v>1.8200000000000001E-2</v>
      </c>
      <c r="G255" s="2">
        <v>1.24E-2</v>
      </c>
      <c r="H255" s="4">
        <f t="shared" si="55"/>
        <v>0.31868131868131871</v>
      </c>
      <c r="I255" s="2" t="s">
        <v>82</v>
      </c>
      <c r="J255" s="2" t="s">
        <v>581</v>
      </c>
      <c r="K255" s="2" t="s">
        <v>357</v>
      </c>
      <c r="L255" s="2" t="s">
        <v>6</v>
      </c>
      <c r="M255" s="155"/>
      <c r="N255" s="155"/>
      <c r="O255" s="2">
        <v>21</v>
      </c>
      <c r="P255" s="6">
        <v>110</v>
      </c>
      <c r="Q255" s="131">
        <f t="shared" si="56"/>
        <v>54.981818181818184</v>
      </c>
      <c r="R255" s="33">
        <f t="shared" si="51"/>
        <v>110</v>
      </c>
      <c r="S255" s="132">
        <f t="shared" si="57"/>
        <v>13.75</v>
      </c>
      <c r="T255" s="132">
        <f t="shared" si="58"/>
        <v>13.75</v>
      </c>
      <c r="V255" s="131" t="str">
        <f t="shared" si="59"/>
        <v/>
      </c>
      <c r="W255" s="17"/>
      <c r="X255" s="7"/>
      <c r="Y255" s="161"/>
      <c r="Z255" s="7"/>
      <c r="AA255" s="117"/>
      <c r="AB255" s="117"/>
      <c r="AC255" s="117"/>
      <c r="CH255">
        <v>2</v>
      </c>
      <c r="CI255">
        <v>36</v>
      </c>
    </row>
    <row r="256" spans="1:87" x14ac:dyDescent="0.3">
      <c r="A256" s="2">
        <v>55</v>
      </c>
      <c r="B256" s="2" t="s">
        <v>0</v>
      </c>
      <c r="C256" s="2" t="s">
        <v>1</v>
      </c>
      <c r="D256" s="2" t="s">
        <v>582</v>
      </c>
      <c r="E256" s="2">
        <v>300</v>
      </c>
      <c r="F256" s="2">
        <v>9.3399999999999997E-2</v>
      </c>
      <c r="G256" s="2">
        <v>7.0999999999999994E-2</v>
      </c>
      <c r="H256" s="4">
        <f t="shared" si="55"/>
        <v>0.23982869379014993</v>
      </c>
      <c r="I256" s="2" t="s">
        <v>82</v>
      </c>
      <c r="J256" s="2" t="s">
        <v>583</v>
      </c>
      <c r="K256" s="2"/>
      <c r="L256" s="2"/>
      <c r="M256" s="155"/>
      <c r="N256" s="155"/>
      <c r="O256" s="2">
        <v>3</v>
      </c>
      <c r="P256" s="6">
        <v>20</v>
      </c>
      <c r="Q256" s="131">
        <f t="shared" si="56"/>
        <v>14.4</v>
      </c>
      <c r="R256" s="33">
        <f t="shared" si="51"/>
        <v>20</v>
      </c>
      <c r="S256" s="132">
        <f t="shared" si="57"/>
        <v>2.5</v>
      </c>
      <c r="T256" s="132">
        <f t="shared" si="58"/>
        <v>2.5</v>
      </c>
      <c r="V256" s="131" t="str">
        <f t="shared" si="59"/>
        <v/>
      </c>
      <c r="W256" s="17"/>
      <c r="X256" s="7"/>
      <c r="Y256" s="161"/>
      <c r="Z256" s="7"/>
      <c r="AA256" s="117"/>
      <c r="AB256" s="117"/>
      <c r="AC256" s="117"/>
      <c r="CH256">
        <v>3</v>
      </c>
      <c r="CI256">
        <v>53</v>
      </c>
    </row>
    <row r="257" spans="1:87" x14ac:dyDescent="0.3">
      <c r="A257" s="2">
        <v>56</v>
      </c>
      <c r="B257" s="2" t="s">
        <v>0</v>
      </c>
      <c r="C257" s="2" t="s">
        <v>1</v>
      </c>
      <c r="D257" s="2" t="s">
        <v>584</v>
      </c>
      <c r="E257" s="2">
        <v>200</v>
      </c>
      <c r="F257" s="2">
        <v>4.9099999999999998E-2</v>
      </c>
      <c r="G257" s="2">
        <v>4.0599999999999997E-2</v>
      </c>
      <c r="H257" s="4">
        <f t="shared" si="55"/>
        <v>0.17311608961303465</v>
      </c>
      <c r="I257" s="2" t="s">
        <v>82</v>
      </c>
      <c r="J257" s="2" t="s">
        <v>579</v>
      </c>
      <c r="K257" s="2"/>
      <c r="L257" s="2"/>
      <c r="M257" s="155"/>
      <c r="N257" s="155"/>
      <c r="O257" s="2">
        <v>8</v>
      </c>
      <c r="P257" s="6">
        <v>30</v>
      </c>
      <c r="Q257" s="131">
        <f t="shared" si="56"/>
        <v>38.4</v>
      </c>
      <c r="R257" s="33">
        <f t="shared" si="51"/>
        <v>30</v>
      </c>
      <c r="S257" s="132">
        <f t="shared" si="57"/>
        <v>3.75</v>
      </c>
      <c r="T257" s="132">
        <f t="shared" si="58"/>
        <v>3.75</v>
      </c>
      <c r="V257" s="131" t="str">
        <f t="shared" si="59"/>
        <v/>
      </c>
      <c r="W257" s="17"/>
      <c r="X257" s="7"/>
      <c r="Y257" s="161"/>
      <c r="Z257" s="7"/>
      <c r="AA257" s="117"/>
      <c r="AB257" s="117"/>
      <c r="AC257" s="117"/>
      <c r="CH257">
        <v>3</v>
      </c>
      <c r="CI257">
        <v>57</v>
      </c>
    </row>
    <row r="258" spans="1:87" x14ac:dyDescent="0.3">
      <c r="A258" s="2">
        <v>57</v>
      </c>
      <c r="B258" s="2" t="s">
        <v>0</v>
      </c>
      <c r="C258" s="2" t="s">
        <v>1</v>
      </c>
      <c r="D258" s="2" t="s">
        <v>585</v>
      </c>
      <c r="E258" s="2">
        <v>100</v>
      </c>
      <c r="F258" s="2">
        <v>3.0599999999999999E-2</v>
      </c>
      <c r="G258" s="2">
        <v>1.9800000000000002E-2</v>
      </c>
      <c r="H258" s="4">
        <f t="shared" si="55"/>
        <v>0.35294117647058815</v>
      </c>
      <c r="I258" s="2" t="s">
        <v>82</v>
      </c>
      <c r="J258" s="2" t="s">
        <v>581</v>
      </c>
      <c r="K258" s="2"/>
      <c r="L258" s="2"/>
      <c r="M258" s="155"/>
      <c r="N258" s="155"/>
      <c r="O258" s="2">
        <v>4</v>
      </c>
      <c r="P258" s="6">
        <v>92.5</v>
      </c>
      <c r="Q258" s="131">
        <f t="shared" si="56"/>
        <v>12.454054054054055</v>
      </c>
      <c r="R258" s="33">
        <f t="shared" si="51"/>
        <v>92.5</v>
      </c>
      <c r="S258" s="132">
        <f t="shared" si="57"/>
        <v>11.5625</v>
      </c>
      <c r="T258" s="132">
        <f t="shared" si="58"/>
        <v>11.5625</v>
      </c>
      <c r="V258" s="131" t="str">
        <f t="shared" si="59"/>
        <v/>
      </c>
      <c r="W258" s="17"/>
      <c r="X258" s="7"/>
      <c r="Y258" s="161"/>
      <c r="Z258" s="7"/>
      <c r="AA258" s="117"/>
      <c r="AB258" s="117"/>
      <c r="AC258" s="117"/>
      <c r="CH258">
        <v>3</v>
      </c>
      <c r="CI258">
        <v>85</v>
      </c>
    </row>
    <row r="259" spans="1:87" x14ac:dyDescent="0.3">
      <c r="A259" s="2">
        <v>58</v>
      </c>
      <c r="B259" s="2" t="s">
        <v>0</v>
      </c>
      <c r="C259" s="2" t="s">
        <v>1</v>
      </c>
      <c r="D259" s="2" t="s">
        <v>586</v>
      </c>
      <c r="E259" s="2">
        <v>100</v>
      </c>
      <c r="F259" s="2">
        <v>1.24E-2</v>
      </c>
      <c r="G259" s="2">
        <v>7.4000000000000003E-3</v>
      </c>
      <c r="H259" s="4">
        <f t="shared" si="55"/>
        <v>0.40322580645161288</v>
      </c>
      <c r="I259" s="2" t="s">
        <v>82</v>
      </c>
      <c r="J259" s="2" t="s">
        <v>587</v>
      </c>
      <c r="K259" s="2"/>
      <c r="L259" s="2"/>
      <c r="M259" s="155"/>
      <c r="N259" s="155"/>
      <c r="O259" s="2">
        <v>21</v>
      </c>
      <c r="P259" s="6">
        <v>75</v>
      </c>
      <c r="Q259" s="131">
        <f t="shared" si="56"/>
        <v>80.64</v>
      </c>
      <c r="R259" s="33">
        <f t="shared" si="51"/>
        <v>75</v>
      </c>
      <c r="S259" s="132">
        <f t="shared" si="57"/>
        <v>9.375</v>
      </c>
      <c r="T259" s="132">
        <f t="shared" si="58"/>
        <v>9.375</v>
      </c>
      <c r="V259" s="131" t="str">
        <f t="shared" si="59"/>
        <v/>
      </c>
      <c r="W259" s="17"/>
      <c r="X259" s="7"/>
      <c r="Y259" s="161"/>
      <c r="Z259" s="7"/>
      <c r="AA259" s="117"/>
      <c r="AB259" s="117"/>
      <c r="AC259" s="117"/>
      <c r="CH259">
        <v>6</v>
      </c>
      <c r="CI259">
        <v>85</v>
      </c>
    </row>
    <row r="260" spans="1:87" x14ac:dyDescent="0.3">
      <c r="A260" s="2">
        <v>59</v>
      </c>
      <c r="B260" s="2" t="s">
        <v>0</v>
      </c>
      <c r="C260" s="2" t="s">
        <v>1</v>
      </c>
      <c r="D260" s="2" t="s">
        <v>588</v>
      </c>
      <c r="E260" s="2">
        <v>400</v>
      </c>
      <c r="F260" s="2">
        <v>6.2799999999999995E-2</v>
      </c>
      <c r="G260" s="2">
        <v>4.8000000000000001E-2</v>
      </c>
      <c r="H260" s="4">
        <f t="shared" si="55"/>
        <v>0.23566878980891712</v>
      </c>
      <c r="I260" s="2" t="s">
        <v>82</v>
      </c>
      <c r="J260" s="2" t="s">
        <v>589</v>
      </c>
      <c r="K260" s="2"/>
      <c r="L260" s="2"/>
      <c r="M260" s="155"/>
      <c r="N260" s="155"/>
      <c r="O260" s="2">
        <v>4</v>
      </c>
      <c r="P260" s="6">
        <v>15</v>
      </c>
      <c r="Q260" s="131">
        <f t="shared" si="56"/>
        <v>19.2</v>
      </c>
      <c r="R260" s="33">
        <f t="shared" si="51"/>
        <v>15</v>
      </c>
      <c r="S260" s="132">
        <f t="shared" si="57"/>
        <v>1.875</v>
      </c>
      <c r="T260" s="132">
        <f t="shared" si="58"/>
        <v>1.875</v>
      </c>
      <c r="V260" s="131" t="str">
        <f t="shared" si="59"/>
        <v/>
      </c>
      <c r="W260" s="17"/>
      <c r="X260" s="7"/>
      <c r="Y260" s="161"/>
      <c r="Z260" s="7"/>
      <c r="AA260" s="117"/>
      <c r="AB260" s="117"/>
      <c r="AC260" s="117"/>
      <c r="CH260">
        <v>1</v>
      </c>
      <c r="CI260">
        <v>38</v>
      </c>
    </row>
    <row r="261" spans="1:87" x14ac:dyDescent="0.3">
      <c r="A261" s="2">
        <v>60</v>
      </c>
      <c r="B261" s="2" t="s">
        <v>0</v>
      </c>
      <c r="C261" s="2" t="s">
        <v>1</v>
      </c>
      <c r="D261" s="2" t="s">
        <v>590</v>
      </c>
      <c r="E261" s="2">
        <v>600</v>
      </c>
      <c r="F261" s="2">
        <v>1.8100000000000002E-2</v>
      </c>
      <c r="G261" s="2">
        <v>1.47E-2</v>
      </c>
      <c r="H261" s="4">
        <f t="shared" si="55"/>
        <v>0.18784530386740342</v>
      </c>
      <c r="I261" s="2" t="s">
        <v>82</v>
      </c>
      <c r="J261" s="2" t="s">
        <v>579</v>
      </c>
      <c r="K261" s="2"/>
      <c r="L261" s="2"/>
      <c r="M261" s="155"/>
      <c r="N261" s="155"/>
      <c r="O261" s="2">
        <v>21</v>
      </c>
      <c r="P261" s="6">
        <v>20</v>
      </c>
      <c r="Q261" s="131">
        <f t="shared" si="56"/>
        <v>50.4</v>
      </c>
      <c r="R261" s="33">
        <f t="shared" si="51"/>
        <v>20</v>
      </c>
      <c r="S261" s="132">
        <f t="shared" si="57"/>
        <v>2.5</v>
      </c>
      <c r="T261" s="132">
        <f t="shared" si="58"/>
        <v>2.5</v>
      </c>
      <c r="V261" s="131" t="str">
        <f t="shared" si="59"/>
        <v/>
      </c>
      <c r="W261" s="17"/>
      <c r="X261" s="7"/>
      <c r="Y261" s="161"/>
      <c r="Z261" s="7"/>
      <c r="AA261" s="117"/>
      <c r="AB261" s="117"/>
      <c r="AC261" s="117"/>
      <c r="CH261">
        <v>6</v>
      </c>
      <c r="CI261">
        <v>81</v>
      </c>
    </row>
    <row r="262" spans="1:87" x14ac:dyDescent="0.3">
      <c r="A262" s="2">
        <v>63</v>
      </c>
      <c r="B262" s="2" t="s">
        <v>0</v>
      </c>
      <c r="C262" s="2" t="s">
        <v>1</v>
      </c>
      <c r="D262" s="2" t="s">
        <v>591</v>
      </c>
      <c r="E262" s="2">
        <v>300</v>
      </c>
      <c r="F262" s="2">
        <v>3.3000000000000002E-2</v>
      </c>
      <c r="G262" s="2">
        <v>2.41E-2</v>
      </c>
      <c r="H262" s="4">
        <f t="shared" si="55"/>
        <v>0.26969696969696971</v>
      </c>
      <c r="I262" s="2" t="s">
        <v>82</v>
      </c>
      <c r="J262" s="2" t="s">
        <v>581</v>
      </c>
      <c r="K262" s="2"/>
      <c r="L262" s="2"/>
      <c r="M262" s="155"/>
      <c r="N262" s="155"/>
      <c r="O262" s="2">
        <v>10</v>
      </c>
      <c r="P262" s="6">
        <v>30</v>
      </c>
      <c r="Q262" s="131">
        <f t="shared" si="56"/>
        <v>32</v>
      </c>
      <c r="R262" s="33">
        <f t="shared" si="51"/>
        <v>30</v>
      </c>
      <c r="S262" s="132">
        <f t="shared" si="57"/>
        <v>3.75</v>
      </c>
      <c r="T262" s="132">
        <f t="shared" si="58"/>
        <v>3.75</v>
      </c>
      <c r="V262" s="131" t="str">
        <f t="shared" si="59"/>
        <v/>
      </c>
      <c r="W262" s="17"/>
      <c r="X262" s="7"/>
      <c r="Y262" s="161"/>
      <c r="Z262" s="7"/>
      <c r="AA262" s="117"/>
      <c r="AB262" s="117"/>
      <c r="AC262" s="117"/>
      <c r="CH262">
        <v>4</v>
      </c>
      <c r="CI262">
        <v>63</v>
      </c>
    </row>
    <row r="263" spans="1:87" x14ac:dyDescent="0.3">
      <c r="A263" s="2">
        <v>64</v>
      </c>
      <c r="B263" s="2" t="s">
        <v>0</v>
      </c>
      <c r="C263" s="2" t="s">
        <v>1</v>
      </c>
      <c r="D263" s="2" t="s">
        <v>592</v>
      </c>
      <c r="E263" s="2">
        <v>300</v>
      </c>
      <c r="F263" s="2">
        <v>3.3300000000000003E-2</v>
      </c>
      <c r="G263" s="2">
        <v>2.5000000000000001E-2</v>
      </c>
      <c r="H263" s="4">
        <f t="shared" si="55"/>
        <v>0.24924924924924927</v>
      </c>
      <c r="I263" s="2" t="s">
        <v>82</v>
      </c>
      <c r="J263" s="2" t="s">
        <v>581</v>
      </c>
      <c r="K263" s="2"/>
      <c r="L263" s="2"/>
      <c r="M263" s="155"/>
      <c r="N263" s="155"/>
      <c r="O263" s="2">
        <v>10</v>
      </c>
      <c r="P263" s="6">
        <v>15</v>
      </c>
      <c r="Q263" s="131">
        <f t="shared" si="56"/>
        <v>64</v>
      </c>
      <c r="R263" s="33">
        <f t="shared" si="51"/>
        <v>15</v>
      </c>
      <c r="S263" s="132">
        <f t="shared" si="57"/>
        <v>1.875</v>
      </c>
      <c r="T263" s="132">
        <f t="shared" si="58"/>
        <v>1.875</v>
      </c>
      <c r="V263" s="131" t="str">
        <f t="shared" si="59"/>
        <v/>
      </c>
      <c r="W263" s="17"/>
      <c r="X263" s="7"/>
      <c r="Y263" s="161"/>
      <c r="Z263" s="7"/>
      <c r="AA263" s="117"/>
      <c r="AB263" s="117"/>
      <c r="AC263" s="117"/>
      <c r="CH263">
        <v>5</v>
      </c>
      <c r="CI263">
        <v>41</v>
      </c>
    </row>
    <row r="264" spans="1:87" x14ac:dyDescent="0.3">
      <c r="A264" s="2">
        <v>65</v>
      </c>
      <c r="B264" s="2" t="s">
        <v>0</v>
      </c>
      <c r="C264" s="2" t="s">
        <v>1</v>
      </c>
      <c r="D264" s="2" t="s">
        <v>593</v>
      </c>
      <c r="E264" s="2">
        <v>1850</v>
      </c>
      <c r="F264" s="2">
        <v>7.0000000000000001E-3</v>
      </c>
      <c r="G264" s="2"/>
      <c r="H264" s="4">
        <f t="shared" si="55"/>
        <v>1</v>
      </c>
      <c r="I264" s="2" t="s">
        <v>98</v>
      </c>
      <c r="J264" s="2" t="s">
        <v>594</v>
      </c>
      <c r="K264" s="2" t="s">
        <v>90</v>
      </c>
      <c r="L264" s="2" t="s">
        <v>6</v>
      </c>
      <c r="M264" s="155"/>
      <c r="N264" s="155"/>
      <c r="O264" s="2">
        <v>28</v>
      </c>
      <c r="P264" s="6">
        <v>6</v>
      </c>
      <c r="Q264" s="131">
        <f t="shared" si="56"/>
        <v>72.648648648648646</v>
      </c>
      <c r="R264" s="33">
        <f t="shared" si="51"/>
        <v>6</v>
      </c>
      <c r="S264" s="132">
        <f t="shared" si="57"/>
        <v>0.75</v>
      </c>
      <c r="T264" s="132">
        <f t="shared" si="58"/>
        <v>0.75</v>
      </c>
      <c r="V264" s="131" t="str">
        <f t="shared" si="59"/>
        <v/>
      </c>
      <c r="W264" s="17"/>
      <c r="X264" s="7"/>
      <c r="Y264" s="161"/>
      <c r="Z264" s="7"/>
      <c r="AA264" s="117"/>
      <c r="AB264" s="117"/>
      <c r="AC264" s="117"/>
      <c r="CH264">
        <v>6</v>
      </c>
      <c r="CI264">
        <v>47</v>
      </c>
    </row>
    <row r="265" spans="1:87" x14ac:dyDescent="0.3">
      <c r="A265" s="2">
        <v>66</v>
      </c>
      <c r="B265" s="2" t="s">
        <v>0</v>
      </c>
      <c r="C265" s="2" t="s">
        <v>1</v>
      </c>
      <c r="D265" s="2" t="s">
        <v>595</v>
      </c>
      <c r="E265" s="2">
        <v>1850</v>
      </c>
      <c r="F265" s="2">
        <v>7.0000000000000001E-3</v>
      </c>
      <c r="G265" s="2"/>
      <c r="H265" s="4">
        <f t="shared" si="55"/>
        <v>1</v>
      </c>
      <c r="I265" s="2" t="s">
        <v>98</v>
      </c>
      <c r="J265" s="2" t="s">
        <v>596</v>
      </c>
      <c r="K265" s="2" t="s">
        <v>90</v>
      </c>
      <c r="L265" s="2" t="s">
        <v>6</v>
      </c>
      <c r="M265" s="155"/>
      <c r="N265" s="155"/>
      <c r="O265" s="2">
        <v>28</v>
      </c>
      <c r="P265" s="6">
        <v>6</v>
      </c>
      <c r="Q265" s="131">
        <f t="shared" si="56"/>
        <v>72.648648648648646</v>
      </c>
      <c r="R265" s="33">
        <f t="shared" si="51"/>
        <v>6</v>
      </c>
      <c r="S265" s="132">
        <f t="shared" si="57"/>
        <v>0.75</v>
      </c>
      <c r="T265" s="132">
        <f t="shared" si="58"/>
        <v>0.75</v>
      </c>
      <c r="V265" s="131" t="str">
        <f t="shared" si="59"/>
        <v/>
      </c>
      <c r="W265" s="17"/>
      <c r="X265" s="7"/>
      <c r="Y265" s="161"/>
      <c r="Z265" s="7"/>
      <c r="AA265" s="117"/>
      <c r="AB265" s="117"/>
      <c r="AC265" s="117"/>
      <c r="CH265">
        <v>5</v>
      </c>
      <c r="CI265">
        <v>47</v>
      </c>
    </row>
    <row r="266" spans="1:87" x14ac:dyDescent="0.3">
      <c r="A266" s="2">
        <v>67</v>
      </c>
      <c r="B266" s="2" t="s">
        <v>0</v>
      </c>
      <c r="C266" s="2" t="s">
        <v>1</v>
      </c>
      <c r="D266" s="2" t="s">
        <v>597</v>
      </c>
      <c r="E266" s="2">
        <v>1850</v>
      </c>
      <c r="F266" s="2">
        <v>4.1999999999999997E-3</v>
      </c>
      <c r="G266" s="2"/>
      <c r="H266" s="4">
        <f t="shared" si="55"/>
        <v>1</v>
      </c>
      <c r="I266" s="2" t="s">
        <v>82</v>
      </c>
      <c r="J266" s="2" t="s">
        <v>598</v>
      </c>
      <c r="K266" s="2" t="s">
        <v>90</v>
      </c>
      <c r="L266" s="2" t="s">
        <v>6</v>
      </c>
      <c r="M266" s="155"/>
      <c r="N266" s="155"/>
      <c r="O266" s="2">
        <v>28</v>
      </c>
      <c r="P266" s="6">
        <v>11</v>
      </c>
      <c r="Q266" s="131">
        <f t="shared" si="56"/>
        <v>39.626535626535627</v>
      </c>
      <c r="R266" s="33">
        <f t="shared" si="51"/>
        <v>11</v>
      </c>
      <c r="S266" s="132">
        <f t="shared" si="57"/>
        <v>1.375</v>
      </c>
      <c r="T266" s="132">
        <f t="shared" si="58"/>
        <v>1.375</v>
      </c>
      <c r="V266" s="131" t="str">
        <f t="shared" si="59"/>
        <v/>
      </c>
      <c r="W266" s="17"/>
      <c r="X266" s="7"/>
      <c r="Y266" s="161"/>
      <c r="Z266" s="7"/>
      <c r="AA266" s="117"/>
      <c r="AB266" s="117"/>
      <c r="AC266" s="117"/>
      <c r="CH266">
        <v>1</v>
      </c>
      <c r="CI266">
        <v>76</v>
      </c>
    </row>
    <row r="267" spans="1:87" x14ac:dyDescent="0.3">
      <c r="A267" s="2">
        <v>68</v>
      </c>
      <c r="B267" s="23" t="s">
        <v>0</v>
      </c>
      <c r="C267" s="2" t="s">
        <v>1</v>
      </c>
      <c r="D267" s="2" t="s">
        <v>599</v>
      </c>
      <c r="E267" s="2">
        <v>1700</v>
      </c>
      <c r="F267" s="2">
        <v>1.7100000000000001E-2</v>
      </c>
      <c r="G267" s="2">
        <v>0.01</v>
      </c>
      <c r="H267" s="4">
        <f t="shared" si="55"/>
        <v>0.41520467836257313</v>
      </c>
      <c r="I267" s="2" t="s">
        <v>82</v>
      </c>
      <c r="J267" s="2" t="s">
        <v>600</v>
      </c>
      <c r="K267" s="2" t="s">
        <v>95</v>
      </c>
      <c r="L267" s="2" t="s">
        <v>96</v>
      </c>
      <c r="M267" s="155" t="s">
        <v>601</v>
      </c>
      <c r="N267" s="155"/>
      <c r="O267" s="2">
        <v>7</v>
      </c>
      <c r="P267" s="6">
        <v>14</v>
      </c>
      <c r="Q267" s="131">
        <f t="shared" si="56"/>
        <v>8.4705882352941178</v>
      </c>
      <c r="R267" s="33">
        <f t="shared" si="51"/>
        <v>14</v>
      </c>
      <c r="S267" s="132">
        <f t="shared" si="57"/>
        <v>1.75</v>
      </c>
      <c r="T267" s="132">
        <f t="shared" si="58"/>
        <v>1.75</v>
      </c>
      <c r="V267" s="131">
        <f t="shared" si="59"/>
        <v>4.033613445378152</v>
      </c>
      <c r="W267" s="17">
        <v>29.4</v>
      </c>
      <c r="X267" s="8">
        <f>60*60*8/W267</f>
        <v>979.59183673469397</v>
      </c>
      <c r="Y267" s="161">
        <v>45420</v>
      </c>
      <c r="Z267" s="7" t="s">
        <v>7</v>
      </c>
      <c r="AA267" s="117"/>
      <c r="AB267" s="117"/>
      <c r="AC267" s="117"/>
      <c r="CH267">
        <v>1</v>
      </c>
      <c r="CI267">
        <v>73</v>
      </c>
    </row>
    <row r="268" spans="1:87" x14ac:dyDescent="0.3">
      <c r="A268" s="2">
        <v>71</v>
      </c>
      <c r="B268" s="2" t="s">
        <v>0</v>
      </c>
      <c r="C268" s="2" t="s">
        <v>1</v>
      </c>
      <c r="D268" s="2" t="s">
        <v>602</v>
      </c>
      <c r="E268" s="2">
        <v>300</v>
      </c>
      <c r="F268" s="2">
        <v>4.7699999999999999E-2</v>
      </c>
      <c r="G268" s="2">
        <v>3.4799999999999998E-2</v>
      </c>
      <c r="H268" s="4">
        <f t="shared" si="55"/>
        <v>0.27044025157232709</v>
      </c>
      <c r="I268" s="2" t="s">
        <v>82</v>
      </c>
      <c r="J268" s="2" t="s">
        <v>581</v>
      </c>
      <c r="K268" s="2"/>
      <c r="L268" s="2"/>
      <c r="M268" s="155"/>
      <c r="N268" s="155"/>
      <c r="O268" s="2">
        <v>8</v>
      </c>
      <c r="P268" s="6">
        <v>14</v>
      </c>
      <c r="Q268" s="131">
        <f t="shared" si="56"/>
        <v>54.857142857142854</v>
      </c>
      <c r="R268" s="33">
        <f t="shared" si="51"/>
        <v>14</v>
      </c>
      <c r="S268" s="132">
        <f t="shared" si="57"/>
        <v>1.75</v>
      </c>
      <c r="T268" s="132">
        <f t="shared" si="58"/>
        <v>1.75</v>
      </c>
      <c r="V268" s="131" t="str">
        <f t="shared" si="59"/>
        <v/>
      </c>
      <c r="W268" s="17"/>
      <c r="X268" s="7"/>
      <c r="Y268" s="161"/>
      <c r="Z268" s="7"/>
      <c r="AA268" s="117"/>
      <c r="AB268" s="117"/>
      <c r="AC268" s="117"/>
      <c r="CH268">
        <v>5</v>
      </c>
      <c r="CI268">
        <v>43</v>
      </c>
    </row>
    <row r="269" spans="1:87" x14ac:dyDescent="0.3">
      <c r="A269" s="2">
        <v>72</v>
      </c>
      <c r="B269" s="2" t="s">
        <v>0</v>
      </c>
      <c r="C269" s="2" t="s">
        <v>1</v>
      </c>
      <c r="D269" s="2" t="s">
        <v>603</v>
      </c>
      <c r="E269" s="2">
        <v>650</v>
      </c>
      <c r="F269" s="2">
        <v>2.1100000000000001E-2</v>
      </c>
      <c r="G269" s="2">
        <v>1.83E-2</v>
      </c>
      <c r="H269" s="4">
        <f t="shared" si="55"/>
        <v>0.13270142180094788</v>
      </c>
      <c r="I269" s="2" t="s">
        <v>82</v>
      </c>
      <c r="J269" s="2" t="s">
        <v>579</v>
      </c>
      <c r="K269" s="2"/>
      <c r="L269" s="2"/>
      <c r="M269" s="155"/>
      <c r="N269" s="155"/>
      <c r="O269" s="2">
        <v>18</v>
      </c>
      <c r="P269" s="6">
        <v>16</v>
      </c>
      <c r="Q269" s="131">
        <f t="shared" si="56"/>
        <v>49.846153846153847</v>
      </c>
      <c r="R269" s="33">
        <f t="shared" si="51"/>
        <v>16</v>
      </c>
      <c r="S269" s="132">
        <f t="shared" si="57"/>
        <v>2</v>
      </c>
      <c r="T269" s="132">
        <f t="shared" si="58"/>
        <v>2</v>
      </c>
      <c r="V269" s="131" t="str">
        <f t="shared" si="59"/>
        <v/>
      </c>
      <c r="W269" s="17"/>
      <c r="X269" s="7"/>
      <c r="Y269" s="161"/>
      <c r="Z269" s="7"/>
      <c r="AA269" s="117"/>
      <c r="AB269" s="117"/>
      <c r="AC269" s="117"/>
      <c r="CH269">
        <v>1</v>
      </c>
      <c r="CI269">
        <v>78</v>
      </c>
    </row>
    <row r="270" spans="1:87" x14ac:dyDescent="0.3">
      <c r="A270" s="2">
        <v>73</v>
      </c>
      <c r="B270" s="2" t="s">
        <v>0</v>
      </c>
      <c r="C270" s="2" t="s">
        <v>1</v>
      </c>
      <c r="D270" s="2" t="s">
        <v>604</v>
      </c>
      <c r="E270" s="2">
        <v>300</v>
      </c>
      <c r="F270" s="2">
        <v>2.2499999999999999E-2</v>
      </c>
      <c r="G270" s="2">
        <v>1.32E-2</v>
      </c>
      <c r="H270" s="4">
        <f t="shared" si="55"/>
        <v>0.41333333333333333</v>
      </c>
      <c r="I270" s="2" t="s">
        <v>82</v>
      </c>
      <c r="J270" s="2" t="s">
        <v>605</v>
      </c>
      <c r="K270" s="2" t="s">
        <v>5</v>
      </c>
      <c r="L270" s="2" t="s">
        <v>6</v>
      </c>
      <c r="M270" s="155"/>
      <c r="N270" s="155"/>
      <c r="O270" s="2">
        <v>14</v>
      </c>
      <c r="P270" s="6">
        <v>26</v>
      </c>
      <c r="Q270" s="131">
        <f t="shared" si="56"/>
        <v>51.692307692307693</v>
      </c>
      <c r="R270" s="33">
        <f t="shared" si="51"/>
        <v>26</v>
      </c>
      <c r="S270" s="132">
        <f t="shared" si="57"/>
        <v>3.25</v>
      </c>
      <c r="T270" s="132">
        <f t="shared" si="58"/>
        <v>3.25</v>
      </c>
      <c r="V270" s="131" t="str">
        <f t="shared" si="59"/>
        <v/>
      </c>
      <c r="W270" s="17"/>
      <c r="X270" s="7"/>
      <c r="Y270" s="161"/>
      <c r="Z270" s="7"/>
      <c r="AA270" s="117"/>
      <c r="AB270" s="117"/>
      <c r="AC270" s="117"/>
      <c r="CH270">
        <v>6</v>
      </c>
      <c r="CI270">
        <v>86</v>
      </c>
    </row>
    <row r="271" spans="1:87" x14ac:dyDescent="0.3">
      <c r="A271" s="2">
        <v>74</v>
      </c>
      <c r="B271" s="2" t="s">
        <v>0</v>
      </c>
      <c r="C271" s="2" t="s">
        <v>1</v>
      </c>
      <c r="D271" s="2" t="s">
        <v>606</v>
      </c>
      <c r="E271" s="2">
        <v>320</v>
      </c>
      <c r="F271" s="2">
        <v>4.7399999999999998E-2</v>
      </c>
      <c r="G271" s="2">
        <v>3.7999999999999999E-2</v>
      </c>
      <c r="H271" s="4">
        <f t="shared" si="55"/>
        <v>0.19831223628691982</v>
      </c>
      <c r="I271" s="2" t="s">
        <v>82</v>
      </c>
      <c r="J271" s="2" t="s">
        <v>581</v>
      </c>
      <c r="K271" s="2"/>
      <c r="L271" s="2"/>
      <c r="M271" s="155"/>
      <c r="N271" s="155"/>
      <c r="O271" s="2">
        <v>8</v>
      </c>
      <c r="P271" s="6">
        <v>18</v>
      </c>
      <c r="Q271" s="131">
        <f t="shared" si="56"/>
        <v>40</v>
      </c>
      <c r="R271" s="33">
        <f t="shared" si="51"/>
        <v>18</v>
      </c>
      <c r="S271" s="132">
        <f t="shared" si="57"/>
        <v>2.25</v>
      </c>
      <c r="T271" s="132">
        <f t="shared" si="58"/>
        <v>2.25</v>
      </c>
      <c r="V271" s="131" t="str">
        <f t="shared" si="59"/>
        <v/>
      </c>
      <c r="W271" s="17"/>
      <c r="X271" s="7"/>
      <c r="Y271" s="161"/>
      <c r="Z271" s="7"/>
      <c r="AA271" s="117"/>
      <c r="AB271" s="117"/>
      <c r="AC271" s="117"/>
      <c r="CH271">
        <v>3</v>
      </c>
      <c r="CI271">
        <v>90</v>
      </c>
    </row>
    <row r="272" spans="1:87" x14ac:dyDescent="0.3">
      <c r="A272" s="2">
        <v>75</v>
      </c>
      <c r="B272" s="2" t="s">
        <v>0</v>
      </c>
      <c r="C272" s="2" t="s">
        <v>1</v>
      </c>
      <c r="D272" s="2" t="s">
        <v>607</v>
      </c>
      <c r="E272" s="2">
        <v>650</v>
      </c>
      <c r="F272" s="2">
        <v>1.5800000000000002E-2</v>
      </c>
      <c r="G272" s="2">
        <v>1.17E-2</v>
      </c>
      <c r="H272" s="4">
        <f t="shared" si="55"/>
        <v>0.259493670886076</v>
      </c>
      <c r="I272" s="2" t="s">
        <v>82</v>
      </c>
      <c r="J272" s="2" t="s">
        <v>587</v>
      </c>
      <c r="K272" s="2" t="s">
        <v>105</v>
      </c>
      <c r="L272" s="2" t="s">
        <v>76</v>
      </c>
      <c r="M272" s="155"/>
      <c r="N272" s="155"/>
      <c r="O272" s="2">
        <v>14</v>
      </c>
      <c r="P272" s="6">
        <v>12</v>
      </c>
      <c r="Q272" s="131">
        <f t="shared" si="56"/>
        <v>51.692307692307686</v>
      </c>
      <c r="R272" s="33">
        <f t="shared" si="51"/>
        <v>12</v>
      </c>
      <c r="S272" s="132">
        <f t="shared" si="57"/>
        <v>1.5</v>
      </c>
      <c r="T272" s="132">
        <f t="shared" si="58"/>
        <v>1.5</v>
      </c>
      <c r="V272" s="131" t="str">
        <f t="shared" si="59"/>
        <v/>
      </c>
      <c r="W272" s="17"/>
      <c r="X272" s="7"/>
      <c r="Y272" s="161"/>
      <c r="Z272" s="7"/>
      <c r="AA272" s="117"/>
      <c r="AB272" s="117"/>
      <c r="AC272" s="117"/>
      <c r="CH272">
        <v>2</v>
      </c>
      <c r="CI272">
        <v>63</v>
      </c>
    </row>
    <row r="273" spans="1:87" x14ac:dyDescent="0.3">
      <c r="A273" s="2">
        <v>76</v>
      </c>
      <c r="B273" s="2" t="s">
        <v>0</v>
      </c>
      <c r="C273" s="2" t="s">
        <v>1</v>
      </c>
      <c r="D273" s="2" t="s">
        <v>608</v>
      </c>
      <c r="E273" s="2">
        <v>1000</v>
      </c>
      <c r="F273" s="2">
        <v>1.9E-2</v>
      </c>
      <c r="G273" s="2">
        <v>1.4E-2</v>
      </c>
      <c r="H273" s="4">
        <f t="shared" si="55"/>
        <v>0.26315789473684209</v>
      </c>
      <c r="I273" s="2" t="s">
        <v>82</v>
      </c>
      <c r="J273" s="2" t="s">
        <v>579</v>
      </c>
      <c r="K273" s="2"/>
      <c r="L273" s="2"/>
      <c r="M273" s="155"/>
      <c r="N273" s="155"/>
      <c r="O273" s="2">
        <v>21</v>
      </c>
      <c r="P273" s="6">
        <v>12</v>
      </c>
      <c r="Q273" s="131">
        <f t="shared" si="56"/>
        <v>50.4</v>
      </c>
      <c r="R273" s="33">
        <f t="shared" si="51"/>
        <v>12</v>
      </c>
      <c r="S273" s="132">
        <f t="shared" si="57"/>
        <v>1.5</v>
      </c>
      <c r="T273" s="132">
        <f t="shared" si="58"/>
        <v>1.5</v>
      </c>
      <c r="V273" s="131" t="str">
        <f t="shared" si="59"/>
        <v/>
      </c>
      <c r="W273" s="17"/>
      <c r="X273" s="7"/>
      <c r="Y273" s="161"/>
      <c r="Z273" s="7"/>
      <c r="AA273" s="117"/>
      <c r="AB273" s="117"/>
      <c r="AC273" s="117"/>
      <c r="CH273">
        <v>4</v>
      </c>
      <c r="CI273">
        <v>83</v>
      </c>
    </row>
    <row r="274" spans="1:87" x14ac:dyDescent="0.3">
      <c r="A274" s="2">
        <v>77</v>
      </c>
      <c r="B274" s="2" t="s">
        <v>0</v>
      </c>
      <c r="C274" s="2" t="s">
        <v>1</v>
      </c>
      <c r="D274" s="2" t="s">
        <v>609</v>
      </c>
      <c r="E274" s="2">
        <v>300</v>
      </c>
      <c r="F274" s="2">
        <v>2.9399999999999999E-2</v>
      </c>
      <c r="G274" s="2">
        <v>1.84E-2</v>
      </c>
      <c r="H274" s="4">
        <f t="shared" si="55"/>
        <v>0.37414965986394555</v>
      </c>
      <c r="I274" s="2" t="s">
        <v>82</v>
      </c>
      <c r="J274" s="2" t="s">
        <v>610</v>
      </c>
      <c r="K274" s="2" t="s">
        <v>5</v>
      </c>
      <c r="L274" s="2" t="s">
        <v>6</v>
      </c>
      <c r="M274" s="155"/>
      <c r="N274" s="155"/>
      <c r="O274" s="2">
        <v>12</v>
      </c>
      <c r="P274" s="6">
        <v>26</v>
      </c>
      <c r="Q274" s="131">
        <f t="shared" si="56"/>
        <v>44.307692307692307</v>
      </c>
      <c r="R274" s="33">
        <f t="shared" si="51"/>
        <v>26</v>
      </c>
      <c r="S274" s="132">
        <f t="shared" si="57"/>
        <v>3.25</v>
      </c>
      <c r="T274" s="132">
        <f t="shared" si="58"/>
        <v>3.25</v>
      </c>
      <c r="V274" s="131" t="str">
        <f t="shared" si="59"/>
        <v/>
      </c>
      <c r="W274" s="17"/>
      <c r="X274" s="7"/>
      <c r="Y274" s="161"/>
      <c r="Z274" s="7"/>
      <c r="AA274" s="117"/>
      <c r="AB274" s="117"/>
      <c r="AC274" s="117"/>
      <c r="CH274">
        <v>6</v>
      </c>
      <c r="CI274">
        <v>83</v>
      </c>
    </row>
    <row r="275" spans="1:87" x14ac:dyDescent="0.3">
      <c r="A275" s="2">
        <v>78</v>
      </c>
      <c r="B275" s="2" t="s">
        <v>0</v>
      </c>
      <c r="C275" s="2" t="s">
        <v>1</v>
      </c>
      <c r="D275" s="2" t="s">
        <v>611</v>
      </c>
      <c r="E275" s="2">
        <v>300</v>
      </c>
      <c r="F275" s="2">
        <v>2.64E-2</v>
      </c>
      <c r="G275" s="2">
        <v>1.7299999999999999E-2</v>
      </c>
      <c r="H275" s="4">
        <f t="shared" si="55"/>
        <v>0.34469696969696972</v>
      </c>
      <c r="I275" s="2" t="s">
        <v>98</v>
      </c>
      <c r="J275" s="2" t="s">
        <v>229</v>
      </c>
      <c r="K275" s="2" t="s">
        <v>5</v>
      </c>
      <c r="L275" s="2" t="s">
        <v>6</v>
      </c>
      <c r="M275" s="155"/>
      <c r="N275" s="155"/>
      <c r="O275" s="2">
        <v>12</v>
      </c>
      <c r="P275" s="6">
        <v>26</v>
      </c>
      <c r="Q275" s="131">
        <f t="shared" si="56"/>
        <v>44.307692307692307</v>
      </c>
      <c r="R275" s="33">
        <f t="shared" si="51"/>
        <v>26</v>
      </c>
      <c r="S275" s="132">
        <f t="shared" si="57"/>
        <v>3.25</v>
      </c>
      <c r="T275" s="132">
        <f t="shared" si="58"/>
        <v>3.25</v>
      </c>
      <c r="V275" s="131" t="str">
        <f t="shared" si="59"/>
        <v/>
      </c>
      <c r="W275" s="17"/>
      <c r="X275" s="7"/>
      <c r="Y275" s="161"/>
      <c r="Z275" s="7"/>
      <c r="AA275" s="117"/>
      <c r="AB275" s="117"/>
      <c r="AC275" s="117"/>
      <c r="CH275">
        <v>1</v>
      </c>
      <c r="CI275">
        <v>32</v>
      </c>
    </row>
    <row r="276" spans="1:87" x14ac:dyDescent="0.3">
      <c r="A276" s="2">
        <v>79</v>
      </c>
      <c r="B276" s="2" t="s">
        <v>0</v>
      </c>
      <c r="C276" s="2" t="s">
        <v>1</v>
      </c>
      <c r="D276" s="2" t="s">
        <v>612</v>
      </c>
      <c r="E276" s="2">
        <v>300</v>
      </c>
      <c r="F276" s="2">
        <v>2.64E-2</v>
      </c>
      <c r="G276" s="2">
        <v>1.7299999999999999E-2</v>
      </c>
      <c r="H276" s="4">
        <f t="shared" si="55"/>
        <v>0.34469696969696972</v>
      </c>
      <c r="I276" s="2" t="s">
        <v>98</v>
      </c>
      <c r="J276" s="2" t="s">
        <v>229</v>
      </c>
      <c r="K276" s="2" t="s">
        <v>5</v>
      </c>
      <c r="L276" s="2" t="s">
        <v>6</v>
      </c>
      <c r="M276" s="155"/>
      <c r="N276" s="155"/>
      <c r="O276" s="2">
        <v>12</v>
      </c>
      <c r="P276" s="6">
        <v>26</v>
      </c>
      <c r="Q276" s="131">
        <f t="shared" si="56"/>
        <v>44.307692307692307</v>
      </c>
      <c r="R276" s="33">
        <f t="shared" si="51"/>
        <v>26</v>
      </c>
      <c r="S276" s="132">
        <f t="shared" si="57"/>
        <v>3.25</v>
      </c>
      <c r="T276" s="132">
        <f t="shared" si="58"/>
        <v>3.25</v>
      </c>
      <c r="V276" s="131" t="str">
        <f t="shared" si="59"/>
        <v/>
      </c>
      <c r="W276" s="17"/>
      <c r="X276" s="7"/>
      <c r="Y276" s="161"/>
      <c r="Z276" s="7"/>
      <c r="AA276" s="117"/>
      <c r="AB276" s="117"/>
      <c r="AC276" s="117"/>
      <c r="CH276">
        <v>2</v>
      </c>
      <c r="CI276">
        <v>65</v>
      </c>
    </row>
    <row r="277" spans="1:87" x14ac:dyDescent="0.3">
      <c r="A277" s="2">
        <v>80</v>
      </c>
      <c r="B277" s="2" t="s">
        <v>0</v>
      </c>
      <c r="C277" s="2" t="s">
        <v>1</v>
      </c>
      <c r="D277" s="2" t="s">
        <v>613</v>
      </c>
      <c r="E277" s="2">
        <v>300</v>
      </c>
      <c r="F277" s="2">
        <v>3.5999999999999997E-2</v>
      </c>
      <c r="G277" s="2">
        <v>2.5000000000000001E-2</v>
      </c>
      <c r="H277" s="4">
        <f t="shared" si="55"/>
        <v>0.30555555555555547</v>
      </c>
      <c r="I277" s="2" t="s">
        <v>82</v>
      </c>
      <c r="J277" s="2" t="s">
        <v>581</v>
      </c>
      <c r="K277" s="2"/>
      <c r="L277" s="2" t="s">
        <v>76</v>
      </c>
      <c r="M277" s="155"/>
      <c r="N277" s="155"/>
      <c r="O277" s="2">
        <v>10</v>
      </c>
      <c r="P277" s="6">
        <v>20</v>
      </c>
      <c r="Q277" s="131">
        <f t="shared" si="56"/>
        <v>48</v>
      </c>
      <c r="R277" s="33">
        <f t="shared" si="51"/>
        <v>20</v>
      </c>
      <c r="S277" s="132">
        <f t="shared" si="57"/>
        <v>2.5</v>
      </c>
      <c r="T277" s="132">
        <f t="shared" si="58"/>
        <v>2.5</v>
      </c>
      <c r="V277" s="131" t="str">
        <f t="shared" si="59"/>
        <v/>
      </c>
      <c r="W277" s="17"/>
      <c r="X277" s="7"/>
      <c r="Y277" s="161"/>
      <c r="Z277" s="7"/>
      <c r="AA277" s="117"/>
      <c r="AB277" s="117"/>
      <c r="AC277" s="117"/>
      <c r="CH277">
        <v>1</v>
      </c>
      <c r="CI277">
        <v>86</v>
      </c>
    </row>
    <row r="278" spans="1:87" x14ac:dyDescent="0.3">
      <c r="A278" s="2">
        <v>81</v>
      </c>
      <c r="B278" s="2" t="s">
        <v>0</v>
      </c>
      <c r="C278" s="2" t="s">
        <v>1</v>
      </c>
      <c r="D278" s="2" t="s">
        <v>614</v>
      </c>
      <c r="E278" s="2">
        <v>300</v>
      </c>
      <c r="F278" s="2">
        <v>3.4799999999999998E-2</v>
      </c>
      <c r="G278" s="2">
        <v>2.4E-2</v>
      </c>
      <c r="H278" s="4">
        <f t="shared" si="55"/>
        <v>0.31034482758620685</v>
      </c>
      <c r="I278" s="2" t="s">
        <v>82</v>
      </c>
      <c r="J278" s="2" t="s">
        <v>581</v>
      </c>
      <c r="K278" s="2"/>
      <c r="L278" s="2"/>
      <c r="M278" s="155"/>
      <c r="N278" s="155"/>
      <c r="O278" s="2">
        <v>10</v>
      </c>
      <c r="P278" s="6">
        <v>20</v>
      </c>
      <c r="Q278" s="131">
        <f t="shared" si="56"/>
        <v>48</v>
      </c>
      <c r="R278" s="33">
        <f t="shared" si="51"/>
        <v>20</v>
      </c>
      <c r="S278" s="132">
        <f t="shared" si="57"/>
        <v>2.5</v>
      </c>
      <c r="T278" s="132">
        <f t="shared" si="58"/>
        <v>2.5</v>
      </c>
      <c r="V278" s="131" t="str">
        <f t="shared" si="59"/>
        <v/>
      </c>
      <c r="W278" s="17"/>
      <c r="X278" s="7"/>
      <c r="Y278" s="161"/>
      <c r="Z278" s="7"/>
      <c r="AA278" s="117"/>
      <c r="AB278" s="117"/>
      <c r="AC278" s="117"/>
      <c r="CH278">
        <v>6</v>
      </c>
      <c r="CI278">
        <v>83</v>
      </c>
    </row>
    <row r="279" spans="1:87" x14ac:dyDescent="0.3">
      <c r="A279" s="2">
        <v>82</v>
      </c>
      <c r="B279" s="2" t="s">
        <v>0</v>
      </c>
      <c r="C279" s="2" t="s">
        <v>1</v>
      </c>
      <c r="D279" s="2" t="s">
        <v>615</v>
      </c>
      <c r="E279" s="2">
        <v>240</v>
      </c>
      <c r="F279" s="2">
        <v>3.5099999999999999E-2</v>
      </c>
      <c r="G279" s="2">
        <v>2.41E-2</v>
      </c>
      <c r="H279" s="4">
        <f t="shared" si="55"/>
        <v>0.31339031339031337</v>
      </c>
      <c r="I279" s="2" t="s">
        <v>82</v>
      </c>
      <c r="J279" s="2" t="s">
        <v>581</v>
      </c>
      <c r="K279" s="2"/>
      <c r="L279" s="2"/>
      <c r="M279" s="155"/>
      <c r="N279" s="155"/>
      <c r="O279" s="2">
        <v>10</v>
      </c>
      <c r="P279" s="6">
        <v>25</v>
      </c>
      <c r="Q279" s="131">
        <f t="shared" si="56"/>
        <v>48</v>
      </c>
      <c r="R279" s="33">
        <f t="shared" si="51"/>
        <v>25</v>
      </c>
      <c r="S279" s="132">
        <f t="shared" si="57"/>
        <v>3.125</v>
      </c>
      <c r="T279" s="132">
        <f t="shared" si="58"/>
        <v>3.125</v>
      </c>
      <c r="V279" s="131" t="str">
        <f t="shared" si="59"/>
        <v/>
      </c>
      <c r="W279" s="17"/>
      <c r="X279" s="7"/>
      <c r="Y279" s="161"/>
      <c r="Z279" s="7"/>
      <c r="AA279" s="117"/>
      <c r="AB279" s="117"/>
      <c r="AC279" s="117"/>
      <c r="CH279">
        <v>6</v>
      </c>
      <c r="CI279">
        <v>84</v>
      </c>
    </row>
    <row r="280" spans="1:87" x14ac:dyDescent="0.3">
      <c r="A280" s="2">
        <v>83</v>
      </c>
      <c r="B280" s="2" t="s">
        <v>0</v>
      </c>
      <c r="C280" s="2" t="s">
        <v>1</v>
      </c>
      <c r="D280" s="2" t="s">
        <v>616</v>
      </c>
      <c r="E280" s="2">
        <v>450</v>
      </c>
      <c r="F280" s="2">
        <v>4.02E-2</v>
      </c>
      <c r="G280" s="2">
        <v>3.4099999999999998E-2</v>
      </c>
      <c r="H280" s="4">
        <f t="shared" si="55"/>
        <v>0.15174129353233834</v>
      </c>
      <c r="I280" s="2" t="s">
        <v>82</v>
      </c>
      <c r="J280" s="2" t="s">
        <v>610</v>
      </c>
      <c r="K280" s="2"/>
      <c r="L280" s="2"/>
      <c r="M280" s="155"/>
      <c r="N280" s="155"/>
      <c r="O280" s="2">
        <v>9</v>
      </c>
      <c r="P280" s="6">
        <v>20</v>
      </c>
      <c r="Q280" s="131">
        <f t="shared" si="56"/>
        <v>28.8</v>
      </c>
      <c r="R280" s="33">
        <f t="shared" si="51"/>
        <v>20</v>
      </c>
      <c r="S280" s="132">
        <f t="shared" si="57"/>
        <v>2.5</v>
      </c>
      <c r="T280" s="132">
        <f t="shared" si="58"/>
        <v>2.5</v>
      </c>
      <c r="V280" s="131" t="str">
        <f t="shared" si="59"/>
        <v/>
      </c>
      <c r="W280" s="17"/>
      <c r="X280" s="7"/>
      <c r="Y280" s="161"/>
      <c r="Z280" s="7"/>
      <c r="AA280" s="117"/>
      <c r="AB280" s="117"/>
      <c r="AC280" s="117"/>
      <c r="CH280">
        <v>2</v>
      </c>
      <c r="CI280">
        <v>55</v>
      </c>
    </row>
    <row r="281" spans="1:87" x14ac:dyDescent="0.3">
      <c r="A281" s="2">
        <v>84</v>
      </c>
      <c r="B281" s="2" t="s">
        <v>0</v>
      </c>
      <c r="C281" s="2" t="s">
        <v>1</v>
      </c>
      <c r="D281" s="2" t="s">
        <v>617</v>
      </c>
      <c r="E281" s="2">
        <v>600</v>
      </c>
      <c r="F281" s="2">
        <v>2.8899999999999999E-2</v>
      </c>
      <c r="G281" s="2">
        <v>1.7999999999999999E-2</v>
      </c>
      <c r="H281" s="4">
        <f t="shared" si="55"/>
        <v>0.37716262975778547</v>
      </c>
      <c r="I281" s="2" t="s">
        <v>82</v>
      </c>
      <c r="J281" s="2" t="s">
        <v>610</v>
      </c>
      <c r="K281" s="2" t="s">
        <v>105</v>
      </c>
      <c r="L281" s="2" t="s">
        <v>76</v>
      </c>
      <c r="M281" s="155"/>
      <c r="N281" s="155"/>
      <c r="O281" s="2">
        <v>12</v>
      </c>
      <c r="P281" s="6">
        <v>12</v>
      </c>
      <c r="Q281" s="131">
        <f t="shared" si="56"/>
        <v>48</v>
      </c>
      <c r="R281" s="33">
        <f t="shared" si="51"/>
        <v>12</v>
      </c>
      <c r="S281" s="132">
        <f t="shared" si="57"/>
        <v>1.5</v>
      </c>
      <c r="T281" s="132">
        <f t="shared" si="58"/>
        <v>1.5</v>
      </c>
      <c r="V281" s="131" t="str">
        <f t="shared" si="59"/>
        <v/>
      </c>
      <c r="W281" s="17"/>
      <c r="X281" s="7"/>
      <c r="Y281" s="161"/>
      <c r="Z281" s="7"/>
      <c r="AA281" s="117"/>
      <c r="AB281" s="117"/>
      <c r="AC281" s="117"/>
      <c r="CH281">
        <v>2</v>
      </c>
      <c r="CI281">
        <v>57</v>
      </c>
    </row>
    <row r="282" spans="1:87" x14ac:dyDescent="0.3">
      <c r="A282" s="2">
        <v>95</v>
      </c>
      <c r="B282" s="2" t="s">
        <v>0</v>
      </c>
      <c r="C282" s="2" t="s">
        <v>1</v>
      </c>
      <c r="D282" s="2" t="s">
        <v>618</v>
      </c>
      <c r="E282" s="2">
        <v>4900</v>
      </c>
      <c r="F282" s="2">
        <v>2.5000000000000001E-3</v>
      </c>
      <c r="G282" s="2">
        <v>2.2000000000000001E-3</v>
      </c>
      <c r="H282" s="4">
        <f t="shared" si="55"/>
        <v>0.11999999999999997</v>
      </c>
      <c r="I282" s="2" t="s">
        <v>98</v>
      </c>
      <c r="J282" s="2" t="s">
        <v>619</v>
      </c>
      <c r="K282" s="2" t="s">
        <v>5</v>
      </c>
      <c r="L282" s="2" t="s">
        <v>6</v>
      </c>
      <c r="M282" s="155"/>
      <c r="N282" s="155"/>
      <c r="O282" s="2">
        <v>54</v>
      </c>
      <c r="P282" s="6">
        <v>16</v>
      </c>
      <c r="Q282" s="131">
        <f t="shared" si="56"/>
        <v>19.836734693877553</v>
      </c>
      <c r="R282" s="33">
        <f t="shared" si="51"/>
        <v>16</v>
      </c>
      <c r="S282" s="132">
        <f t="shared" si="57"/>
        <v>2</v>
      </c>
      <c r="T282" s="132">
        <f t="shared" si="58"/>
        <v>2</v>
      </c>
      <c r="V282" s="131" t="str">
        <f t="shared" si="59"/>
        <v/>
      </c>
      <c r="W282" s="17"/>
      <c r="X282" s="7"/>
      <c r="Y282" s="161"/>
      <c r="Z282" s="7"/>
      <c r="AA282" s="117"/>
      <c r="AB282" s="117"/>
      <c r="AC282" s="117"/>
      <c r="CH282">
        <v>5</v>
      </c>
      <c r="CI282">
        <v>47</v>
      </c>
    </row>
    <row r="283" spans="1:87" x14ac:dyDescent="0.3">
      <c r="A283" s="2">
        <v>97</v>
      </c>
      <c r="B283" s="23" t="s">
        <v>0</v>
      </c>
      <c r="C283" s="2" t="s">
        <v>1</v>
      </c>
      <c r="D283" s="2" t="s">
        <v>620</v>
      </c>
      <c r="E283" s="2">
        <v>270</v>
      </c>
      <c r="F283" s="2">
        <v>3.6900000000000002E-2</v>
      </c>
      <c r="G283" s="2">
        <v>2.6499999999999999E-2</v>
      </c>
      <c r="H283" s="4">
        <f t="shared" si="55"/>
        <v>0.28184281842818437</v>
      </c>
      <c r="I283" s="2" t="s">
        <v>82</v>
      </c>
      <c r="J283" s="2" t="s">
        <v>610</v>
      </c>
      <c r="K283" s="2" t="s">
        <v>105</v>
      </c>
      <c r="L283" s="2" t="s">
        <v>76</v>
      </c>
      <c r="M283" s="155"/>
      <c r="N283" s="155"/>
      <c r="O283" s="2">
        <v>9</v>
      </c>
      <c r="P283" s="6">
        <v>17</v>
      </c>
      <c r="Q283" s="131">
        <f t="shared" si="56"/>
        <v>56.470588235294116</v>
      </c>
      <c r="R283" s="33">
        <f t="shared" si="51"/>
        <v>17</v>
      </c>
      <c r="S283" s="132">
        <f t="shared" si="57"/>
        <v>2.125</v>
      </c>
      <c r="T283" s="132">
        <f t="shared" si="58"/>
        <v>2.125</v>
      </c>
      <c r="V283" s="131" t="str">
        <f t="shared" si="59"/>
        <v/>
      </c>
      <c r="W283" s="17"/>
      <c r="X283" s="7"/>
      <c r="Y283" s="161"/>
      <c r="Z283" s="7"/>
      <c r="AA283" s="117"/>
      <c r="AB283" s="117"/>
      <c r="AC283" s="117"/>
      <c r="CH283">
        <v>6</v>
      </c>
      <c r="CI283">
        <v>72</v>
      </c>
    </row>
    <row r="284" spans="1:87" x14ac:dyDescent="0.3">
      <c r="A284" s="2">
        <v>137</v>
      </c>
      <c r="B284" s="2" t="s">
        <v>0</v>
      </c>
      <c r="C284" s="2" t="s">
        <v>1</v>
      </c>
      <c r="D284" s="2" t="s">
        <v>621</v>
      </c>
      <c r="E284" s="2">
        <v>40</v>
      </c>
      <c r="F284" s="2">
        <v>0.29360000000000003</v>
      </c>
      <c r="G284" s="2">
        <v>0.24199999999999999</v>
      </c>
      <c r="H284" s="4">
        <f t="shared" si="55"/>
        <v>0.17574931880109002</v>
      </c>
      <c r="I284" s="2" t="s">
        <v>98</v>
      </c>
      <c r="J284" s="2" t="s">
        <v>622</v>
      </c>
      <c r="K284" s="2" t="s">
        <v>105</v>
      </c>
      <c r="L284" s="2" t="s">
        <v>76</v>
      </c>
      <c r="M284" s="155"/>
      <c r="N284" s="155"/>
      <c r="O284" s="2">
        <v>3</v>
      </c>
      <c r="P284" s="6">
        <v>20</v>
      </c>
      <c r="Q284" s="131">
        <f t="shared" si="56"/>
        <v>108</v>
      </c>
      <c r="R284" s="33">
        <f t="shared" si="51"/>
        <v>20</v>
      </c>
      <c r="S284" s="132">
        <f t="shared" si="57"/>
        <v>2.5</v>
      </c>
      <c r="T284" s="132">
        <f t="shared" si="58"/>
        <v>2.5</v>
      </c>
      <c r="V284" s="131" t="str">
        <f t="shared" si="59"/>
        <v/>
      </c>
      <c r="W284" s="17"/>
      <c r="X284" s="7"/>
      <c r="Y284" s="161"/>
      <c r="Z284" s="7"/>
      <c r="AA284" s="117"/>
      <c r="AB284" s="117"/>
      <c r="AC284" s="117"/>
      <c r="CH284">
        <v>3</v>
      </c>
      <c r="CI284">
        <v>90</v>
      </c>
    </row>
    <row r="285" spans="1:87" x14ac:dyDescent="0.3">
      <c r="A285" s="2">
        <v>138</v>
      </c>
      <c r="B285" s="2" t="s">
        <v>0</v>
      </c>
      <c r="C285" s="2" t="s">
        <v>1</v>
      </c>
      <c r="D285" s="2" t="s">
        <v>623</v>
      </c>
      <c r="E285" s="2">
        <v>40</v>
      </c>
      <c r="F285" s="2">
        <v>0.29360000000000003</v>
      </c>
      <c r="G285" s="2">
        <v>0.24199999999999999</v>
      </c>
      <c r="H285" s="4">
        <f t="shared" si="55"/>
        <v>0.17574931880109002</v>
      </c>
      <c r="I285" s="2" t="s">
        <v>98</v>
      </c>
      <c r="J285" s="2" t="s">
        <v>624</v>
      </c>
      <c r="K285" s="2" t="s">
        <v>105</v>
      </c>
      <c r="L285" s="2" t="s">
        <v>76</v>
      </c>
      <c r="M285" s="155"/>
      <c r="N285" s="155"/>
      <c r="O285" s="2">
        <v>3</v>
      </c>
      <c r="P285" s="6">
        <v>20</v>
      </c>
      <c r="Q285" s="131">
        <f t="shared" si="56"/>
        <v>108</v>
      </c>
      <c r="R285" s="33">
        <f t="shared" si="51"/>
        <v>20</v>
      </c>
      <c r="S285" s="132">
        <f t="shared" si="57"/>
        <v>2.5</v>
      </c>
      <c r="T285" s="132">
        <f t="shared" si="58"/>
        <v>2.5</v>
      </c>
      <c r="V285" s="131" t="str">
        <f t="shared" si="59"/>
        <v/>
      </c>
      <c r="W285" s="17"/>
      <c r="X285" s="7"/>
      <c r="Y285" s="161"/>
      <c r="Z285" s="7"/>
      <c r="AA285" s="117"/>
      <c r="AB285" s="117"/>
      <c r="AC285" s="117"/>
      <c r="CH285">
        <v>1</v>
      </c>
      <c r="CI285">
        <v>39</v>
      </c>
    </row>
    <row r="286" spans="1:87" x14ac:dyDescent="0.3">
      <c r="A286" s="2">
        <v>139</v>
      </c>
      <c r="B286" s="2" t="s">
        <v>84</v>
      </c>
      <c r="C286" s="2" t="s">
        <v>1</v>
      </c>
      <c r="D286" s="2" t="s">
        <v>625</v>
      </c>
      <c r="E286" s="2">
        <v>300</v>
      </c>
      <c r="F286" s="2">
        <v>7.2300000000000003E-2</v>
      </c>
      <c r="G286" s="2"/>
      <c r="H286" s="4">
        <f t="shared" si="55"/>
        <v>1</v>
      </c>
      <c r="I286" s="2" t="s">
        <v>82</v>
      </c>
      <c r="J286" s="2" t="s">
        <v>626</v>
      </c>
      <c r="K286" s="2" t="s">
        <v>105</v>
      </c>
      <c r="L286" s="2" t="s">
        <v>76</v>
      </c>
      <c r="M286" s="155"/>
      <c r="N286" s="155"/>
      <c r="O286" s="2">
        <v>2</v>
      </c>
      <c r="P286" s="6">
        <v>23</v>
      </c>
      <c r="Q286" s="131">
        <f t="shared" si="56"/>
        <v>8.3478260869565215</v>
      </c>
      <c r="R286" s="33">
        <f t="shared" si="51"/>
        <v>23</v>
      </c>
      <c r="S286" s="132">
        <f t="shared" si="57"/>
        <v>2.875</v>
      </c>
      <c r="T286" s="132">
        <f t="shared" si="58"/>
        <v>2.875</v>
      </c>
      <c r="V286" s="131" t="str">
        <f t="shared" si="59"/>
        <v/>
      </c>
      <c r="W286" s="17"/>
      <c r="X286" s="7"/>
      <c r="Y286" s="161"/>
      <c r="Z286" s="7"/>
      <c r="AA286" s="117"/>
      <c r="AB286" s="117"/>
      <c r="AC286" s="117"/>
      <c r="CH286">
        <v>4</v>
      </c>
      <c r="CI286">
        <v>48</v>
      </c>
    </row>
    <row r="287" spans="1:87" x14ac:dyDescent="0.3">
      <c r="A287" s="2">
        <v>140</v>
      </c>
      <c r="B287" s="2" t="s">
        <v>84</v>
      </c>
      <c r="C287" s="2" t="s">
        <v>1</v>
      </c>
      <c r="D287" s="2" t="s">
        <v>627</v>
      </c>
      <c r="E287" s="2">
        <v>180</v>
      </c>
      <c r="F287" s="2">
        <v>0.1162</v>
      </c>
      <c r="G287" s="2"/>
      <c r="H287" s="4">
        <f t="shared" si="55"/>
        <v>1</v>
      </c>
      <c r="I287" s="2" t="s">
        <v>82</v>
      </c>
      <c r="J287" s="2" t="s">
        <v>626</v>
      </c>
      <c r="K287" s="2" t="s">
        <v>261</v>
      </c>
      <c r="L287" s="2" t="s">
        <v>76</v>
      </c>
      <c r="M287" s="155"/>
      <c r="N287" s="155"/>
      <c r="O287" s="2">
        <v>1</v>
      </c>
      <c r="P287" s="6">
        <v>12</v>
      </c>
      <c r="Q287" s="131">
        <f t="shared" si="56"/>
        <v>13.333333333333334</v>
      </c>
      <c r="R287" s="33">
        <f t="shared" si="51"/>
        <v>12</v>
      </c>
      <c r="S287" s="132">
        <f t="shared" si="57"/>
        <v>1.5</v>
      </c>
      <c r="T287" s="132">
        <f t="shared" si="58"/>
        <v>1.5</v>
      </c>
      <c r="V287" s="131" t="str">
        <f t="shared" si="59"/>
        <v/>
      </c>
      <c r="W287" s="17"/>
      <c r="X287" s="7"/>
      <c r="Y287" s="161"/>
      <c r="Z287" s="7"/>
      <c r="AA287" s="117"/>
      <c r="AB287" s="117"/>
      <c r="AC287" s="117"/>
      <c r="CH287">
        <v>5</v>
      </c>
      <c r="CI287">
        <v>63</v>
      </c>
    </row>
    <row r="288" spans="1:87" x14ac:dyDescent="0.3">
      <c r="A288" s="2">
        <v>141</v>
      </c>
      <c r="B288" s="2" t="s">
        <v>84</v>
      </c>
      <c r="C288" s="2" t="s">
        <v>1</v>
      </c>
      <c r="D288" s="2" t="s">
        <v>628</v>
      </c>
      <c r="E288" s="2">
        <v>200</v>
      </c>
      <c r="F288" s="2">
        <v>6.1699999999999998E-2</v>
      </c>
      <c r="G288" s="2"/>
      <c r="H288" s="4">
        <f t="shared" si="55"/>
        <v>1</v>
      </c>
      <c r="I288" s="2" t="s">
        <v>82</v>
      </c>
      <c r="J288" s="2" t="s">
        <v>626</v>
      </c>
      <c r="K288" s="2" t="s">
        <v>90</v>
      </c>
      <c r="L288" s="2" t="s">
        <v>6</v>
      </c>
      <c r="M288" s="155"/>
      <c r="N288" s="155"/>
      <c r="O288" s="2">
        <v>2</v>
      </c>
      <c r="P288" s="6">
        <v>26</v>
      </c>
      <c r="Q288" s="131">
        <f t="shared" si="56"/>
        <v>11.076923076923077</v>
      </c>
      <c r="R288" s="33">
        <f t="shared" si="51"/>
        <v>26</v>
      </c>
      <c r="S288" s="132">
        <f t="shared" si="57"/>
        <v>3.25</v>
      </c>
      <c r="T288" s="132">
        <f t="shared" si="58"/>
        <v>3.25</v>
      </c>
      <c r="V288" s="131" t="str">
        <f t="shared" si="59"/>
        <v/>
      </c>
      <c r="W288" s="17"/>
      <c r="X288" s="7"/>
      <c r="Y288" s="161"/>
      <c r="Z288" s="7"/>
      <c r="AA288" s="117"/>
      <c r="AB288" s="117"/>
      <c r="AC288" s="117"/>
      <c r="CH288">
        <v>1</v>
      </c>
      <c r="CI288">
        <v>78</v>
      </c>
    </row>
    <row r="289" spans="1:87" x14ac:dyDescent="0.3">
      <c r="A289" s="2">
        <v>144</v>
      </c>
      <c r="B289" s="2" t="s">
        <v>0</v>
      </c>
      <c r="C289" s="2" t="s">
        <v>1</v>
      </c>
      <c r="D289" s="2" t="s">
        <v>629</v>
      </c>
      <c r="E289" s="2">
        <v>1680</v>
      </c>
      <c r="F289" s="2">
        <v>1.6400000000000001E-2</v>
      </c>
      <c r="G289" s="2">
        <v>1.0999999999999999E-2</v>
      </c>
      <c r="H289" s="4">
        <f t="shared" si="55"/>
        <v>0.3292682926829269</v>
      </c>
      <c r="I289" s="2" t="s">
        <v>98</v>
      </c>
      <c r="J289" s="2" t="s">
        <v>415</v>
      </c>
      <c r="K289" s="2" t="s">
        <v>105</v>
      </c>
      <c r="L289" s="2" t="s">
        <v>76</v>
      </c>
      <c r="M289" s="155"/>
      <c r="N289" s="155"/>
      <c r="O289" s="2">
        <v>16</v>
      </c>
      <c r="P289" s="6">
        <v>10</v>
      </c>
      <c r="Q289" s="131">
        <f t="shared" si="56"/>
        <v>27.428571428571427</v>
      </c>
      <c r="R289" s="33">
        <f t="shared" si="51"/>
        <v>10</v>
      </c>
      <c r="S289" s="132">
        <f t="shared" si="57"/>
        <v>1.25</v>
      </c>
      <c r="T289" s="132">
        <f t="shared" si="58"/>
        <v>1.25</v>
      </c>
      <c r="V289" s="131" t="str">
        <f t="shared" si="59"/>
        <v/>
      </c>
      <c r="W289" s="17"/>
      <c r="X289" s="7"/>
      <c r="Y289" s="161"/>
      <c r="Z289" s="7"/>
      <c r="AA289" s="117"/>
      <c r="AB289" s="117"/>
      <c r="AC289" s="117"/>
      <c r="CH289">
        <v>2</v>
      </c>
      <c r="CI289">
        <v>42</v>
      </c>
    </row>
    <row r="290" spans="1:87" x14ac:dyDescent="0.3">
      <c r="A290" s="2">
        <v>145</v>
      </c>
      <c r="B290" s="2" t="s">
        <v>0</v>
      </c>
      <c r="C290" s="2" t="s">
        <v>1</v>
      </c>
      <c r="D290" s="2" t="s">
        <v>630</v>
      </c>
      <c r="E290" s="2">
        <v>300</v>
      </c>
      <c r="F290" s="2">
        <v>9.6799999999999997E-2</v>
      </c>
      <c r="G290" s="2">
        <v>5.96E-2</v>
      </c>
      <c r="H290" s="4">
        <f t="shared" si="55"/>
        <v>0.38429752066115702</v>
      </c>
      <c r="I290" s="2" t="s">
        <v>98</v>
      </c>
      <c r="J290" s="2" t="s">
        <v>631</v>
      </c>
      <c r="K290" s="2" t="s">
        <v>413</v>
      </c>
      <c r="L290" s="2" t="s">
        <v>76</v>
      </c>
      <c r="M290" s="155"/>
      <c r="N290" s="155"/>
      <c r="O290" s="2">
        <v>6</v>
      </c>
      <c r="P290" s="6">
        <v>20</v>
      </c>
      <c r="Q290" s="131">
        <f t="shared" si="56"/>
        <v>28.8</v>
      </c>
      <c r="R290" s="33">
        <f t="shared" si="51"/>
        <v>20</v>
      </c>
      <c r="S290" s="132">
        <f t="shared" si="57"/>
        <v>2.5</v>
      </c>
      <c r="T290" s="132">
        <f t="shared" si="58"/>
        <v>2.5</v>
      </c>
      <c r="V290" s="131" t="str">
        <f t="shared" si="59"/>
        <v/>
      </c>
      <c r="W290" s="17"/>
      <c r="X290" s="7"/>
      <c r="Y290" s="161"/>
      <c r="Z290" s="7"/>
      <c r="AA290" s="117"/>
      <c r="AB290" s="117"/>
      <c r="AC290" s="117"/>
      <c r="CH290">
        <v>6</v>
      </c>
      <c r="CI290">
        <v>86</v>
      </c>
    </row>
    <row r="291" spans="1:87" x14ac:dyDescent="0.3">
      <c r="A291" s="2">
        <v>146</v>
      </c>
      <c r="B291" s="2" t="s">
        <v>0</v>
      </c>
      <c r="C291" s="2" t="s">
        <v>1</v>
      </c>
      <c r="D291" s="2" t="s">
        <v>632</v>
      </c>
      <c r="E291" s="2">
        <v>200</v>
      </c>
      <c r="F291" s="2">
        <v>9.6799999999999997E-2</v>
      </c>
      <c r="G291" s="2">
        <v>5.96E-2</v>
      </c>
      <c r="H291" s="4">
        <f t="shared" si="55"/>
        <v>0.38429752066115702</v>
      </c>
      <c r="I291" s="2" t="s">
        <v>98</v>
      </c>
      <c r="J291" s="2" t="s">
        <v>631</v>
      </c>
      <c r="K291" s="2" t="s">
        <v>413</v>
      </c>
      <c r="L291" s="2" t="s">
        <v>76</v>
      </c>
      <c r="M291" s="155"/>
      <c r="N291" s="155"/>
      <c r="O291" s="2">
        <v>6</v>
      </c>
      <c r="P291" s="6">
        <v>28</v>
      </c>
      <c r="Q291" s="131">
        <f t="shared" si="56"/>
        <v>30.857142857142858</v>
      </c>
      <c r="R291" s="33">
        <f t="shared" si="51"/>
        <v>28</v>
      </c>
      <c r="S291" s="132">
        <f t="shared" si="57"/>
        <v>3.5</v>
      </c>
      <c r="T291" s="132">
        <f t="shared" si="58"/>
        <v>3.5</v>
      </c>
      <c r="V291" s="131" t="str">
        <f t="shared" si="59"/>
        <v/>
      </c>
      <c r="W291" s="17"/>
      <c r="X291" s="7"/>
      <c r="Y291" s="161"/>
      <c r="Z291" s="7"/>
      <c r="AA291" s="117"/>
      <c r="AB291" s="117"/>
      <c r="AC291" s="117"/>
      <c r="CH291">
        <v>6</v>
      </c>
      <c r="CI291">
        <v>46</v>
      </c>
    </row>
    <row r="292" spans="1:87" x14ac:dyDescent="0.3">
      <c r="A292" s="2">
        <v>147</v>
      </c>
      <c r="B292" s="2" t="s">
        <v>84</v>
      </c>
      <c r="C292" s="2" t="s">
        <v>1</v>
      </c>
      <c r="D292" s="2" t="s">
        <v>633</v>
      </c>
      <c r="E292" s="2">
        <v>500</v>
      </c>
      <c r="F292" s="2">
        <v>4.1300000000000003E-2</v>
      </c>
      <c r="G292" s="2"/>
      <c r="H292" s="4">
        <f t="shared" si="55"/>
        <v>1</v>
      </c>
      <c r="I292" s="2" t="s">
        <v>98</v>
      </c>
      <c r="J292" s="2" t="s">
        <v>634</v>
      </c>
      <c r="K292" s="2" t="s">
        <v>413</v>
      </c>
      <c r="L292" s="2" t="s">
        <v>76</v>
      </c>
      <c r="M292" s="155"/>
      <c r="N292" s="155"/>
      <c r="O292" s="2">
        <v>18</v>
      </c>
      <c r="P292" s="6">
        <v>6</v>
      </c>
      <c r="Q292" s="131">
        <f t="shared" si="56"/>
        <v>172.79999999999998</v>
      </c>
      <c r="R292" s="33">
        <f t="shared" si="51"/>
        <v>6</v>
      </c>
      <c r="S292" s="132">
        <f t="shared" si="57"/>
        <v>0.75</v>
      </c>
      <c r="T292" s="132">
        <f t="shared" si="58"/>
        <v>0.75</v>
      </c>
      <c r="V292" s="131" t="str">
        <f t="shared" si="59"/>
        <v/>
      </c>
      <c r="W292" s="17"/>
      <c r="X292" s="7"/>
      <c r="Y292" s="161"/>
      <c r="Z292" s="7"/>
      <c r="AA292" s="117"/>
      <c r="AB292" s="117"/>
      <c r="AC292" s="117"/>
      <c r="CH292">
        <v>4</v>
      </c>
      <c r="CI292">
        <v>33</v>
      </c>
    </row>
    <row r="293" spans="1:87" x14ac:dyDescent="0.3">
      <c r="A293" s="2">
        <v>148</v>
      </c>
      <c r="B293" s="2" t="s">
        <v>84</v>
      </c>
      <c r="C293" s="2" t="s">
        <v>1</v>
      </c>
      <c r="D293" s="2" t="s">
        <v>635</v>
      </c>
      <c r="E293" s="2">
        <v>500</v>
      </c>
      <c r="F293" s="2">
        <v>4.1300000000000003E-2</v>
      </c>
      <c r="G293" s="2"/>
      <c r="H293" s="4">
        <f t="shared" si="55"/>
        <v>1</v>
      </c>
      <c r="I293" s="2" t="s">
        <v>98</v>
      </c>
      <c r="J293" s="2" t="s">
        <v>636</v>
      </c>
      <c r="K293" s="2" t="s">
        <v>413</v>
      </c>
      <c r="L293" s="2" t="s">
        <v>76</v>
      </c>
      <c r="M293" s="155"/>
      <c r="N293" s="155"/>
      <c r="O293" s="2">
        <v>18</v>
      </c>
      <c r="P293" s="6">
        <v>7</v>
      </c>
      <c r="Q293" s="131">
        <f t="shared" si="56"/>
        <v>148.1142857142857</v>
      </c>
      <c r="R293" s="33">
        <f t="shared" si="51"/>
        <v>7</v>
      </c>
      <c r="S293" s="132">
        <f t="shared" si="57"/>
        <v>0.875</v>
      </c>
      <c r="T293" s="132">
        <f t="shared" si="58"/>
        <v>0.875</v>
      </c>
      <c r="V293" s="131" t="str">
        <f t="shared" si="59"/>
        <v/>
      </c>
      <c r="W293" s="17"/>
      <c r="X293" s="7"/>
      <c r="Y293" s="161"/>
      <c r="Z293" s="7"/>
      <c r="AA293" s="117"/>
      <c r="AB293" s="117"/>
      <c r="AC293" s="117"/>
      <c r="CH293">
        <v>6</v>
      </c>
      <c r="CI293">
        <v>87</v>
      </c>
    </row>
    <row r="294" spans="1:87" x14ac:dyDescent="0.3">
      <c r="A294" s="2">
        <v>149</v>
      </c>
      <c r="B294" s="2" t="s">
        <v>84</v>
      </c>
      <c r="C294" s="2" t="s">
        <v>1</v>
      </c>
      <c r="D294" s="2" t="s">
        <v>637</v>
      </c>
      <c r="E294" s="2">
        <v>900</v>
      </c>
      <c r="F294" s="2">
        <v>3.6499999999999998E-2</v>
      </c>
      <c r="G294" s="2"/>
      <c r="H294" s="4">
        <f t="shared" si="55"/>
        <v>1</v>
      </c>
      <c r="I294" s="2" t="s">
        <v>98</v>
      </c>
      <c r="J294" s="2" t="s">
        <v>638</v>
      </c>
      <c r="K294" s="2" t="s">
        <v>413</v>
      </c>
      <c r="L294" s="2" t="s">
        <v>76</v>
      </c>
      <c r="M294" s="155"/>
      <c r="N294" s="155"/>
      <c r="O294" s="2">
        <v>22</v>
      </c>
      <c r="P294" s="6">
        <v>7</v>
      </c>
      <c r="Q294" s="131">
        <f t="shared" si="56"/>
        <v>100.57142857142857</v>
      </c>
      <c r="R294" s="33">
        <f t="shared" si="51"/>
        <v>7</v>
      </c>
      <c r="S294" s="132">
        <f t="shared" si="57"/>
        <v>0.875</v>
      </c>
      <c r="T294" s="132">
        <f t="shared" si="58"/>
        <v>0.875</v>
      </c>
      <c r="V294" s="131" t="str">
        <f t="shared" si="59"/>
        <v/>
      </c>
      <c r="W294" s="17"/>
      <c r="X294" s="7"/>
      <c r="Y294" s="161"/>
      <c r="Z294" s="7"/>
      <c r="AA294" s="117"/>
      <c r="AB294" s="117"/>
      <c r="AC294" s="117"/>
      <c r="CH294">
        <v>4</v>
      </c>
      <c r="CI294">
        <v>60</v>
      </c>
    </row>
    <row r="295" spans="1:87" x14ac:dyDescent="0.3">
      <c r="A295" s="2">
        <v>150</v>
      </c>
      <c r="B295" s="2" t="s">
        <v>0</v>
      </c>
      <c r="C295" s="2" t="s">
        <v>1</v>
      </c>
      <c r="D295" s="2" t="s">
        <v>639</v>
      </c>
      <c r="E295" s="2">
        <v>50</v>
      </c>
      <c r="F295" s="2">
        <v>0.2069</v>
      </c>
      <c r="G295" s="2"/>
      <c r="H295" s="4">
        <f t="shared" si="55"/>
        <v>1</v>
      </c>
      <c r="I295" s="2" t="s">
        <v>98</v>
      </c>
      <c r="J295" s="2" t="s">
        <v>640</v>
      </c>
      <c r="K295" s="2" t="s">
        <v>413</v>
      </c>
      <c r="L295" s="2" t="s">
        <v>76</v>
      </c>
      <c r="M295" s="155"/>
      <c r="N295" s="155"/>
      <c r="O295" s="2">
        <v>6</v>
      </c>
      <c r="P295" s="6">
        <v>14</v>
      </c>
      <c r="Q295" s="131">
        <f t="shared" si="56"/>
        <v>246.85714285714286</v>
      </c>
      <c r="R295" s="33">
        <f t="shared" si="51"/>
        <v>14</v>
      </c>
      <c r="S295" s="132">
        <f t="shared" si="57"/>
        <v>1.75</v>
      </c>
      <c r="T295" s="132">
        <f t="shared" si="58"/>
        <v>1.75</v>
      </c>
      <c r="V295" s="131" t="str">
        <f t="shared" si="59"/>
        <v/>
      </c>
      <c r="W295" s="17"/>
      <c r="X295" s="7"/>
      <c r="Y295" s="161"/>
      <c r="Z295" s="7"/>
      <c r="AA295" s="117"/>
      <c r="AB295" s="117"/>
      <c r="AC295" s="117"/>
      <c r="CH295">
        <v>5</v>
      </c>
      <c r="CI295">
        <v>47</v>
      </c>
    </row>
    <row r="296" spans="1:87" x14ac:dyDescent="0.3">
      <c r="A296" s="2">
        <v>151</v>
      </c>
      <c r="B296" s="2" t="s">
        <v>0</v>
      </c>
      <c r="C296" s="2" t="s">
        <v>1</v>
      </c>
      <c r="D296" s="2" t="s">
        <v>641</v>
      </c>
      <c r="E296" s="2">
        <v>50</v>
      </c>
      <c r="F296" s="2">
        <v>0.2069</v>
      </c>
      <c r="G296" s="2"/>
      <c r="H296" s="4">
        <f t="shared" si="55"/>
        <v>1</v>
      </c>
      <c r="I296" s="2" t="s">
        <v>98</v>
      </c>
      <c r="J296" s="2" t="s">
        <v>642</v>
      </c>
      <c r="K296" s="2" t="s">
        <v>413</v>
      </c>
      <c r="L296" s="2" t="s">
        <v>76</v>
      </c>
      <c r="M296" s="155"/>
      <c r="N296" s="155"/>
      <c r="O296" s="2">
        <v>6</v>
      </c>
      <c r="P296" s="6">
        <v>55</v>
      </c>
      <c r="Q296" s="131">
        <f t="shared" si="56"/>
        <v>62.836363636363636</v>
      </c>
      <c r="R296" s="33">
        <f t="shared" si="51"/>
        <v>55</v>
      </c>
      <c r="S296" s="132">
        <f t="shared" si="57"/>
        <v>6.875</v>
      </c>
      <c r="T296" s="132">
        <f t="shared" si="58"/>
        <v>6.875</v>
      </c>
      <c r="V296" s="131" t="str">
        <f t="shared" si="59"/>
        <v/>
      </c>
      <c r="W296" s="17"/>
      <c r="X296" s="7"/>
      <c r="Y296" s="161"/>
      <c r="Z296" s="7"/>
      <c r="AA296" s="117"/>
      <c r="AB296" s="117"/>
      <c r="AC296" s="117"/>
      <c r="CH296">
        <v>4</v>
      </c>
      <c r="CI296">
        <v>38</v>
      </c>
    </row>
    <row r="297" spans="1:87" x14ac:dyDescent="0.3">
      <c r="A297" s="2">
        <v>152</v>
      </c>
      <c r="B297" s="2" t="s">
        <v>0</v>
      </c>
      <c r="C297" s="2" t="s">
        <v>1</v>
      </c>
      <c r="D297" s="2" t="s">
        <v>643</v>
      </c>
      <c r="E297" s="2">
        <v>70</v>
      </c>
      <c r="F297" s="2">
        <v>0.19850000000000001</v>
      </c>
      <c r="G297" s="2"/>
      <c r="H297" s="4">
        <f t="shared" si="55"/>
        <v>1</v>
      </c>
      <c r="I297" s="2" t="s">
        <v>98</v>
      </c>
      <c r="J297" s="2" t="s">
        <v>642</v>
      </c>
      <c r="K297" s="2" t="s">
        <v>413</v>
      </c>
      <c r="L297" s="2" t="s">
        <v>76</v>
      </c>
      <c r="M297" s="155"/>
      <c r="N297" s="155"/>
      <c r="O297" s="2">
        <v>6</v>
      </c>
      <c r="P297" s="6">
        <v>35</v>
      </c>
      <c r="Q297" s="131">
        <f t="shared" si="56"/>
        <v>70.530612244897952</v>
      </c>
      <c r="R297" s="33">
        <f t="shared" si="51"/>
        <v>35</v>
      </c>
      <c r="S297" s="132">
        <f t="shared" si="57"/>
        <v>4.375</v>
      </c>
      <c r="T297" s="132">
        <f t="shared" si="58"/>
        <v>4.375</v>
      </c>
      <c r="V297" s="131" t="str">
        <f t="shared" si="59"/>
        <v/>
      </c>
      <c r="W297" s="17"/>
      <c r="X297" s="7"/>
      <c r="Y297" s="161"/>
      <c r="Z297" s="7"/>
      <c r="AA297" s="117"/>
      <c r="AB297" s="117"/>
      <c r="AC297" s="117"/>
      <c r="CH297">
        <v>3</v>
      </c>
      <c r="CI297">
        <v>84</v>
      </c>
    </row>
    <row r="298" spans="1:87" x14ac:dyDescent="0.3">
      <c r="A298" s="2">
        <v>155</v>
      </c>
      <c r="B298" s="2" t="s">
        <v>84</v>
      </c>
      <c r="C298" s="2" t="s">
        <v>1</v>
      </c>
      <c r="D298" s="2" t="s">
        <v>644</v>
      </c>
      <c r="E298" s="2">
        <v>100</v>
      </c>
      <c r="F298" s="2">
        <v>2.4799999999999999E-2</v>
      </c>
      <c r="G298" s="2"/>
      <c r="H298" s="4">
        <f t="shared" si="55"/>
        <v>1</v>
      </c>
      <c r="I298" s="2" t="s">
        <v>82</v>
      </c>
      <c r="J298" s="2" t="s">
        <v>645</v>
      </c>
      <c r="K298" s="2" t="s">
        <v>90</v>
      </c>
      <c r="L298" s="2" t="s">
        <v>6</v>
      </c>
      <c r="M298" s="155"/>
      <c r="N298" s="155"/>
      <c r="O298" s="2">
        <v>2</v>
      </c>
      <c r="P298" s="6">
        <v>55</v>
      </c>
      <c r="Q298" s="131">
        <f t="shared" si="56"/>
        <v>10.472727272727273</v>
      </c>
      <c r="R298" s="33">
        <f t="shared" si="51"/>
        <v>55</v>
      </c>
      <c r="S298" s="132">
        <f t="shared" si="57"/>
        <v>6.875</v>
      </c>
      <c r="T298" s="132">
        <f t="shared" si="58"/>
        <v>6.875</v>
      </c>
      <c r="V298" s="131" t="str">
        <f t="shared" si="59"/>
        <v/>
      </c>
      <c r="W298" s="17"/>
      <c r="X298" s="7"/>
      <c r="Y298" s="161"/>
      <c r="Z298" s="7"/>
      <c r="AA298" s="117"/>
      <c r="AB298" s="117"/>
      <c r="AC298" s="117"/>
      <c r="CH298">
        <v>2</v>
      </c>
      <c r="CI298">
        <v>63</v>
      </c>
    </row>
    <row r="299" spans="1:87" x14ac:dyDescent="0.3">
      <c r="A299" s="2">
        <v>156</v>
      </c>
      <c r="B299" s="2" t="s">
        <v>84</v>
      </c>
      <c r="C299" s="2" t="s">
        <v>1</v>
      </c>
      <c r="D299" s="2" t="s">
        <v>646</v>
      </c>
      <c r="E299" s="2">
        <v>100</v>
      </c>
      <c r="F299" s="2">
        <v>2.3099999999999999E-2</v>
      </c>
      <c r="G299" s="2"/>
      <c r="H299" s="4">
        <f t="shared" si="55"/>
        <v>1</v>
      </c>
      <c r="I299" s="2" t="s">
        <v>82</v>
      </c>
      <c r="J299" s="2" t="s">
        <v>645</v>
      </c>
      <c r="K299" s="2" t="s">
        <v>90</v>
      </c>
      <c r="L299" s="2" t="s">
        <v>6</v>
      </c>
      <c r="M299" s="155"/>
      <c r="N299" s="155"/>
      <c r="O299" s="2">
        <v>2</v>
      </c>
      <c r="P299" s="6">
        <v>55</v>
      </c>
      <c r="Q299" s="131">
        <f t="shared" si="56"/>
        <v>10.472727272727273</v>
      </c>
      <c r="R299" s="33">
        <f t="shared" si="51"/>
        <v>55</v>
      </c>
      <c r="S299" s="132">
        <f t="shared" si="57"/>
        <v>6.875</v>
      </c>
      <c r="T299" s="132">
        <f t="shared" si="58"/>
        <v>6.875</v>
      </c>
      <c r="V299" s="131" t="str">
        <f t="shared" si="59"/>
        <v/>
      </c>
      <c r="W299" s="17"/>
      <c r="X299" s="7"/>
      <c r="Y299" s="161"/>
      <c r="Z299" s="7"/>
      <c r="AA299" s="117"/>
      <c r="AB299" s="117"/>
      <c r="AC299" s="117"/>
      <c r="CH299">
        <v>1</v>
      </c>
      <c r="CI299">
        <v>66</v>
      </c>
    </row>
    <row r="300" spans="1:87" x14ac:dyDescent="0.3">
      <c r="A300" s="2">
        <v>157</v>
      </c>
      <c r="B300" s="2" t="s">
        <v>84</v>
      </c>
      <c r="C300" s="2" t="s">
        <v>1</v>
      </c>
      <c r="D300" s="2" t="s">
        <v>647</v>
      </c>
      <c r="E300" s="2">
        <v>100</v>
      </c>
      <c r="F300" s="2">
        <v>3.15E-2</v>
      </c>
      <c r="G300" s="2"/>
      <c r="H300" s="4">
        <f t="shared" si="55"/>
        <v>1</v>
      </c>
      <c r="I300" s="2" t="s">
        <v>82</v>
      </c>
      <c r="J300" s="2" t="s">
        <v>645</v>
      </c>
      <c r="K300" s="2" t="s">
        <v>5</v>
      </c>
      <c r="L300" s="2" t="s">
        <v>6</v>
      </c>
      <c r="M300" s="155"/>
      <c r="N300" s="155"/>
      <c r="O300" s="2">
        <v>2</v>
      </c>
      <c r="P300" s="6">
        <v>55</v>
      </c>
      <c r="Q300" s="131">
        <f t="shared" si="56"/>
        <v>10.472727272727273</v>
      </c>
      <c r="R300" s="33">
        <f t="shared" si="51"/>
        <v>55</v>
      </c>
      <c r="S300" s="132">
        <f t="shared" si="57"/>
        <v>6.875</v>
      </c>
      <c r="T300" s="132">
        <f t="shared" si="58"/>
        <v>6.875</v>
      </c>
      <c r="V300" s="131" t="str">
        <f t="shared" si="59"/>
        <v/>
      </c>
      <c r="W300" s="17"/>
      <c r="X300" s="7"/>
      <c r="Y300" s="161"/>
      <c r="Z300" s="7"/>
      <c r="AA300" s="117"/>
      <c r="AB300" s="117"/>
      <c r="AC300" s="117"/>
      <c r="CH300">
        <v>2</v>
      </c>
      <c r="CI300">
        <v>37</v>
      </c>
    </row>
    <row r="301" spans="1:87" x14ac:dyDescent="0.3">
      <c r="A301" s="2">
        <v>158</v>
      </c>
      <c r="B301" s="2" t="s">
        <v>0</v>
      </c>
      <c r="C301" s="2" t="s">
        <v>1</v>
      </c>
      <c r="D301" s="2" t="s">
        <v>648</v>
      </c>
      <c r="E301" s="2">
        <v>100</v>
      </c>
      <c r="F301" s="2">
        <v>4.6199999999999998E-2</v>
      </c>
      <c r="G301" s="2">
        <v>3.61E-2</v>
      </c>
      <c r="H301" s="4">
        <f t="shared" si="55"/>
        <v>0.21861471861471857</v>
      </c>
      <c r="I301" s="2" t="s">
        <v>82</v>
      </c>
      <c r="J301" s="2" t="s">
        <v>598</v>
      </c>
      <c r="K301" s="2" t="s">
        <v>90</v>
      </c>
      <c r="L301" s="2" t="s">
        <v>6</v>
      </c>
      <c r="M301" s="155"/>
      <c r="N301" s="155"/>
      <c r="O301" s="2">
        <v>3</v>
      </c>
      <c r="P301" s="6">
        <v>30</v>
      </c>
      <c r="Q301" s="131">
        <f t="shared" si="56"/>
        <v>28.8</v>
      </c>
      <c r="R301" s="33">
        <f t="shared" si="51"/>
        <v>30</v>
      </c>
      <c r="S301" s="132">
        <f t="shared" si="57"/>
        <v>3.75</v>
      </c>
      <c r="T301" s="132">
        <f t="shared" si="58"/>
        <v>3.75</v>
      </c>
      <c r="V301" s="131" t="str">
        <f t="shared" si="59"/>
        <v/>
      </c>
      <c r="W301" s="17"/>
      <c r="X301" s="7"/>
      <c r="Y301" s="161"/>
      <c r="Z301" s="7"/>
      <c r="AA301" s="117"/>
      <c r="AB301" s="117"/>
      <c r="AC301" s="117"/>
      <c r="CH301">
        <v>6</v>
      </c>
      <c r="CI301">
        <v>59</v>
      </c>
    </row>
    <row r="302" spans="1:87" x14ac:dyDescent="0.3">
      <c r="A302" s="2">
        <v>172</v>
      </c>
      <c r="B302" s="2" t="s">
        <v>0</v>
      </c>
      <c r="C302" s="2" t="s">
        <v>1</v>
      </c>
      <c r="D302" s="2" t="s">
        <v>649</v>
      </c>
      <c r="E302" s="2">
        <v>700</v>
      </c>
      <c r="F302" s="2">
        <v>2.5999999999999999E-2</v>
      </c>
      <c r="G302" s="2">
        <v>1.8800000000000001E-2</v>
      </c>
      <c r="H302" s="4">
        <f t="shared" si="55"/>
        <v>0.27692307692307688</v>
      </c>
      <c r="I302" s="2" t="s">
        <v>73</v>
      </c>
      <c r="J302" s="2" t="s">
        <v>650</v>
      </c>
      <c r="K302" s="2" t="s">
        <v>105</v>
      </c>
      <c r="L302" s="2" t="s">
        <v>76</v>
      </c>
      <c r="M302" s="155"/>
      <c r="N302" s="155"/>
      <c r="O302" s="2">
        <v>24</v>
      </c>
      <c r="P302" s="6">
        <v>14</v>
      </c>
      <c r="Q302" s="131">
        <f t="shared" si="56"/>
        <v>70.530612244897966</v>
      </c>
      <c r="R302" s="33">
        <f t="shared" si="51"/>
        <v>13.999999999999998</v>
      </c>
      <c r="S302" s="132">
        <f t="shared" si="57"/>
        <v>1.7499999999999998</v>
      </c>
      <c r="T302" s="132">
        <f t="shared" si="58"/>
        <v>1.7499999999999998</v>
      </c>
      <c r="V302" s="131" t="str">
        <f t="shared" si="59"/>
        <v/>
      </c>
      <c r="W302" s="17"/>
      <c r="X302" s="7"/>
      <c r="Y302" s="161"/>
      <c r="Z302" s="7"/>
      <c r="AA302" s="117"/>
      <c r="AB302" s="117"/>
      <c r="AC302" s="117"/>
      <c r="CH302">
        <v>1</v>
      </c>
      <c r="CI302">
        <v>80</v>
      </c>
    </row>
    <row r="303" spans="1:87" x14ac:dyDescent="0.3">
      <c r="A303" s="2">
        <v>178</v>
      </c>
      <c r="B303" s="2" t="s">
        <v>0</v>
      </c>
      <c r="C303" s="2" t="s">
        <v>1</v>
      </c>
      <c r="D303" s="2" t="s">
        <v>651</v>
      </c>
      <c r="E303" s="2">
        <v>400</v>
      </c>
      <c r="F303" s="2">
        <v>3.7900000000000003E-2</v>
      </c>
      <c r="G303" s="2">
        <v>2.9000000000000001E-2</v>
      </c>
      <c r="H303" s="4">
        <f t="shared" si="55"/>
        <v>0.23482849604221639</v>
      </c>
      <c r="I303" s="2" t="s">
        <v>73</v>
      </c>
      <c r="J303" s="2" t="s">
        <v>652</v>
      </c>
      <c r="K303" s="2" t="s">
        <v>105</v>
      </c>
      <c r="L303" s="2" t="s">
        <v>76</v>
      </c>
      <c r="M303" s="155"/>
      <c r="N303" s="155"/>
      <c r="O303" s="2">
        <v>12</v>
      </c>
      <c r="P303" s="6">
        <v>23</v>
      </c>
      <c r="Q303" s="131">
        <f t="shared" si="56"/>
        <v>37.565217391304351</v>
      </c>
      <c r="R303" s="33">
        <f t="shared" si="51"/>
        <v>22.999999999999996</v>
      </c>
      <c r="S303" s="132">
        <f t="shared" si="57"/>
        <v>2.8749999999999996</v>
      </c>
      <c r="T303" s="132">
        <f t="shared" si="58"/>
        <v>2.8749999999999996</v>
      </c>
      <c r="V303" s="131" t="str">
        <f t="shared" si="59"/>
        <v/>
      </c>
      <c r="W303" s="17"/>
      <c r="X303" s="7"/>
      <c r="Y303" s="161"/>
      <c r="Z303" s="7"/>
      <c r="AA303" s="117"/>
      <c r="AB303" s="117"/>
      <c r="AC303" s="117"/>
      <c r="CH303">
        <v>5</v>
      </c>
      <c r="CI303">
        <v>56</v>
      </c>
    </row>
    <row r="304" spans="1:87" x14ac:dyDescent="0.3">
      <c r="A304" s="23">
        <v>179</v>
      </c>
      <c r="B304" s="2" t="s">
        <v>0</v>
      </c>
      <c r="C304" s="2" t="s">
        <v>1</v>
      </c>
      <c r="D304" s="2" t="s">
        <v>653</v>
      </c>
      <c r="E304" s="2">
        <v>360</v>
      </c>
      <c r="F304" s="2">
        <v>4.2099999999999999E-2</v>
      </c>
      <c r="G304" s="2">
        <v>3.1800000000000002E-2</v>
      </c>
      <c r="H304" s="4">
        <f t="shared" si="55"/>
        <v>0.24465558194774339</v>
      </c>
      <c r="I304" s="2" t="s">
        <v>73</v>
      </c>
      <c r="J304" s="2" t="s">
        <v>654</v>
      </c>
      <c r="K304" s="2" t="s">
        <v>105</v>
      </c>
      <c r="L304" s="2" t="s">
        <v>76</v>
      </c>
      <c r="M304" s="155"/>
      <c r="N304" s="155"/>
      <c r="O304" s="2">
        <v>12</v>
      </c>
      <c r="P304" s="6">
        <v>26</v>
      </c>
      <c r="Q304" s="131">
        <f t="shared" si="56"/>
        <v>36.92307692307692</v>
      </c>
      <c r="R304" s="33">
        <f t="shared" si="51"/>
        <v>26.000000000000004</v>
      </c>
      <c r="S304" s="132">
        <f t="shared" si="57"/>
        <v>3.2500000000000004</v>
      </c>
      <c r="T304" s="132">
        <f t="shared" si="58"/>
        <v>3.2500000000000004</v>
      </c>
      <c r="V304" s="131">
        <f t="shared" si="59"/>
        <v>24.365482233502537</v>
      </c>
      <c r="W304" s="17">
        <v>39.4</v>
      </c>
      <c r="X304" s="8">
        <f>60*60*8/W304</f>
        <v>730.96446700507613</v>
      </c>
      <c r="Y304" s="161">
        <v>45420</v>
      </c>
      <c r="Z304" s="7" t="s">
        <v>7</v>
      </c>
      <c r="AA304" s="117"/>
      <c r="AB304" s="117"/>
      <c r="AC304" s="117"/>
      <c r="CH304">
        <v>1</v>
      </c>
      <c r="CI304">
        <v>72</v>
      </c>
    </row>
    <row r="305" spans="1:87" x14ac:dyDescent="0.3">
      <c r="A305" s="2">
        <v>180</v>
      </c>
      <c r="B305" s="2" t="s">
        <v>0</v>
      </c>
      <c r="C305" s="2" t="s">
        <v>1</v>
      </c>
      <c r="D305" s="2" t="s">
        <v>655</v>
      </c>
      <c r="E305" s="2">
        <v>700</v>
      </c>
      <c r="F305" s="2">
        <v>2.3599999999999999E-2</v>
      </c>
      <c r="G305" s="2">
        <v>1.7999999999999999E-2</v>
      </c>
      <c r="H305" s="4">
        <f t="shared" si="55"/>
        <v>0.23728813559322037</v>
      </c>
      <c r="I305" s="2" t="s">
        <v>73</v>
      </c>
      <c r="J305" s="2" t="s">
        <v>656</v>
      </c>
      <c r="K305" s="2" t="s">
        <v>105</v>
      </c>
      <c r="L305" s="2" t="s">
        <v>76</v>
      </c>
      <c r="M305" s="155"/>
      <c r="N305" s="155"/>
      <c r="O305" s="2">
        <v>24</v>
      </c>
      <c r="P305" s="6">
        <v>14</v>
      </c>
      <c r="Q305" s="131">
        <f t="shared" si="56"/>
        <v>70.530612244897966</v>
      </c>
      <c r="R305" s="33">
        <f t="shared" si="51"/>
        <v>13.999999999999998</v>
      </c>
      <c r="S305" s="132">
        <f t="shared" si="57"/>
        <v>1.7499999999999998</v>
      </c>
      <c r="T305" s="132">
        <f t="shared" si="58"/>
        <v>1.7499999999999998</v>
      </c>
      <c r="V305" s="131" t="str">
        <f t="shared" si="59"/>
        <v/>
      </c>
      <c r="W305" s="17"/>
      <c r="X305" s="7"/>
      <c r="Y305" s="161"/>
      <c r="Z305" s="7"/>
      <c r="AA305" s="117"/>
      <c r="AB305" s="117"/>
      <c r="AC305" s="117"/>
      <c r="CH305">
        <v>3</v>
      </c>
      <c r="CI305">
        <v>39</v>
      </c>
    </row>
    <row r="306" spans="1:87" x14ac:dyDescent="0.3">
      <c r="A306" s="2">
        <v>193</v>
      </c>
      <c r="B306" s="2" t="s">
        <v>0</v>
      </c>
      <c r="C306" s="2" t="s">
        <v>1</v>
      </c>
      <c r="D306" s="2" t="s">
        <v>657</v>
      </c>
      <c r="E306" s="2">
        <v>1500</v>
      </c>
      <c r="F306" s="2">
        <v>1.18E-2</v>
      </c>
      <c r="G306" s="2">
        <v>9.7999999999999997E-3</v>
      </c>
      <c r="H306" s="4">
        <f t="shared" si="55"/>
        <v>0.16949152542372883</v>
      </c>
      <c r="I306" s="2" t="s">
        <v>82</v>
      </c>
      <c r="J306" s="2" t="s">
        <v>658</v>
      </c>
      <c r="K306" s="2" t="s">
        <v>105</v>
      </c>
      <c r="L306" s="2" t="s">
        <v>76</v>
      </c>
      <c r="M306" s="155"/>
      <c r="N306" s="155"/>
      <c r="O306" s="2">
        <v>16</v>
      </c>
      <c r="P306" s="6">
        <v>6</v>
      </c>
      <c r="Q306" s="131">
        <f t="shared" si="56"/>
        <v>51.199999999999996</v>
      </c>
      <c r="R306" s="33">
        <f t="shared" si="51"/>
        <v>6</v>
      </c>
      <c r="S306" s="132">
        <f t="shared" si="57"/>
        <v>0.75</v>
      </c>
      <c r="T306" s="132">
        <f t="shared" si="58"/>
        <v>0.75</v>
      </c>
      <c r="V306" s="131" t="str">
        <f t="shared" si="59"/>
        <v/>
      </c>
      <c r="W306" s="17"/>
      <c r="X306" s="7"/>
      <c r="Y306" s="161"/>
      <c r="Z306" s="7"/>
      <c r="AA306" s="117"/>
      <c r="AB306" s="117"/>
      <c r="AC306" s="117"/>
      <c r="CH306">
        <v>6</v>
      </c>
      <c r="CI306">
        <v>60</v>
      </c>
    </row>
    <row r="307" spans="1:87" x14ac:dyDescent="0.3">
      <c r="A307" s="2">
        <v>202</v>
      </c>
      <c r="B307" s="2" t="s">
        <v>0</v>
      </c>
      <c r="C307" s="2" t="s">
        <v>1</v>
      </c>
      <c r="D307" s="2" t="s">
        <v>659</v>
      </c>
      <c r="E307" s="2">
        <v>800</v>
      </c>
      <c r="F307" s="2">
        <v>1.6500000000000001E-2</v>
      </c>
      <c r="G307" s="2">
        <v>1.4E-2</v>
      </c>
      <c r="H307" s="4">
        <f t="shared" si="55"/>
        <v>0.15151515151515155</v>
      </c>
      <c r="I307" s="2" t="s">
        <v>98</v>
      </c>
      <c r="J307" s="2" t="s">
        <v>504</v>
      </c>
      <c r="K307" s="2" t="s">
        <v>305</v>
      </c>
      <c r="L307" s="2" t="s">
        <v>96</v>
      </c>
      <c r="M307" s="155"/>
      <c r="N307" s="155"/>
      <c r="O307" s="2">
        <v>18</v>
      </c>
      <c r="P307" s="6">
        <v>28</v>
      </c>
      <c r="Q307" s="131">
        <f t="shared" si="56"/>
        <v>23.142857142857142</v>
      </c>
      <c r="R307" s="33">
        <f t="shared" si="51"/>
        <v>28</v>
      </c>
      <c r="S307" s="132">
        <f t="shared" si="57"/>
        <v>3.5</v>
      </c>
      <c r="T307" s="132">
        <f t="shared" si="58"/>
        <v>3.5</v>
      </c>
      <c r="V307" s="131" t="str">
        <f t="shared" si="59"/>
        <v/>
      </c>
      <c r="W307" s="17"/>
      <c r="X307" s="7"/>
      <c r="Y307" s="161"/>
      <c r="Z307" s="7"/>
      <c r="AA307" s="117"/>
      <c r="AB307" s="117"/>
      <c r="AC307" s="117"/>
      <c r="CH307">
        <v>5</v>
      </c>
      <c r="CI307">
        <v>61</v>
      </c>
    </row>
    <row r="308" spans="1:87" x14ac:dyDescent="0.3">
      <c r="A308" s="2">
        <v>203</v>
      </c>
      <c r="B308" s="2" t="s">
        <v>0</v>
      </c>
      <c r="C308" s="2" t="s">
        <v>1</v>
      </c>
      <c r="D308" s="2" t="s">
        <v>660</v>
      </c>
      <c r="E308" s="2">
        <v>400</v>
      </c>
      <c r="F308" s="2">
        <v>2.5600000000000001E-2</v>
      </c>
      <c r="G308" s="2">
        <v>2.0500000000000001E-2</v>
      </c>
      <c r="H308" s="4">
        <f t="shared" si="55"/>
        <v>0.19921875</v>
      </c>
      <c r="I308" s="2" t="s">
        <v>98</v>
      </c>
      <c r="J308" s="2" t="s">
        <v>99</v>
      </c>
      <c r="K308" s="2" t="s">
        <v>5</v>
      </c>
      <c r="L308" s="2" t="s">
        <v>6</v>
      </c>
      <c r="M308" s="155"/>
      <c r="N308" s="155"/>
      <c r="O308" s="2">
        <v>10</v>
      </c>
      <c r="P308" s="6">
        <v>44</v>
      </c>
      <c r="Q308" s="131">
        <f t="shared" si="56"/>
        <v>16.363636363636363</v>
      </c>
      <c r="R308" s="33">
        <f t="shared" si="51"/>
        <v>44</v>
      </c>
      <c r="S308" s="132">
        <f t="shared" si="57"/>
        <v>5.5</v>
      </c>
      <c r="T308" s="132">
        <f t="shared" si="58"/>
        <v>5.5</v>
      </c>
      <c r="V308" s="131" t="str">
        <f t="shared" si="59"/>
        <v/>
      </c>
      <c r="W308" s="17"/>
      <c r="X308" s="7"/>
      <c r="Y308" s="161"/>
      <c r="Z308" s="7"/>
      <c r="AA308" s="117"/>
      <c r="AB308" s="117"/>
      <c r="AC308" s="117"/>
      <c r="CH308">
        <v>1</v>
      </c>
      <c r="CI308">
        <v>34</v>
      </c>
    </row>
    <row r="309" spans="1:87" x14ac:dyDescent="0.3">
      <c r="A309" s="2">
        <v>204</v>
      </c>
      <c r="B309" s="23" t="s">
        <v>0</v>
      </c>
      <c r="C309" s="2" t="s">
        <v>1</v>
      </c>
      <c r="D309" s="2" t="s">
        <v>661</v>
      </c>
      <c r="E309" s="2">
        <v>540</v>
      </c>
      <c r="F309" s="2">
        <v>2.98E-2</v>
      </c>
      <c r="G309" s="2">
        <v>1.9699999999999999E-2</v>
      </c>
      <c r="H309" s="4">
        <f t="shared" si="55"/>
        <v>0.33892617449664436</v>
      </c>
      <c r="I309" s="2" t="s">
        <v>98</v>
      </c>
      <c r="J309" s="2" t="s">
        <v>662</v>
      </c>
      <c r="K309" s="2" t="s">
        <v>261</v>
      </c>
      <c r="L309" s="2" t="s">
        <v>76</v>
      </c>
      <c r="M309" s="155"/>
      <c r="N309" s="155"/>
      <c r="O309" s="2">
        <v>12</v>
      </c>
      <c r="P309" s="6">
        <v>25</v>
      </c>
      <c r="Q309" s="131">
        <f t="shared" si="56"/>
        <v>25.6</v>
      </c>
      <c r="R309" s="33">
        <f t="shared" si="51"/>
        <v>25</v>
      </c>
      <c r="S309" s="132">
        <f t="shared" si="57"/>
        <v>3.125</v>
      </c>
      <c r="T309" s="132">
        <f t="shared" si="58"/>
        <v>3.125</v>
      </c>
      <c r="V309" s="131">
        <f t="shared" si="59"/>
        <v>17.39130434782609</v>
      </c>
      <c r="W309" s="17">
        <v>36.799999999999997</v>
      </c>
      <c r="X309" s="8">
        <f>60*60*8/W309</f>
        <v>782.60869565217399</v>
      </c>
      <c r="Y309" s="161">
        <v>45575</v>
      </c>
      <c r="Z309" s="7" t="s">
        <v>7</v>
      </c>
      <c r="AA309" s="117"/>
      <c r="AB309" s="117"/>
      <c r="AC309" s="117"/>
      <c r="AD309" s="24">
        <v>45579</v>
      </c>
      <c r="AE309">
        <v>3</v>
      </c>
      <c r="AF309">
        <v>6.5</v>
      </c>
      <c r="AH309">
        <v>3</v>
      </c>
      <c r="AI309">
        <v>0.6</v>
      </c>
      <c r="AJ309">
        <v>0.6</v>
      </c>
      <c r="AK309">
        <v>11</v>
      </c>
      <c r="AL309">
        <v>10.5</v>
      </c>
      <c r="AN309">
        <v>10</v>
      </c>
      <c r="AP309">
        <v>0.2</v>
      </c>
      <c r="AS309">
        <v>36.799999999999997</v>
      </c>
      <c r="AT309">
        <v>6</v>
      </c>
      <c r="AU309">
        <v>16</v>
      </c>
      <c r="AV309">
        <v>103</v>
      </c>
      <c r="AW309">
        <v>115</v>
      </c>
      <c r="AX309">
        <v>20</v>
      </c>
      <c r="AY309">
        <v>52</v>
      </c>
      <c r="AZ309">
        <v>94</v>
      </c>
      <c r="BA309">
        <v>105</v>
      </c>
      <c r="BB309">
        <v>420</v>
      </c>
      <c r="CH309">
        <v>5</v>
      </c>
      <c r="CI309">
        <v>76</v>
      </c>
    </row>
    <row r="310" spans="1:87" x14ac:dyDescent="0.3">
      <c r="A310" s="2">
        <v>207</v>
      </c>
      <c r="B310" s="2" t="s">
        <v>0</v>
      </c>
      <c r="C310" s="2" t="s">
        <v>1</v>
      </c>
      <c r="D310" s="2" t="s">
        <v>663</v>
      </c>
      <c r="E310" s="2">
        <v>800</v>
      </c>
      <c r="F310" s="2">
        <v>1.6500000000000001E-2</v>
      </c>
      <c r="G310" s="2">
        <v>1.4E-2</v>
      </c>
      <c r="H310" s="4">
        <f t="shared" si="55"/>
        <v>0.15151515151515155</v>
      </c>
      <c r="I310" s="2" t="s">
        <v>98</v>
      </c>
      <c r="J310" s="2" t="s">
        <v>664</v>
      </c>
      <c r="K310" s="2" t="s">
        <v>305</v>
      </c>
      <c r="L310" s="2" t="s">
        <v>96</v>
      </c>
      <c r="M310" s="155"/>
      <c r="N310" s="155"/>
      <c r="O310" s="2">
        <v>18</v>
      </c>
      <c r="P310" s="6">
        <v>28</v>
      </c>
      <c r="Q310" s="131">
        <f t="shared" si="56"/>
        <v>23.142857142857142</v>
      </c>
      <c r="R310" s="33">
        <f t="shared" ref="R310:R373" si="60">IFERROR(60*60*8*O310/E310/Q310,"")</f>
        <v>28</v>
      </c>
      <c r="S310" s="132">
        <f t="shared" si="57"/>
        <v>3.5</v>
      </c>
      <c r="T310" s="132">
        <f t="shared" si="58"/>
        <v>3.5</v>
      </c>
      <c r="V310" s="131" t="str">
        <f t="shared" si="59"/>
        <v/>
      </c>
      <c r="W310" s="17"/>
      <c r="X310" s="7"/>
      <c r="Y310" s="161"/>
      <c r="Z310" s="7"/>
      <c r="AA310" s="117"/>
      <c r="AB310" s="117"/>
      <c r="AC310" s="117"/>
      <c r="CH310">
        <v>3</v>
      </c>
      <c r="CI310">
        <v>63</v>
      </c>
    </row>
    <row r="311" spans="1:87" x14ac:dyDescent="0.3">
      <c r="A311" s="2">
        <v>208</v>
      </c>
      <c r="B311" s="2" t="s">
        <v>0</v>
      </c>
      <c r="C311" s="2" t="s">
        <v>1</v>
      </c>
      <c r="D311" s="2" t="s">
        <v>665</v>
      </c>
      <c r="E311" s="2">
        <v>450</v>
      </c>
      <c r="F311" s="2">
        <v>3.9199999999999999E-2</v>
      </c>
      <c r="G311" s="2">
        <v>2.9700000000000001E-2</v>
      </c>
      <c r="H311" s="4">
        <f t="shared" ref="H311:H374" si="61">(F311-G311)/F311</f>
        <v>0.24234693877551017</v>
      </c>
      <c r="I311" s="2" t="s">
        <v>73</v>
      </c>
      <c r="J311" s="2" t="s">
        <v>666</v>
      </c>
      <c r="K311" s="2" t="s">
        <v>105</v>
      </c>
      <c r="L311" s="2" t="s">
        <v>76</v>
      </c>
      <c r="M311" s="155"/>
      <c r="N311" s="155"/>
      <c r="O311" s="2">
        <v>12</v>
      </c>
      <c r="P311" s="6">
        <v>20</v>
      </c>
      <c r="Q311" s="131">
        <f t="shared" ref="Q311:Q374" si="62">IFERROR(60*60*8*O311/E311/P311,"")</f>
        <v>38.4</v>
      </c>
      <c r="R311" s="33">
        <f t="shared" si="60"/>
        <v>20</v>
      </c>
      <c r="S311" s="132">
        <f t="shared" ref="S311:S374" si="63">IFERROR(R311/8,"")</f>
        <v>2.5</v>
      </c>
      <c r="T311" s="132">
        <f t="shared" ref="T311:T374" si="64">IFERROR(IF(R311&gt;2,S311,""),"")</f>
        <v>2.5</v>
      </c>
      <c r="V311" s="131" t="str">
        <f t="shared" ref="V311:V374" si="65">IF(X311&gt;10,X311*O311/E311,"")</f>
        <v/>
      </c>
      <c r="W311" s="17"/>
      <c r="X311" s="7"/>
      <c r="Y311" s="161"/>
      <c r="Z311" s="7"/>
      <c r="AA311" s="117"/>
      <c r="AB311" s="117"/>
      <c r="AC311" s="117"/>
      <c r="CH311">
        <v>4</v>
      </c>
      <c r="CI311">
        <v>85</v>
      </c>
    </row>
    <row r="312" spans="1:87" x14ac:dyDescent="0.3">
      <c r="A312" s="2">
        <v>209</v>
      </c>
      <c r="B312" s="2" t="s">
        <v>0</v>
      </c>
      <c r="C312" s="2" t="s">
        <v>1</v>
      </c>
      <c r="D312" s="2" t="s">
        <v>667</v>
      </c>
      <c r="E312" s="2">
        <v>400</v>
      </c>
      <c r="F312" s="2">
        <v>4.2700000000000002E-2</v>
      </c>
      <c r="G312" s="2">
        <v>3.2300000000000002E-2</v>
      </c>
      <c r="H312" s="4">
        <f t="shared" si="61"/>
        <v>0.243559718969555</v>
      </c>
      <c r="I312" s="2" t="s">
        <v>73</v>
      </c>
      <c r="J312" s="2" t="s">
        <v>668</v>
      </c>
      <c r="K312" s="2" t="s">
        <v>105</v>
      </c>
      <c r="L312" s="2" t="s">
        <v>76</v>
      </c>
      <c r="M312" s="155"/>
      <c r="N312" s="155"/>
      <c r="O312" s="2">
        <v>12</v>
      </c>
      <c r="P312" s="6">
        <v>22</v>
      </c>
      <c r="Q312" s="131">
        <f t="shared" si="62"/>
        <v>39.272727272727273</v>
      </c>
      <c r="R312" s="33">
        <f t="shared" si="60"/>
        <v>22</v>
      </c>
      <c r="S312" s="132">
        <f t="shared" si="63"/>
        <v>2.75</v>
      </c>
      <c r="T312" s="132">
        <f t="shared" si="64"/>
        <v>2.75</v>
      </c>
      <c r="V312" s="131" t="str">
        <f t="shared" si="65"/>
        <v/>
      </c>
      <c r="W312" s="17"/>
      <c r="X312" s="7"/>
      <c r="Y312" s="161"/>
      <c r="Z312" s="7"/>
      <c r="AA312" s="117"/>
      <c r="AB312" s="117"/>
      <c r="AC312" s="117"/>
      <c r="CH312">
        <v>6</v>
      </c>
      <c r="CI312">
        <v>41</v>
      </c>
    </row>
    <row r="313" spans="1:87" x14ac:dyDescent="0.3">
      <c r="A313" s="2">
        <v>210</v>
      </c>
      <c r="B313" s="23" t="s">
        <v>0</v>
      </c>
      <c r="C313" s="2" t="s">
        <v>1</v>
      </c>
      <c r="D313" s="2" t="s">
        <v>669</v>
      </c>
      <c r="E313" s="2">
        <v>400</v>
      </c>
      <c r="F313" s="2">
        <v>2.5600000000000001E-2</v>
      </c>
      <c r="G313" s="2">
        <v>2.0500000000000001E-2</v>
      </c>
      <c r="H313" s="4">
        <f t="shared" si="61"/>
        <v>0.19921875</v>
      </c>
      <c r="I313" s="2" t="s">
        <v>98</v>
      </c>
      <c r="J313" s="2" t="s">
        <v>670</v>
      </c>
      <c r="K313" s="2" t="s">
        <v>5</v>
      </c>
      <c r="L313" s="2" t="s">
        <v>6</v>
      </c>
      <c r="M313" s="155"/>
      <c r="N313" s="155"/>
      <c r="O313" s="2">
        <v>10</v>
      </c>
      <c r="P313" s="6">
        <v>44</v>
      </c>
      <c r="Q313" s="131">
        <f t="shared" si="62"/>
        <v>16.363636363636363</v>
      </c>
      <c r="R313" s="33">
        <v>44</v>
      </c>
      <c r="S313" s="132">
        <f t="shared" si="63"/>
        <v>5.5</v>
      </c>
      <c r="T313" s="132">
        <f t="shared" si="64"/>
        <v>5.5</v>
      </c>
      <c r="V313" s="131" t="str">
        <f t="shared" si="65"/>
        <v/>
      </c>
      <c r="W313" s="17"/>
      <c r="X313" s="7"/>
      <c r="Y313" s="161"/>
      <c r="Z313" s="7"/>
      <c r="AA313" s="117"/>
      <c r="AB313" s="117"/>
      <c r="AC313" s="117"/>
      <c r="CH313">
        <v>1</v>
      </c>
      <c r="CI313">
        <v>82</v>
      </c>
    </row>
    <row r="314" spans="1:87" x14ac:dyDescent="0.3">
      <c r="A314" s="23">
        <v>211</v>
      </c>
      <c r="B314" s="2" t="s">
        <v>0</v>
      </c>
      <c r="C314" s="2" t="s">
        <v>1</v>
      </c>
      <c r="D314" s="2" t="s">
        <v>671</v>
      </c>
      <c r="E314" s="2">
        <v>3300</v>
      </c>
      <c r="F314" s="2">
        <v>3.5000000000000001E-3</v>
      </c>
      <c r="G314" s="2">
        <v>2.7000000000000001E-3</v>
      </c>
      <c r="H314" s="4">
        <f t="shared" si="61"/>
        <v>0.22857142857142854</v>
      </c>
      <c r="I314" s="2" t="s">
        <v>98</v>
      </c>
      <c r="J314" s="2" t="s">
        <v>672</v>
      </c>
      <c r="K314" s="2" t="s">
        <v>163</v>
      </c>
      <c r="L314" s="2" t="s">
        <v>6</v>
      </c>
      <c r="M314" s="155"/>
      <c r="N314" s="155"/>
      <c r="O314" s="2">
        <v>60</v>
      </c>
      <c r="P314" s="6">
        <v>12</v>
      </c>
      <c r="Q314" s="131">
        <f t="shared" si="62"/>
        <v>43.636363636363633</v>
      </c>
      <c r="R314" s="33">
        <f t="shared" si="60"/>
        <v>12</v>
      </c>
      <c r="S314" s="132">
        <f t="shared" si="63"/>
        <v>1.5</v>
      </c>
      <c r="T314" s="132">
        <f t="shared" si="64"/>
        <v>1.5</v>
      </c>
      <c r="V314" s="131">
        <f t="shared" si="65"/>
        <v>18.181818181818183</v>
      </c>
      <c r="W314" s="17">
        <v>28.8</v>
      </c>
      <c r="X314" s="8">
        <f>60*60*8/W314</f>
        <v>1000</v>
      </c>
      <c r="Y314" s="161">
        <v>45527</v>
      </c>
      <c r="Z314" s="7" t="s">
        <v>7</v>
      </c>
      <c r="AA314" s="117"/>
      <c r="AB314" s="117"/>
      <c r="AC314" s="117"/>
      <c r="CH314">
        <v>2</v>
      </c>
      <c r="CI314">
        <v>67</v>
      </c>
    </row>
    <row r="315" spans="1:87" x14ac:dyDescent="0.3">
      <c r="A315" s="2">
        <v>213</v>
      </c>
      <c r="B315" s="2" t="s">
        <v>0</v>
      </c>
      <c r="C315" s="2" t="s">
        <v>1</v>
      </c>
      <c r="D315" s="2" t="s">
        <v>673</v>
      </c>
      <c r="E315" s="2">
        <v>250</v>
      </c>
      <c r="F315" s="2">
        <v>5.5399999999999998E-2</v>
      </c>
      <c r="G315" s="2">
        <v>3.5999999999999997E-2</v>
      </c>
      <c r="H315" s="4">
        <f t="shared" si="61"/>
        <v>0.35018050541516249</v>
      </c>
      <c r="I315" s="2" t="s">
        <v>98</v>
      </c>
      <c r="J315" s="2" t="s">
        <v>596</v>
      </c>
      <c r="K315" s="2" t="s">
        <v>105</v>
      </c>
      <c r="L315" s="2" t="s">
        <v>76</v>
      </c>
      <c r="M315" s="155"/>
      <c r="N315" s="155"/>
      <c r="O315" s="2">
        <v>8</v>
      </c>
      <c r="P315" s="6">
        <v>20</v>
      </c>
      <c r="Q315" s="131">
        <f t="shared" si="62"/>
        <v>46.08</v>
      </c>
      <c r="R315" s="33">
        <f t="shared" si="60"/>
        <v>20</v>
      </c>
      <c r="S315" s="132">
        <f t="shared" si="63"/>
        <v>2.5</v>
      </c>
      <c r="T315" s="132">
        <f t="shared" si="64"/>
        <v>2.5</v>
      </c>
      <c r="V315" s="131" t="str">
        <f t="shared" si="65"/>
        <v/>
      </c>
      <c r="W315" s="17"/>
      <c r="X315" s="7"/>
      <c r="Y315" s="161"/>
      <c r="Z315" s="7"/>
      <c r="AA315" s="117"/>
      <c r="AB315" s="117"/>
      <c r="AC315" s="117"/>
      <c r="CH315">
        <v>6</v>
      </c>
      <c r="CI315">
        <v>42</v>
      </c>
    </row>
    <row r="316" spans="1:87" x14ac:dyDescent="0.3">
      <c r="A316" s="2">
        <v>214</v>
      </c>
      <c r="B316" s="2" t="s">
        <v>0</v>
      </c>
      <c r="C316" s="2" t="s">
        <v>1</v>
      </c>
      <c r="D316" s="2" t="s">
        <v>674</v>
      </c>
      <c r="E316" s="2">
        <v>1000</v>
      </c>
      <c r="F316" s="2">
        <v>1.2800000000000001E-2</v>
      </c>
      <c r="G316" s="2">
        <v>1.01E-2</v>
      </c>
      <c r="H316" s="4">
        <f t="shared" si="61"/>
        <v>0.21093750000000006</v>
      </c>
      <c r="I316" s="2" t="s">
        <v>98</v>
      </c>
      <c r="J316" s="2" t="s">
        <v>675</v>
      </c>
      <c r="K316" s="2" t="s">
        <v>105</v>
      </c>
      <c r="L316" s="2" t="s">
        <v>76</v>
      </c>
      <c r="M316" s="155"/>
      <c r="N316" s="155"/>
      <c r="O316" s="2">
        <v>20</v>
      </c>
      <c r="P316" s="6">
        <v>20</v>
      </c>
      <c r="Q316" s="131">
        <f t="shared" si="62"/>
        <v>28.8</v>
      </c>
      <c r="R316" s="33">
        <f t="shared" si="60"/>
        <v>20</v>
      </c>
      <c r="S316" s="132">
        <f t="shared" si="63"/>
        <v>2.5</v>
      </c>
      <c r="T316" s="132">
        <f t="shared" si="64"/>
        <v>2.5</v>
      </c>
      <c r="V316" s="131" t="str">
        <f t="shared" si="65"/>
        <v/>
      </c>
      <c r="W316" s="17"/>
      <c r="X316" s="7"/>
      <c r="Y316" s="161"/>
      <c r="Z316" s="7"/>
      <c r="AA316" s="117"/>
      <c r="AB316" s="117"/>
      <c r="AC316" s="117"/>
      <c r="CH316">
        <v>5</v>
      </c>
      <c r="CI316">
        <v>52</v>
      </c>
    </row>
    <row r="317" spans="1:87" x14ac:dyDescent="0.3">
      <c r="A317" s="2">
        <v>216</v>
      </c>
      <c r="B317" s="2" t="s">
        <v>0</v>
      </c>
      <c r="C317" s="2" t="s">
        <v>1</v>
      </c>
      <c r="D317" s="2" t="s">
        <v>676</v>
      </c>
      <c r="E317" s="2">
        <v>1000</v>
      </c>
      <c r="F317" s="2">
        <v>1.2800000000000001E-2</v>
      </c>
      <c r="G317" s="2">
        <v>1.01E-2</v>
      </c>
      <c r="H317" s="4">
        <f t="shared" si="61"/>
        <v>0.21093750000000006</v>
      </c>
      <c r="I317" s="2" t="s">
        <v>98</v>
      </c>
      <c r="J317" s="2" t="s">
        <v>675</v>
      </c>
      <c r="K317" s="2" t="s">
        <v>105</v>
      </c>
      <c r="L317" s="2" t="s">
        <v>76</v>
      </c>
      <c r="M317" s="155"/>
      <c r="N317" s="155"/>
      <c r="O317" s="2">
        <v>20</v>
      </c>
      <c r="P317" s="6">
        <v>18</v>
      </c>
      <c r="Q317" s="131">
        <f t="shared" si="62"/>
        <v>32</v>
      </c>
      <c r="R317" s="33">
        <f t="shared" si="60"/>
        <v>18</v>
      </c>
      <c r="S317" s="132">
        <f t="shared" si="63"/>
        <v>2.25</v>
      </c>
      <c r="T317" s="132">
        <f t="shared" si="64"/>
        <v>2.25</v>
      </c>
      <c r="V317" s="131" t="str">
        <f t="shared" si="65"/>
        <v/>
      </c>
      <c r="W317" s="17"/>
      <c r="X317" s="7"/>
      <c r="Y317" s="161"/>
      <c r="Z317" s="7"/>
      <c r="AA317" s="117"/>
      <c r="AB317" s="117"/>
      <c r="AC317" s="117"/>
      <c r="CH317">
        <v>6</v>
      </c>
      <c r="CI317">
        <v>67</v>
      </c>
    </row>
    <row r="318" spans="1:87" x14ac:dyDescent="0.3">
      <c r="A318" s="23">
        <v>219</v>
      </c>
      <c r="B318" s="2" t="s">
        <v>0</v>
      </c>
      <c r="C318" s="2" t="s">
        <v>1</v>
      </c>
      <c r="D318" s="2" t="s">
        <v>677</v>
      </c>
      <c r="E318" s="2">
        <v>1260</v>
      </c>
      <c r="F318" s="2">
        <v>7.1999999999999998E-3</v>
      </c>
      <c r="G318" s="2">
        <v>5.4999999999999997E-3</v>
      </c>
      <c r="H318" s="4">
        <f t="shared" si="61"/>
        <v>0.23611111111111113</v>
      </c>
      <c r="I318" s="2" t="s">
        <v>98</v>
      </c>
      <c r="J318" s="2" t="s">
        <v>672</v>
      </c>
      <c r="K318" s="2" t="s">
        <v>5</v>
      </c>
      <c r="L318" s="2" t="s">
        <v>6</v>
      </c>
      <c r="M318" s="155"/>
      <c r="N318" s="155"/>
      <c r="O318" s="2">
        <v>30</v>
      </c>
      <c r="P318" s="6">
        <v>18</v>
      </c>
      <c r="Q318" s="131">
        <f t="shared" si="62"/>
        <v>38.095238095238095</v>
      </c>
      <c r="R318" s="33">
        <f t="shared" si="60"/>
        <v>18</v>
      </c>
      <c r="S318" s="132">
        <f t="shared" si="63"/>
        <v>2.25</v>
      </c>
      <c r="T318" s="132">
        <f t="shared" si="64"/>
        <v>2.25</v>
      </c>
      <c r="V318" s="131">
        <f t="shared" si="65"/>
        <v>22.119815668202765</v>
      </c>
      <c r="W318" s="17">
        <v>31</v>
      </c>
      <c r="X318" s="8">
        <f>60*60*8/W318</f>
        <v>929.0322580645161</v>
      </c>
      <c r="Y318" s="161">
        <v>45630</v>
      </c>
      <c r="Z318" s="7" t="s">
        <v>7</v>
      </c>
      <c r="AA318" s="117"/>
      <c r="AB318" s="117"/>
      <c r="AC318" s="117"/>
      <c r="CH318">
        <v>1</v>
      </c>
      <c r="CI318">
        <v>55</v>
      </c>
    </row>
    <row r="319" spans="1:87" x14ac:dyDescent="0.3">
      <c r="A319" s="2">
        <v>220</v>
      </c>
      <c r="B319" s="2" t="s">
        <v>0</v>
      </c>
      <c r="C319" s="2" t="s">
        <v>1</v>
      </c>
      <c r="D319" s="2" t="s">
        <v>678</v>
      </c>
      <c r="E319" s="2">
        <v>800</v>
      </c>
      <c r="F319" s="2">
        <v>1.9300000000000001E-2</v>
      </c>
      <c r="G319" s="2">
        <v>1.7299999999999999E-2</v>
      </c>
      <c r="H319" s="4">
        <f t="shared" si="61"/>
        <v>0.10362694300518144</v>
      </c>
      <c r="I319" s="2" t="s">
        <v>82</v>
      </c>
      <c r="J319" s="2" t="s">
        <v>583</v>
      </c>
      <c r="K319" s="2" t="s">
        <v>5</v>
      </c>
      <c r="L319" s="2" t="s">
        <v>6</v>
      </c>
      <c r="M319" s="155"/>
      <c r="N319" s="155"/>
      <c r="O319" s="2">
        <v>20</v>
      </c>
      <c r="P319" s="6">
        <v>15</v>
      </c>
      <c r="Q319" s="131">
        <f t="shared" si="62"/>
        <v>48</v>
      </c>
      <c r="R319" s="33">
        <f t="shared" si="60"/>
        <v>15</v>
      </c>
      <c r="S319" s="132">
        <f t="shared" si="63"/>
        <v>1.875</v>
      </c>
      <c r="T319" s="132">
        <f t="shared" si="64"/>
        <v>1.875</v>
      </c>
      <c r="V319" s="131" t="str">
        <f t="shared" si="65"/>
        <v/>
      </c>
      <c r="W319" s="17"/>
      <c r="X319" s="7"/>
      <c r="Y319" s="161"/>
      <c r="Z319" s="7"/>
      <c r="AA319" s="117"/>
      <c r="AB319" s="117"/>
      <c r="AC319" s="117"/>
      <c r="CH319">
        <v>5</v>
      </c>
      <c r="CI319">
        <v>57</v>
      </c>
    </row>
    <row r="320" spans="1:87" x14ac:dyDescent="0.3">
      <c r="A320" s="2">
        <v>224</v>
      </c>
      <c r="B320" s="2" t="s">
        <v>84</v>
      </c>
      <c r="C320" s="2" t="s">
        <v>1</v>
      </c>
      <c r="D320" s="2" t="s">
        <v>679</v>
      </c>
      <c r="E320" s="2">
        <v>810</v>
      </c>
      <c r="F320" s="2">
        <v>3.0499999999999999E-2</v>
      </c>
      <c r="G320" s="2">
        <v>2.53E-2</v>
      </c>
      <c r="H320" s="4">
        <f t="shared" si="61"/>
        <v>0.17049180327868851</v>
      </c>
      <c r="I320" s="2" t="s">
        <v>98</v>
      </c>
      <c r="J320" s="2" t="s">
        <v>680</v>
      </c>
      <c r="K320" s="2" t="s">
        <v>105</v>
      </c>
      <c r="L320" s="2" t="s">
        <v>76</v>
      </c>
      <c r="M320" s="155"/>
      <c r="N320" s="155"/>
      <c r="O320" s="2">
        <v>6</v>
      </c>
      <c r="P320" s="6">
        <v>26</v>
      </c>
      <c r="Q320" s="131">
        <f t="shared" si="62"/>
        <v>8.2051282051282062</v>
      </c>
      <c r="R320" s="33">
        <f t="shared" si="60"/>
        <v>25.999999999999996</v>
      </c>
      <c r="S320" s="132">
        <f t="shared" si="63"/>
        <v>3.2499999999999996</v>
      </c>
      <c r="T320" s="132">
        <f t="shared" si="64"/>
        <v>3.2499999999999996</v>
      </c>
      <c r="V320" s="131" t="str">
        <f t="shared" si="65"/>
        <v/>
      </c>
      <c r="W320" s="17"/>
      <c r="X320" s="7"/>
      <c r="Y320" s="161"/>
      <c r="Z320" s="7"/>
      <c r="AA320" s="117"/>
      <c r="AB320" s="117"/>
      <c r="AC320" s="117"/>
      <c r="CH320">
        <v>3</v>
      </c>
      <c r="CI320">
        <v>42</v>
      </c>
    </row>
    <row r="321" spans="1:87" x14ac:dyDescent="0.3">
      <c r="A321" s="2">
        <v>225</v>
      </c>
      <c r="B321" s="2" t="s">
        <v>84</v>
      </c>
      <c r="C321" s="2" t="s">
        <v>1</v>
      </c>
      <c r="D321" s="2" t="s">
        <v>681</v>
      </c>
      <c r="E321" s="2">
        <v>810</v>
      </c>
      <c r="F321" s="2">
        <v>3.6200000000000003E-2</v>
      </c>
      <c r="G321" s="2"/>
      <c r="H321" s="4">
        <f t="shared" si="61"/>
        <v>1</v>
      </c>
      <c r="I321" s="2" t="s">
        <v>98</v>
      </c>
      <c r="J321" s="2" t="s">
        <v>99</v>
      </c>
      <c r="K321" s="2" t="s">
        <v>105</v>
      </c>
      <c r="L321" s="2" t="s">
        <v>76</v>
      </c>
      <c r="M321" s="155"/>
      <c r="N321" s="155"/>
      <c r="O321" s="2">
        <v>6</v>
      </c>
      <c r="P321" s="6">
        <v>22</v>
      </c>
      <c r="Q321" s="131">
        <f t="shared" si="62"/>
        <v>9.6969696969696972</v>
      </c>
      <c r="R321" s="33">
        <f t="shared" si="60"/>
        <v>22</v>
      </c>
      <c r="S321" s="132">
        <f t="shared" si="63"/>
        <v>2.75</v>
      </c>
      <c r="T321" s="132">
        <f t="shared" si="64"/>
        <v>2.75</v>
      </c>
      <c r="V321" s="131" t="str">
        <f t="shared" si="65"/>
        <v/>
      </c>
      <c r="W321" s="17"/>
      <c r="X321" s="7"/>
      <c r="Y321" s="161"/>
      <c r="Z321" s="7"/>
      <c r="AA321" s="117"/>
      <c r="AB321" s="117"/>
      <c r="AC321" s="117"/>
      <c r="CH321">
        <v>6</v>
      </c>
      <c r="CI321">
        <v>33</v>
      </c>
    </row>
    <row r="322" spans="1:87" x14ac:dyDescent="0.3">
      <c r="A322" s="2">
        <v>226</v>
      </c>
      <c r="B322" s="2" t="s">
        <v>84</v>
      </c>
      <c r="C322" s="2" t="s">
        <v>1</v>
      </c>
      <c r="D322" s="2" t="s">
        <v>682</v>
      </c>
      <c r="E322" s="2">
        <v>810</v>
      </c>
      <c r="F322" s="2">
        <v>3.0499999999999999E-2</v>
      </c>
      <c r="G322" s="2">
        <v>2.53E-2</v>
      </c>
      <c r="H322" s="4">
        <f t="shared" si="61"/>
        <v>0.17049180327868851</v>
      </c>
      <c r="I322" s="2" t="s">
        <v>98</v>
      </c>
      <c r="J322" s="2" t="s">
        <v>683</v>
      </c>
      <c r="K322" s="2" t="s">
        <v>105</v>
      </c>
      <c r="L322" s="2" t="s">
        <v>76</v>
      </c>
      <c r="M322" s="155"/>
      <c r="N322" s="155"/>
      <c r="O322" s="2">
        <v>6</v>
      </c>
      <c r="P322" s="6">
        <v>26</v>
      </c>
      <c r="Q322" s="131">
        <f t="shared" si="62"/>
        <v>8.2051282051282062</v>
      </c>
      <c r="R322" s="33">
        <f t="shared" si="60"/>
        <v>25.999999999999996</v>
      </c>
      <c r="S322" s="132">
        <f t="shared" si="63"/>
        <v>3.2499999999999996</v>
      </c>
      <c r="T322" s="132">
        <f t="shared" si="64"/>
        <v>3.2499999999999996</v>
      </c>
      <c r="V322" s="131" t="str">
        <f t="shared" si="65"/>
        <v/>
      </c>
      <c r="W322" s="17"/>
      <c r="X322" s="7"/>
      <c r="Y322" s="161"/>
      <c r="Z322" s="7"/>
      <c r="AA322" s="117"/>
      <c r="AB322" s="117"/>
      <c r="AC322" s="117"/>
      <c r="CH322">
        <v>6</v>
      </c>
      <c r="CI322">
        <v>88</v>
      </c>
    </row>
    <row r="323" spans="1:87" x14ac:dyDescent="0.3">
      <c r="A323" s="23">
        <v>227</v>
      </c>
      <c r="B323" s="2" t="s">
        <v>0</v>
      </c>
      <c r="C323" s="2" t="s">
        <v>1</v>
      </c>
      <c r="D323" s="2" t="s">
        <v>684</v>
      </c>
      <c r="E323" s="2">
        <v>720</v>
      </c>
      <c r="F323" s="2">
        <v>3.5400000000000001E-2</v>
      </c>
      <c r="G323" s="2">
        <v>2.8899999999999999E-2</v>
      </c>
      <c r="H323" s="4">
        <f t="shared" si="61"/>
        <v>0.1836158192090396</v>
      </c>
      <c r="I323" s="2" t="s">
        <v>98</v>
      </c>
      <c r="J323" s="2" t="s">
        <v>685</v>
      </c>
      <c r="K323" s="2" t="s">
        <v>261</v>
      </c>
      <c r="L323" s="2" t="s">
        <v>76</v>
      </c>
      <c r="M323" s="155">
        <v>4</v>
      </c>
      <c r="N323" s="155">
        <v>180</v>
      </c>
      <c r="O323" s="2">
        <v>6</v>
      </c>
      <c r="P323" s="6">
        <v>17</v>
      </c>
      <c r="Q323" s="131">
        <f t="shared" si="62"/>
        <v>14.117647058823529</v>
      </c>
      <c r="R323" s="33">
        <f t="shared" si="60"/>
        <v>17</v>
      </c>
      <c r="S323" s="132">
        <f t="shared" si="63"/>
        <v>2.125</v>
      </c>
      <c r="T323" s="132">
        <f t="shared" si="64"/>
        <v>2.125</v>
      </c>
      <c r="V323" s="131">
        <f t="shared" si="65"/>
        <v>8</v>
      </c>
      <c r="W323" s="17">
        <v>30</v>
      </c>
      <c r="X323" s="8">
        <f>60*60*8/W323</f>
        <v>960</v>
      </c>
      <c r="Y323" s="161">
        <v>45307</v>
      </c>
      <c r="Z323" s="7" t="s">
        <v>7</v>
      </c>
      <c r="AA323" s="117"/>
      <c r="AB323" s="117"/>
      <c r="AC323" s="117"/>
      <c r="AD323" s="22">
        <v>45526</v>
      </c>
      <c r="AE323">
        <v>3</v>
      </c>
      <c r="AF323">
        <v>4</v>
      </c>
      <c r="AG323">
        <v>1.8</v>
      </c>
      <c r="AK323">
        <v>7</v>
      </c>
      <c r="AL323">
        <v>6.5</v>
      </c>
      <c r="AN323">
        <v>11</v>
      </c>
      <c r="AO323">
        <v>0.6</v>
      </c>
      <c r="AP323">
        <v>0.2</v>
      </c>
      <c r="AS323">
        <v>30</v>
      </c>
      <c r="AT323">
        <v>6.5</v>
      </c>
      <c r="AU323">
        <v>17.5</v>
      </c>
      <c r="AV323">
        <v>109</v>
      </c>
      <c r="AW323">
        <v>121</v>
      </c>
      <c r="AX323">
        <v>20</v>
      </c>
      <c r="AY323">
        <v>51</v>
      </c>
      <c r="AZ323">
        <v>94</v>
      </c>
      <c r="BA323">
        <v>115</v>
      </c>
      <c r="BB323">
        <v>430</v>
      </c>
      <c r="CH323">
        <v>1</v>
      </c>
      <c r="CI323">
        <v>55</v>
      </c>
    </row>
    <row r="324" spans="1:87" x14ac:dyDescent="0.3">
      <c r="A324" s="23">
        <v>228</v>
      </c>
      <c r="B324" s="2" t="s">
        <v>0</v>
      </c>
      <c r="C324" s="2" t="s">
        <v>1</v>
      </c>
      <c r="D324" s="2" t="s">
        <v>686</v>
      </c>
      <c r="E324" s="2">
        <v>500</v>
      </c>
      <c r="F324" s="2">
        <v>2.5000000000000001E-2</v>
      </c>
      <c r="G324" s="2">
        <v>1.6299999999999999E-2</v>
      </c>
      <c r="H324" s="4">
        <f t="shared" si="61"/>
        <v>0.34800000000000009</v>
      </c>
      <c r="I324" s="2" t="s">
        <v>98</v>
      </c>
      <c r="J324" s="2" t="s">
        <v>687</v>
      </c>
      <c r="K324" s="2" t="s">
        <v>90</v>
      </c>
      <c r="L324" s="2" t="s">
        <v>6</v>
      </c>
      <c r="M324" s="155"/>
      <c r="N324" s="155"/>
      <c r="O324" s="2">
        <v>8</v>
      </c>
      <c r="P324" s="6">
        <v>26</v>
      </c>
      <c r="Q324" s="131">
        <f t="shared" si="62"/>
        <v>17.723076923076924</v>
      </c>
      <c r="R324" s="33">
        <f t="shared" si="60"/>
        <v>26</v>
      </c>
      <c r="S324" s="132">
        <f t="shared" si="63"/>
        <v>3.25</v>
      </c>
      <c r="T324" s="132">
        <f t="shared" si="64"/>
        <v>3.25</v>
      </c>
      <c r="V324" s="131">
        <f t="shared" si="65"/>
        <v>16.665461121157325</v>
      </c>
      <c r="W324" s="17">
        <v>27.65</v>
      </c>
      <c r="X324" s="8">
        <f>60*60*8/W324</f>
        <v>1041.5913200723328</v>
      </c>
      <c r="Y324" s="161">
        <v>45359</v>
      </c>
      <c r="Z324" s="7" t="s">
        <v>7</v>
      </c>
      <c r="AA324" s="117"/>
      <c r="AB324" s="117"/>
      <c r="AC324" s="117"/>
      <c r="AD324" s="22">
        <v>45528</v>
      </c>
      <c r="AE324">
        <v>8</v>
      </c>
      <c r="AF324">
        <v>3.8</v>
      </c>
      <c r="AG324">
        <v>1.8</v>
      </c>
      <c r="AI324">
        <v>0.1</v>
      </c>
      <c r="AJ324">
        <v>0.2</v>
      </c>
      <c r="AK324">
        <v>6</v>
      </c>
      <c r="AL324">
        <v>5.5</v>
      </c>
      <c r="AN324">
        <v>10</v>
      </c>
      <c r="AS324">
        <v>27.65</v>
      </c>
      <c r="AT324">
        <v>6.5</v>
      </c>
      <c r="AU324">
        <v>16</v>
      </c>
      <c r="AV324">
        <v>109</v>
      </c>
      <c r="AW324">
        <v>112.2</v>
      </c>
      <c r="AX324">
        <v>12</v>
      </c>
      <c r="AY324">
        <v>24</v>
      </c>
      <c r="AZ324">
        <v>101</v>
      </c>
      <c r="BA324">
        <v>112</v>
      </c>
      <c r="BB324">
        <v>420</v>
      </c>
      <c r="CH324">
        <v>5</v>
      </c>
      <c r="CI324">
        <v>50</v>
      </c>
    </row>
    <row r="325" spans="1:87" x14ac:dyDescent="0.3">
      <c r="A325" s="2">
        <v>229</v>
      </c>
      <c r="B325" s="2" t="s">
        <v>84</v>
      </c>
      <c r="C325" s="2" t="s">
        <v>1</v>
      </c>
      <c r="D325" s="2" t="s">
        <v>688</v>
      </c>
      <c r="E325" s="2">
        <v>500</v>
      </c>
      <c r="F325" s="2">
        <v>2.5000000000000001E-2</v>
      </c>
      <c r="G325" s="2">
        <v>1.6299999999999999E-2</v>
      </c>
      <c r="H325" s="4">
        <f t="shared" si="61"/>
        <v>0.34800000000000009</v>
      </c>
      <c r="I325" s="2" t="s">
        <v>98</v>
      </c>
      <c r="J325" s="2" t="s">
        <v>689</v>
      </c>
      <c r="K325" s="2" t="s">
        <v>90</v>
      </c>
      <c r="L325" s="2" t="s">
        <v>6</v>
      </c>
      <c r="M325" s="155"/>
      <c r="N325" s="155"/>
      <c r="O325" s="2">
        <v>8</v>
      </c>
      <c r="P325" s="6"/>
      <c r="Q325" s="131" t="str">
        <f t="shared" si="62"/>
        <v/>
      </c>
      <c r="R325" s="33" t="str">
        <f t="shared" si="60"/>
        <v/>
      </c>
      <c r="S325" s="132" t="str">
        <f t="shared" si="63"/>
        <v/>
      </c>
      <c r="T325" s="132" t="str">
        <f t="shared" si="64"/>
        <v/>
      </c>
      <c r="V325" s="131" t="str">
        <f t="shared" si="65"/>
        <v/>
      </c>
      <c r="W325" s="17"/>
      <c r="X325" s="7"/>
      <c r="Y325" s="161"/>
      <c r="Z325" s="7"/>
      <c r="AA325" s="117"/>
      <c r="AB325" s="117"/>
      <c r="AC325" s="117"/>
      <c r="CH325">
        <v>2</v>
      </c>
      <c r="CI325">
        <v>38</v>
      </c>
    </row>
    <row r="326" spans="1:87" x14ac:dyDescent="0.3">
      <c r="A326" s="2">
        <v>230</v>
      </c>
      <c r="B326" s="2" t="s">
        <v>84</v>
      </c>
      <c r="C326" s="2" t="s">
        <v>1</v>
      </c>
      <c r="D326" s="2" t="s">
        <v>690</v>
      </c>
      <c r="E326" s="2">
        <v>720</v>
      </c>
      <c r="F326" s="2">
        <v>3.5400000000000001E-2</v>
      </c>
      <c r="G326" s="2">
        <v>2.8899999999999999E-2</v>
      </c>
      <c r="H326" s="4">
        <f t="shared" si="61"/>
        <v>0.1836158192090396</v>
      </c>
      <c r="I326" s="2" t="s">
        <v>98</v>
      </c>
      <c r="J326" s="2" t="s">
        <v>685</v>
      </c>
      <c r="K326" s="2" t="s">
        <v>261</v>
      </c>
      <c r="L326" s="2" t="s">
        <v>76</v>
      </c>
      <c r="M326" s="155"/>
      <c r="N326" s="155"/>
      <c r="O326" s="2">
        <v>6</v>
      </c>
      <c r="P326" s="6"/>
      <c r="Q326" s="131" t="str">
        <f t="shared" si="62"/>
        <v/>
      </c>
      <c r="R326" s="33" t="str">
        <f t="shared" si="60"/>
        <v/>
      </c>
      <c r="S326" s="132" t="str">
        <f t="shared" si="63"/>
        <v/>
      </c>
      <c r="T326" s="132" t="str">
        <f t="shared" si="64"/>
        <v/>
      </c>
      <c r="V326" s="131" t="str">
        <f t="shared" si="65"/>
        <v/>
      </c>
      <c r="W326" s="17"/>
      <c r="X326" s="7"/>
      <c r="Y326" s="161"/>
      <c r="Z326" s="7"/>
      <c r="AA326" s="117"/>
      <c r="AB326" s="117"/>
      <c r="AC326" s="117"/>
      <c r="CH326">
        <v>1</v>
      </c>
      <c r="CI326">
        <v>74</v>
      </c>
    </row>
    <row r="327" spans="1:87" x14ac:dyDescent="0.3">
      <c r="A327" s="2">
        <v>231</v>
      </c>
      <c r="B327" s="2" t="s">
        <v>84</v>
      </c>
      <c r="C327" s="2" t="s">
        <v>1</v>
      </c>
      <c r="D327" s="2" t="s">
        <v>691</v>
      </c>
      <c r="E327" s="2">
        <v>800</v>
      </c>
      <c r="F327" s="2">
        <v>2.9499999999999998E-2</v>
      </c>
      <c r="G327" s="2"/>
      <c r="H327" s="4">
        <f t="shared" si="61"/>
        <v>1</v>
      </c>
      <c r="I327" s="2" t="s">
        <v>98</v>
      </c>
      <c r="J327" s="2" t="s">
        <v>692</v>
      </c>
      <c r="K327" s="2" t="s">
        <v>222</v>
      </c>
      <c r="L327" s="2" t="s">
        <v>76</v>
      </c>
      <c r="M327" s="155"/>
      <c r="N327" s="155"/>
      <c r="O327" s="2">
        <v>6</v>
      </c>
      <c r="P327" s="6">
        <v>12</v>
      </c>
      <c r="Q327" s="131">
        <f t="shared" si="62"/>
        <v>18</v>
      </c>
      <c r="R327" s="33">
        <f t="shared" si="60"/>
        <v>12</v>
      </c>
      <c r="S327" s="132">
        <f t="shared" si="63"/>
        <v>1.5</v>
      </c>
      <c r="T327" s="132">
        <f t="shared" si="64"/>
        <v>1.5</v>
      </c>
      <c r="V327" s="131" t="str">
        <f t="shared" si="65"/>
        <v/>
      </c>
      <c r="W327" s="17"/>
      <c r="X327" s="7"/>
      <c r="Y327" s="161"/>
      <c r="Z327" s="7"/>
      <c r="AA327" s="117"/>
      <c r="AB327" s="117"/>
      <c r="AC327" s="117"/>
      <c r="CH327">
        <v>3</v>
      </c>
      <c r="CI327">
        <v>69</v>
      </c>
    </row>
    <row r="328" spans="1:87" x14ac:dyDescent="0.3">
      <c r="A328" s="2">
        <v>232</v>
      </c>
      <c r="B328" s="2" t="s">
        <v>84</v>
      </c>
      <c r="C328" s="2" t="s">
        <v>1</v>
      </c>
      <c r="D328" s="2" t="s">
        <v>693</v>
      </c>
      <c r="E328" s="2">
        <v>800</v>
      </c>
      <c r="F328" s="2">
        <v>2.9499999999999998E-2</v>
      </c>
      <c r="G328" s="2"/>
      <c r="H328" s="4">
        <f t="shared" si="61"/>
        <v>1</v>
      </c>
      <c r="I328" s="2" t="s">
        <v>98</v>
      </c>
      <c r="J328" s="2" t="s">
        <v>687</v>
      </c>
      <c r="K328" s="2" t="s">
        <v>222</v>
      </c>
      <c r="L328" s="2" t="s">
        <v>76</v>
      </c>
      <c r="M328" s="155"/>
      <c r="N328" s="155"/>
      <c r="O328" s="2">
        <v>6</v>
      </c>
      <c r="P328" s="6">
        <v>12</v>
      </c>
      <c r="Q328" s="131">
        <f t="shared" si="62"/>
        <v>18</v>
      </c>
      <c r="R328" s="33">
        <f t="shared" si="60"/>
        <v>12</v>
      </c>
      <c r="S328" s="132">
        <f t="shared" si="63"/>
        <v>1.5</v>
      </c>
      <c r="T328" s="132">
        <f t="shared" si="64"/>
        <v>1.5</v>
      </c>
      <c r="V328" s="131" t="str">
        <f t="shared" si="65"/>
        <v/>
      </c>
      <c r="W328" s="17"/>
      <c r="X328" s="7"/>
      <c r="Y328" s="161"/>
      <c r="Z328" s="7"/>
      <c r="AA328" s="117"/>
      <c r="AB328" s="117"/>
      <c r="AC328" s="117"/>
      <c r="CH328">
        <v>6</v>
      </c>
      <c r="CI328">
        <v>86</v>
      </c>
    </row>
    <row r="329" spans="1:87" x14ac:dyDescent="0.3">
      <c r="A329" s="2">
        <v>237</v>
      </c>
      <c r="B329" s="2" t="s">
        <v>0</v>
      </c>
      <c r="C329" s="2" t="s">
        <v>1</v>
      </c>
      <c r="D329" s="2" t="s">
        <v>694</v>
      </c>
      <c r="E329" s="2">
        <v>40</v>
      </c>
      <c r="F329" s="2">
        <v>0.32340000000000002</v>
      </c>
      <c r="G329" s="2">
        <v>0.24199999999999999</v>
      </c>
      <c r="H329" s="4">
        <f t="shared" si="61"/>
        <v>0.2517006802721089</v>
      </c>
      <c r="I329" s="2" t="s">
        <v>98</v>
      </c>
      <c r="J329" s="2" t="s">
        <v>624</v>
      </c>
      <c r="K329" s="2" t="s">
        <v>105</v>
      </c>
      <c r="L329" s="2" t="s">
        <v>76</v>
      </c>
      <c r="M329" s="155"/>
      <c r="N329" s="155"/>
      <c r="O329" s="2">
        <v>2</v>
      </c>
      <c r="P329" s="6">
        <v>20</v>
      </c>
      <c r="Q329" s="131">
        <f t="shared" si="62"/>
        <v>72</v>
      </c>
      <c r="R329" s="33">
        <f t="shared" si="60"/>
        <v>20</v>
      </c>
      <c r="S329" s="132">
        <f t="shared" si="63"/>
        <v>2.5</v>
      </c>
      <c r="T329" s="132">
        <f t="shared" si="64"/>
        <v>2.5</v>
      </c>
      <c r="V329" s="131" t="str">
        <f t="shared" si="65"/>
        <v/>
      </c>
      <c r="W329" s="17"/>
      <c r="X329" s="7"/>
      <c r="Y329" s="161"/>
      <c r="Z329" s="7"/>
      <c r="AA329" s="117"/>
      <c r="AB329" s="117"/>
      <c r="AC329" s="117"/>
      <c r="CH329">
        <v>4</v>
      </c>
      <c r="CI329">
        <v>55</v>
      </c>
    </row>
    <row r="330" spans="1:87" x14ac:dyDescent="0.3">
      <c r="A330" s="2">
        <v>238</v>
      </c>
      <c r="B330" s="2" t="s">
        <v>0</v>
      </c>
      <c r="C330" s="2" t="s">
        <v>1</v>
      </c>
      <c r="D330" s="2" t="s">
        <v>695</v>
      </c>
      <c r="E330" s="2">
        <v>52</v>
      </c>
      <c r="F330" s="2">
        <v>0.32340000000000002</v>
      </c>
      <c r="G330" s="2">
        <v>0.24199999999999999</v>
      </c>
      <c r="H330" s="4">
        <f t="shared" si="61"/>
        <v>0.2517006802721089</v>
      </c>
      <c r="I330" s="2" t="s">
        <v>98</v>
      </c>
      <c r="J330" s="2" t="s">
        <v>624</v>
      </c>
      <c r="K330" s="2" t="s">
        <v>105</v>
      </c>
      <c r="L330" s="2" t="s">
        <v>76</v>
      </c>
      <c r="M330" s="155"/>
      <c r="N330" s="155"/>
      <c r="O330" s="2">
        <v>3</v>
      </c>
      <c r="P330" s="6">
        <v>20</v>
      </c>
      <c r="Q330" s="131">
        <f t="shared" si="62"/>
        <v>83.076923076923066</v>
      </c>
      <c r="R330" s="33">
        <f t="shared" si="60"/>
        <v>20</v>
      </c>
      <c r="S330" s="132">
        <f t="shared" si="63"/>
        <v>2.5</v>
      </c>
      <c r="T330" s="132">
        <f t="shared" si="64"/>
        <v>2.5</v>
      </c>
      <c r="V330" s="131" t="str">
        <f t="shared" si="65"/>
        <v/>
      </c>
      <c r="W330" s="17"/>
      <c r="X330" s="7"/>
      <c r="Y330" s="161"/>
      <c r="Z330" s="7"/>
      <c r="AA330" s="117"/>
      <c r="AB330" s="117"/>
      <c r="AC330" s="117"/>
      <c r="CH330">
        <v>1</v>
      </c>
      <c r="CI330">
        <v>57</v>
      </c>
    </row>
    <row r="331" spans="1:87" x14ac:dyDescent="0.3">
      <c r="A331" s="2">
        <v>239</v>
      </c>
      <c r="B331" s="2" t="s">
        <v>0</v>
      </c>
      <c r="C331" s="2" t="s">
        <v>1</v>
      </c>
      <c r="D331" s="2" t="s">
        <v>696</v>
      </c>
      <c r="E331" s="2">
        <v>6120</v>
      </c>
      <c r="F331" s="2">
        <v>3.0000000000000001E-3</v>
      </c>
      <c r="G331" s="2">
        <v>2.3999999999999998E-3</v>
      </c>
      <c r="H331" s="4">
        <f t="shared" si="61"/>
        <v>0.20000000000000009</v>
      </c>
      <c r="I331" s="2" t="s">
        <v>697</v>
      </c>
      <c r="J331" s="2" t="s">
        <v>698</v>
      </c>
      <c r="K331" s="2" t="s">
        <v>5</v>
      </c>
      <c r="L331" s="2" t="s">
        <v>6</v>
      </c>
      <c r="M331" s="155"/>
      <c r="N331" s="155"/>
      <c r="O331" s="2">
        <v>48</v>
      </c>
      <c r="P331" s="6">
        <v>9</v>
      </c>
      <c r="Q331" s="131">
        <f t="shared" si="62"/>
        <v>25.098039215686274</v>
      </c>
      <c r="R331" s="33">
        <f t="shared" si="60"/>
        <v>9</v>
      </c>
      <c r="S331" s="132">
        <f t="shared" si="63"/>
        <v>1.125</v>
      </c>
      <c r="T331" s="132">
        <f t="shared" si="64"/>
        <v>1.125</v>
      </c>
      <c r="V331" s="131" t="str">
        <f t="shared" si="65"/>
        <v/>
      </c>
      <c r="W331" s="17"/>
      <c r="X331" s="7"/>
      <c r="Y331" s="161"/>
      <c r="Z331" s="7"/>
      <c r="AA331" s="117"/>
      <c r="AB331" s="117"/>
      <c r="AC331" s="117"/>
      <c r="CH331">
        <v>6</v>
      </c>
      <c r="CI331">
        <v>76</v>
      </c>
    </row>
    <row r="332" spans="1:87" x14ac:dyDescent="0.3">
      <c r="A332" s="2">
        <v>240</v>
      </c>
      <c r="B332" s="2" t="s">
        <v>0</v>
      </c>
      <c r="C332" s="2" t="s">
        <v>1</v>
      </c>
      <c r="D332" s="2" t="s">
        <v>699</v>
      </c>
      <c r="E332" s="2">
        <v>60</v>
      </c>
      <c r="F332" s="2">
        <v>0.32340000000000002</v>
      </c>
      <c r="G332" s="2">
        <v>0.24199999999999999</v>
      </c>
      <c r="H332" s="4">
        <f t="shared" si="61"/>
        <v>0.2517006802721089</v>
      </c>
      <c r="I332" s="2" t="s">
        <v>98</v>
      </c>
      <c r="J332" s="2" t="s">
        <v>700</v>
      </c>
      <c r="K332" s="2" t="s">
        <v>105</v>
      </c>
      <c r="L332" s="2" t="s">
        <v>76</v>
      </c>
      <c r="M332" s="155"/>
      <c r="N332" s="155"/>
      <c r="O332" s="2">
        <v>3</v>
      </c>
      <c r="P332" s="6">
        <v>20</v>
      </c>
      <c r="Q332" s="131">
        <f t="shared" si="62"/>
        <v>72</v>
      </c>
      <c r="R332" s="33">
        <f t="shared" si="60"/>
        <v>20</v>
      </c>
      <c r="S332" s="132">
        <f t="shared" si="63"/>
        <v>2.5</v>
      </c>
      <c r="T332" s="132">
        <f t="shared" si="64"/>
        <v>2.5</v>
      </c>
      <c r="V332" s="131" t="str">
        <f t="shared" si="65"/>
        <v/>
      </c>
      <c r="W332" s="17"/>
      <c r="X332" s="7"/>
      <c r="Y332" s="161"/>
      <c r="Z332" s="7"/>
      <c r="AA332" s="117"/>
      <c r="AB332" s="117"/>
      <c r="AC332" s="117"/>
      <c r="CH332">
        <v>5</v>
      </c>
      <c r="CI332">
        <v>76</v>
      </c>
    </row>
    <row r="333" spans="1:87" x14ac:dyDescent="0.3">
      <c r="A333" s="2">
        <v>241</v>
      </c>
      <c r="B333" s="2" t="s">
        <v>0</v>
      </c>
      <c r="C333" s="2" t="s">
        <v>1</v>
      </c>
      <c r="D333" s="2" t="s">
        <v>701</v>
      </c>
      <c r="E333" s="2">
        <v>30</v>
      </c>
      <c r="F333" s="2">
        <v>0.32340000000000002</v>
      </c>
      <c r="G333" s="2">
        <v>0.24199999999999999</v>
      </c>
      <c r="H333" s="4">
        <f t="shared" si="61"/>
        <v>0.2517006802721089</v>
      </c>
      <c r="I333" s="2" t="s">
        <v>98</v>
      </c>
      <c r="J333" s="2" t="s">
        <v>624</v>
      </c>
      <c r="K333" s="2" t="s">
        <v>105</v>
      </c>
      <c r="L333" s="2" t="s">
        <v>76</v>
      </c>
      <c r="M333" s="155"/>
      <c r="N333" s="155"/>
      <c r="O333" s="2">
        <v>3</v>
      </c>
      <c r="P333" s="6">
        <v>20</v>
      </c>
      <c r="Q333" s="131">
        <f t="shared" si="62"/>
        <v>144</v>
      </c>
      <c r="R333" s="33">
        <f t="shared" si="60"/>
        <v>20</v>
      </c>
      <c r="S333" s="132">
        <f t="shared" si="63"/>
        <v>2.5</v>
      </c>
      <c r="T333" s="132">
        <f t="shared" si="64"/>
        <v>2.5</v>
      </c>
      <c r="V333" s="131" t="str">
        <f t="shared" si="65"/>
        <v/>
      </c>
      <c r="W333" s="17"/>
      <c r="X333" s="7"/>
      <c r="Y333" s="161"/>
      <c r="Z333" s="7"/>
      <c r="AA333" s="117"/>
      <c r="AB333" s="117"/>
      <c r="AC333" s="117"/>
      <c r="CH333">
        <v>3</v>
      </c>
      <c r="CI333">
        <v>81</v>
      </c>
    </row>
    <row r="334" spans="1:87" x14ac:dyDescent="0.3">
      <c r="A334" s="23">
        <v>242</v>
      </c>
      <c r="B334" s="2" t="s">
        <v>0</v>
      </c>
      <c r="C334" s="2" t="s">
        <v>1</v>
      </c>
      <c r="D334" s="2" t="s">
        <v>702</v>
      </c>
      <c r="E334" s="2">
        <v>40</v>
      </c>
      <c r="F334" s="2">
        <v>0.32340000000000002</v>
      </c>
      <c r="G334" s="2">
        <v>0.24199999999999999</v>
      </c>
      <c r="H334" s="4">
        <f t="shared" si="61"/>
        <v>0.2517006802721089</v>
      </c>
      <c r="I334" s="2" t="s">
        <v>98</v>
      </c>
      <c r="J334" s="2" t="s">
        <v>703</v>
      </c>
      <c r="K334" s="2" t="s">
        <v>105</v>
      </c>
      <c r="L334" s="2" t="s">
        <v>76</v>
      </c>
      <c r="M334" s="155"/>
      <c r="N334" s="155"/>
      <c r="O334" s="2">
        <v>3</v>
      </c>
      <c r="P334" s="6">
        <v>20</v>
      </c>
      <c r="Q334" s="131">
        <f t="shared" si="62"/>
        <v>108</v>
      </c>
      <c r="R334" s="33">
        <f t="shared" si="60"/>
        <v>20</v>
      </c>
      <c r="S334" s="132">
        <f t="shared" si="63"/>
        <v>2.5</v>
      </c>
      <c r="T334" s="132">
        <f t="shared" si="64"/>
        <v>2.5</v>
      </c>
      <c r="V334" s="131">
        <f t="shared" si="65"/>
        <v>35.36</v>
      </c>
      <c r="W334" s="134">
        <v>61.085972850678736</v>
      </c>
      <c r="X334" s="8">
        <f>60*60*8/W334</f>
        <v>471.46666666666664</v>
      </c>
      <c r="Y334" s="161">
        <v>45331</v>
      </c>
      <c r="Z334" s="7" t="s">
        <v>704</v>
      </c>
      <c r="AA334" s="117"/>
      <c r="AB334" s="117"/>
      <c r="AC334" s="117"/>
      <c r="CH334">
        <v>2</v>
      </c>
      <c r="CI334">
        <v>73</v>
      </c>
    </row>
    <row r="335" spans="1:87" x14ac:dyDescent="0.3">
      <c r="A335" s="23">
        <v>243</v>
      </c>
      <c r="B335" s="2" t="s">
        <v>0</v>
      </c>
      <c r="C335" s="2" t="s">
        <v>1</v>
      </c>
      <c r="D335" s="2" t="s">
        <v>705</v>
      </c>
      <c r="E335" s="2">
        <v>2000</v>
      </c>
      <c r="F335" s="2">
        <v>5.4999999999999997E-3</v>
      </c>
      <c r="G335" s="2">
        <v>4.5999999999999999E-3</v>
      </c>
      <c r="H335" s="4">
        <f t="shared" si="61"/>
        <v>0.16363636363636361</v>
      </c>
      <c r="I335" s="2" t="s">
        <v>697</v>
      </c>
      <c r="J335" s="2" t="s">
        <v>410</v>
      </c>
      <c r="K335" s="2" t="s">
        <v>5</v>
      </c>
      <c r="L335" s="2" t="s">
        <v>6</v>
      </c>
      <c r="M335" s="155"/>
      <c r="N335" s="155"/>
      <c r="O335" s="2">
        <v>35</v>
      </c>
      <c r="P335" s="6">
        <v>14</v>
      </c>
      <c r="Q335" s="131">
        <f t="shared" si="62"/>
        <v>36</v>
      </c>
      <c r="R335" s="33">
        <f t="shared" si="60"/>
        <v>14</v>
      </c>
      <c r="S335" s="132">
        <f t="shared" si="63"/>
        <v>1.75</v>
      </c>
      <c r="T335" s="132">
        <f t="shared" si="64"/>
        <v>1.75</v>
      </c>
      <c r="V335" s="131">
        <f t="shared" si="65"/>
        <v>16.8</v>
      </c>
      <c r="W335" s="17">
        <v>30</v>
      </c>
      <c r="X335" s="8">
        <f>60*60*8/W335</f>
        <v>960</v>
      </c>
      <c r="Y335" s="161">
        <v>45307</v>
      </c>
      <c r="Z335" s="7" t="s">
        <v>7</v>
      </c>
      <c r="AA335" s="117"/>
      <c r="AB335" s="117"/>
      <c r="AC335" s="117"/>
      <c r="CH335">
        <v>5</v>
      </c>
      <c r="CI335">
        <v>79</v>
      </c>
    </row>
    <row r="336" spans="1:87" x14ac:dyDescent="0.3">
      <c r="A336" s="2">
        <v>244</v>
      </c>
      <c r="B336" s="2" t="s">
        <v>0</v>
      </c>
      <c r="C336" s="2" t="s">
        <v>1</v>
      </c>
      <c r="D336" s="2" t="s">
        <v>706</v>
      </c>
      <c r="E336" s="2">
        <v>3570</v>
      </c>
      <c r="F336" s="2">
        <v>5.4999999999999997E-3</v>
      </c>
      <c r="G336" s="2">
        <v>4.5999999999999999E-3</v>
      </c>
      <c r="H336" s="4">
        <f t="shared" si="61"/>
        <v>0.16363636363636361</v>
      </c>
      <c r="I336" s="2" t="s">
        <v>697</v>
      </c>
      <c r="J336" s="2" t="s">
        <v>410</v>
      </c>
      <c r="K336" s="2" t="s">
        <v>5</v>
      </c>
      <c r="L336" s="2" t="s">
        <v>6</v>
      </c>
      <c r="M336" s="155"/>
      <c r="N336" s="155"/>
      <c r="O336" s="2">
        <v>35</v>
      </c>
      <c r="P336" s="6">
        <v>9</v>
      </c>
      <c r="Q336" s="131">
        <f t="shared" si="62"/>
        <v>31.372549019607845</v>
      </c>
      <c r="R336" s="33">
        <f t="shared" si="60"/>
        <v>9</v>
      </c>
      <c r="S336" s="132">
        <f t="shared" si="63"/>
        <v>1.125</v>
      </c>
      <c r="T336" s="132">
        <f t="shared" si="64"/>
        <v>1.125</v>
      </c>
      <c r="V336" s="131" t="str">
        <f t="shared" si="65"/>
        <v/>
      </c>
      <c r="W336" s="17"/>
      <c r="X336" s="7"/>
      <c r="Y336" s="161"/>
      <c r="Z336" s="7"/>
      <c r="AA336" s="117"/>
      <c r="AB336" s="117"/>
      <c r="AC336" s="117"/>
      <c r="CH336">
        <v>5</v>
      </c>
      <c r="CI336">
        <v>84</v>
      </c>
    </row>
    <row r="337" spans="1:87" x14ac:dyDescent="0.3">
      <c r="A337" s="2">
        <v>245</v>
      </c>
      <c r="B337" s="2" t="s">
        <v>0</v>
      </c>
      <c r="C337" s="2" t="s">
        <v>1</v>
      </c>
      <c r="D337" s="2" t="s">
        <v>707</v>
      </c>
      <c r="E337" s="2">
        <v>40</v>
      </c>
      <c r="F337" s="2">
        <v>0.32340000000000002</v>
      </c>
      <c r="G337" s="2">
        <v>0.24199999999999999</v>
      </c>
      <c r="H337" s="4">
        <f t="shared" si="61"/>
        <v>0.2517006802721089</v>
      </c>
      <c r="I337" s="2" t="s">
        <v>98</v>
      </c>
      <c r="J337" s="2" t="s">
        <v>700</v>
      </c>
      <c r="K337" s="2" t="s">
        <v>105</v>
      </c>
      <c r="L337" s="2" t="s">
        <v>76</v>
      </c>
      <c r="M337" s="155"/>
      <c r="N337" s="155"/>
      <c r="O337" s="2">
        <v>3</v>
      </c>
      <c r="P337" s="6">
        <v>20</v>
      </c>
      <c r="Q337" s="131">
        <f t="shared" si="62"/>
        <v>108</v>
      </c>
      <c r="R337" s="33">
        <f t="shared" si="60"/>
        <v>20</v>
      </c>
      <c r="S337" s="132">
        <f t="shared" si="63"/>
        <v>2.5</v>
      </c>
      <c r="T337" s="132">
        <f t="shared" si="64"/>
        <v>2.5</v>
      </c>
      <c r="V337" s="131" t="str">
        <f t="shared" si="65"/>
        <v/>
      </c>
      <c r="W337" s="17"/>
      <c r="X337" s="7"/>
      <c r="Y337" s="161"/>
      <c r="Z337" s="7"/>
      <c r="AA337" s="117"/>
      <c r="AB337" s="117"/>
      <c r="AC337" s="117"/>
      <c r="CH337">
        <v>1</v>
      </c>
      <c r="CI337">
        <v>67</v>
      </c>
    </row>
    <row r="338" spans="1:87" x14ac:dyDescent="0.3">
      <c r="A338" s="2">
        <v>246</v>
      </c>
      <c r="B338" s="2" t="s">
        <v>0</v>
      </c>
      <c r="C338" s="2" t="s">
        <v>1</v>
      </c>
      <c r="D338" s="2" t="s">
        <v>708</v>
      </c>
      <c r="E338" s="2">
        <v>60</v>
      </c>
      <c r="F338" s="2">
        <v>0.32340000000000002</v>
      </c>
      <c r="G338" s="2">
        <v>0.24199999999999999</v>
      </c>
      <c r="H338" s="4">
        <f t="shared" si="61"/>
        <v>0.2517006802721089</v>
      </c>
      <c r="I338" s="2" t="s">
        <v>98</v>
      </c>
      <c r="J338" s="2" t="s">
        <v>700</v>
      </c>
      <c r="K338" s="2" t="s">
        <v>129</v>
      </c>
      <c r="L338" s="2" t="s">
        <v>76</v>
      </c>
      <c r="M338" s="155"/>
      <c r="N338" s="155"/>
      <c r="O338" s="2">
        <v>3</v>
      </c>
      <c r="P338" s="6">
        <v>20</v>
      </c>
      <c r="Q338" s="131">
        <f t="shared" si="62"/>
        <v>72</v>
      </c>
      <c r="R338" s="33">
        <f t="shared" si="60"/>
        <v>20</v>
      </c>
      <c r="S338" s="132">
        <f t="shared" si="63"/>
        <v>2.5</v>
      </c>
      <c r="T338" s="132">
        <f t="shared" si="64"/>
        <v>2.5</v>
      </c>
      <c r="V338" s="131" t="str">
        <f t="shared" si="65"/>
        <v/>
      </c>
      <c r="W338" s="17"/>
      <c r="X338" s="7"/>
      <c r="Y338" s="161"/>
      <c r="Z338" s="7"/>
      <c r="AA338" s="117"/>
      <c r="AB338" s="117"/>
      <c r="AC338" s="117"/>
      <c r="CH338">
        <v>4</v>
      </c>
      <c r="CI338">
        <v>54</v>
      </c>
    </row>
    <row r="339" spans="1:87" x14ac:dyDescent="0.3">
      <c r="A339" s="2">
        <v>247</v>
      </c>
      <c r="B339" s="2" t="s">
        <v>0</v>
      </c>
      <c r="C339" s="2" t="s">
        <v>1</v>
      </c>
      <c r="D339" s="2" t="s">
        <v>709</v>
      </c>
      <c r="E339" s="2">
        <v>40</v>
      </c>
      <c r="F339" s="2">
        <v>0.34649999999999997</v>
      </c>
      <c r="G339" s="2">
        <v>0.24199999999999999</v>
      </c>
      <c r="H339" s="4">
        <f t="shared" si="61"/>
        <v>0.30158730158730157</v>
      </c>
      <c r="I339" s="2" t="s">
        <v>98</v>
      </c>
      <c r="J339" s="2" t="s">
        <v>624</v>
      </c>
      <c r="K339" s="2" t="s">
        <v>105</v>
      </c>
      <c r="L339" s="2" t="s">
        <v>76</v>
      </c>
      <c r="M339" s="155"/>
      <c r="N339" s="155"/>
      <c r="O339" s="2">
        <v>3</v>
      </c>
      <c r="P339" s="6">
        <v>20</v>
      </c>
      <c r="Q339" s="131">
        <f t="shared" si="62"/>
        <v>108</v>
      </c>
      <c r="R339" s="33">
        <f t="shared" si="60"/>
        <v>20</v>
      </c>
      <c r="S339" s="132">
        <f t="shared" si="63"/>
        <v>2.5</v>
      </c>
      <c r="T339" s="132">
        <f t="shared" si="64"/>
        <v>2.5</v>
      </c>
      <c r="V339" s="131" t="str">
        <f t="shared" si="65"/>
        <v/>
      </c>
      <c r="W339" s="17"/>
      <c r="X339" s="7"/>
      <c r="Y339" s="161"/>
      <c r="Z339" s="7"/>
      <c r="AA339" s="117"/>
      <c r="AB339" s="117"/>
      <c r="AC339" s="117"/>
      <c r="CH339">
        <v>2</v>
      </c>
      <c r="CI339">
        <v>75</v>
      </c>
    </row>
    <row r="340" spans="1:87" x14ac:dyDescent="0.3">
      <c r="A340" s="2">
        <v>248</v>
      </c>
      <c r="B340" s="2" t="s">
        <v>0</v>
      </c>
      <c r="C340" s="2" t="s">
        <v>1</v>
      </c>
      <c r="D340" s="2" t="s">
        <v>710</v>
      </c>
      <c r="E340" s="2">
        <v>45</v>
      </c>
      <c r="F340" s="2">
        <v>0.32340000000000002</v>
      </c>
      <c r="G340" s="2">
        <v>0.24199999999999999</v>
      </c>
      <c r="H340" s="4">
        <f t="shared" si="61"/>
        <v>0.2517006802721089</v>
      </c>
      <c r="I340" s="2" t="s">
        <v>98</v>
      </c>
      <c r="J340" s="2" t="s">
        <v>700</v>
      </c>
      <c r="K340" s="2" t="s">
        <v>105</v>
      </c>
      <c r="L340" s="2" t="s">
        <v>76</v>
      </c>
      <c r="M340" s="155"/>
      <c r="N340" s="155"/>
      <c r="O340" s="2">
        <v>3</v>
      </c>
      <c r="P340" s="6">
        <v>20</v>
      </c>
      <c r="Q340" s="131">
        <f t="shared" si="62"/>
        <v>96</v>
      </c>
      <c r="R340" s="33">
        <f t="shared" si="60"/>
        <v>20</v>
      </c>
      <c r="S340" s="132">
        <f t="shared" si="63"/>
        <v>2.5</v>
      </c>
      <c r="T340" s="132">
        <f t="shared" si="64"/>
        <v>2.5</v>
      </c>
      <c r="V340" s="131" t="str">
        <f t="shared" si="65"/>
        <v/>
      </c>
      <c r="W340" s="17"/>
      <c r="X340" s="7"/>
      <c r="Y340" s="161"/>
      <c r="Z340" s="7"/>
      <c r="AA340" s="117"/>
      <c r="AB340" s="117"/>
      <c r="AC340" s="117"/>
      <c r="CH340">
        <v>1</v>
      </c>
      <c r="CI340">
        <v>52</v>
      </c>
    </row>
    <row r="341" spans="1:87" x14ac:dyDescent="0.3">
      <c r="A341" s="2">
        <v>249</v>
      </c>
      <c r="B341" s="2" t="s">
        <v>84</v>
      </c>
      <c r="C341" s="2" t="s">
        <v>1</v>
      </c>
      <c r="D341" s="2" t="s">
        <v>711</v>
      </c>
      <c r="E341" s="2">
        <v>400</v>
      </c>
      <c r="F341" s="2">
        <v>5.7000000000000002E-2</v>
      </c>
      <c r="G341" s="2"/>
      <c r="H341" s="4">
        <f t="shared" si="61"/>
        <v>1</v>
      </c>
      <c r="I341" s="2" t="s">
        <v>82</v>
      </c>
      <c r="J341" s="2" t="s">
        <v>658</v>
      </c>
      <c r="K341" s="2"/>
      <c r="L341" s="2"/>
      <c r="M341" s="155"/>
      <c r="N341" s="155"/>
      <c r="O341" s="2">
        <v>2</v>
      </c>
      <c r="P341" s="6"/>
      <c r="Q341" s="131" t="str">
        <f t="shared" si="62"/>
        <v/>
      </c>
      <c r="R341" s="33" t="str">
        <f t="shared" si="60"/>
        <v/>
      </c>
      <c r="S341" s="132" t="str">
        <f t="shared" si="63"/>
        <v/>
      </c>
      <c r="T341" s="132" t="str">
        <f t="shared" si="64"/>
        <v/>
      </c>
      <c r="V341" s="131" t="str">
        <f t="shared" si="65"/>
        <v/>
      </c>
      <c r="W341" s="17"/>
      <c r="X341" s="7"/>
      <c r="Y341" s="161"/>
      <c r="Z341" s="7"/>
      <c r="AA341" s="117"/>
      <c r="AB341" s="117"/>
      <c r="AC341" s="117"/>
      <c r="CH341">
        <v>2</v>
      </c>
      <c r="CI341">
        <v>58</v>
      </c>
    </row>
    <row r="342" spans="1:87" x14ac:dyDescent="0.3">
      <c r="A342" s="2">
        <v>250</v>
      </c>
      <c r="B342" s="2" t="s">
        <v>84</v>
      </c>
      <c r="C342" s="2" t="s">
        <v>1</v>
      </c>
      <c r="D342" s="2" t="s">
        <v>712</v>
      </c>
      <c r="E342" s="2">
        <v>400</v>
      </c>
      <c r="F342" s="2">
        <v>5.7000000000000002E-2</v>
      </c>
      <c r="G342" s="2"/>
      <c r="H342" s="4">
        <f t="shared" si="61"/>
        <v>1</v>
      </c>
      <c r="I342" s="2" t="s">
        <v>82</v>
      </c>
      <c r="J342" s="2" t="s">
        <v>658</v>
      </c>
      <c r="K342" s="2"/>
      <c r="L342" s="2"/>
      <c r="M342" s="155"/>
      <c r="N342" s="155"/>
      <c r="O342" s="2">
        <v>2</v>
      </c>
      <c r="P342" s="6"/>
      <c r="Q342" s="131" t="str">
        <f t="shared" si="62"/>
        <v/>
      </c>
      <c r="R342" s="33" t="str">
        <f t="shared" si="60"/>
        <v/>
      </c>
      <c r="S342" s="132" t="str">
        <f t="shared" si="63"/>
        <v/>
      </c>
      <c r="T342" s="132" t="str">
        <f t="shared" si="64"/>
        <v/>
      </c>
      <c r="V342" s="131" t="str">
        <f t="shared" si="65"/>
        <v/>
      </c>
      <c r="W342" s="17"/>
      <c r="X342" s="7"/>
      <c r="Y342" s="161"/>
      <c r="Z342" s="7"/>
      <c r="AA342" s="117"/>
      <c r="AB342" s="117"/>
      <c r="AC342" s="117"/>
      <c r="CH342">
        <v>1</v>
      </c>
      <c r="CI342">
        <v>47</v>
      </c>
    </row>
    <row r="343" spans="1:87" x14ac:dyDescent="0.3">
      <c r="A343" s="2">
        <v>251</v>
      </c>
      <c r="B343" s="2" t="s">
        <v>0</v>
      </c>
      <c r="C343" s="2" t="s">
        <v>1</v>
      </c>
      <c r="D343" s="2" t="s">
        <v>713</v>
      </c>
      <c r="E343" s="2">
        <v>30</v>
      </c>
      <c r="F343" s="2">
        <v>0.32029999999999997</v>
      </c>
      <c r="G343" s="2">
        <v>0.24199999999999999</v>
      </c>
      <c r="H343" s="4">
        <f t="shared" si="61"/>
        <v>0.24445832032469555</v>
      </c>
      <c r="I343" s="2" t="s">
        <v>98</v>
      </c>
      <c r="J343" s="2" t="s">
        <v>624</v>
      </c>
      <c r="K343" s="2" t="s">
        <v>105</v>
      </c>
      <c r="L343" s="2" t="s">
        <v>76</v>
      </c>
      <c r="M343" s="155"/>
      <c r="N343" s="155"/>
      <c r="O343" s="2">
        <v>3</v>
      </c>
      <c r="P343" s="6">
        <v>20</v>
      </c>
      <c r="Q343" s="131">
        <f t="shared" si="62"/>
        <v>144</v>
      </c>
      <c r="R343" s="33">
        <f t="shared" si="60"/>
        <v>20</v>
      </c>
      <c r="S343" s="132">
        <f t="shared" si="63"/>
        <v>2.5</v>
      </c>
      <c r="T343" s="132">
        <f t="shared" si="64"/>
        <v>2.5</v>
      </c>
      <c r="V343" s="131" t="str">
        <f t="shared" si="65"/>
        <v/>
      </c>
      <c r="W343" s="17"/>
      <c r="X343" s="7"/>
      <c r="Y343" s="161"/>
      <c r="Z343" s="7"/>
      <c r="AA343" s="117"/>
      <c r="AB343" s="117"/>
      <c r="AC343" s="117"/>
      <c r="CH343">
        <v>6</v>
      </c>
      <c r="CI343">
        <v>69</v>
      </c>
    </row>
    <row r="344" spans="1:87" x14ac:dyDescent="0.3">
      <c r="A344" s="2">
        <v>253</v>
      </c>
      <c r="B344" s="2" t="s">
        <v>0</v>
      </c>
      <c r="C344" s="2" t="s">
        <v>1</v>
      </c>
      <c r="D344" s="2" t="s">
        <v>714</v>
      </c>
      <c r="E344" s="2">
        <v>60</v>
      </c>
      <c r="F344" s="2">
        <v>0.32340000000000002</v>
      </c>
      <c r="G344" s="2">
        <v>0.24199999999999999</v>
      </c>
      <c r="H344" s="4">
        <f t="shared" si="61"/>
        <v>0.2517006802721089</v>
      </c>
      <c r="I344" s="2" t="s">
        <v>98</v>
      </c>
      <c r="J344" s="2" t="s">
        <v>700</v>
      </c>
      <c r="K344" s="2"/>
      <c r="L344" s="2"/>
      <c r="M344" s="155"/>
      <c r="N344" s="155"/>
      <c r="O344" s="2">
        <v>3</v>
      </c>
      <c r="P344" s="6">
        <v>20</v>
      </c>
      <c r="Q344" s="131">
        <f t="shared" si="62"/>
        <v>72</v>
      </c>
      <c r="R344" s="33">
        <f t="shared" si="60"/>
        <v>20</v>
      </c>
      <c r="S344" s="132">
        <f t="shared" si="63"/>
        <v>2.5</v>
      </c>
      <c r="T344" s="132">
        <f t="shared" si="64"/>
        <v>2.5</v>
      </c>
      <c r="V344" s="131" t="str">
        <f t="shared" si="65"/>
        <v/>
      </c>
      <c r="W344" s="17"/>
      <c r="X344" s="7"/>
      <c r="Y344" s="161"/>
      <c r="Z344" s="7"/>
      <c r="AA344" s="117"/>
      <c r="AB344" s="117"/>
      <c r="AC344" s="117"/>
      <c r="CH344">
        <v>5</v>
      </c>
      <c r="CI344">
        <v>48</v>
      </c>
    </row>
    <row r="345" spans="1:87" x14ac:dyDescent="0.3">
      <c r="A345" s="2">
        <v>254</v>
      </c>
      <c r="B345" s="2" t="s">
        <v>0</v>
      </c>
      <c r="C345" s="2" t="s">
        <v>1</v>
      </c>
      <c r="D345" s="2" t="s">
        <v>715</v>
      </c>
      <c r="E345" s="2">
        <v>40</v>
      </c>
      <c r="F345" s="2">
        <v>0.32340000000000002</v>
      </c>
      <c r="G345" s="2">
        <v>0.24199999999999999</v>
      </c>
      <c r="H345" s="4">
        <f t="shared" si="61"/>
        <v>0.2517006802721089</v>
      </c>
      <c r="I345" s="2" t="s">
        <v>98</v>
      </c>
      <c r="J345" s="2" t="s">
        <v>624</v>
      </c>
      <c r="K345" s="2" t="s">
        <v>105</v>
      </c>
      <c r="L345" s="2" t="s">
        <v>76</v>
      </c>
      <c r="M345" s="155"/>
      <c r="N345" s="155"/>
      <c r="O345" s="2">
        <v>3</v>
      </c>
      <c r="P345" s="6">
        <v>20</v>
      </c>
      <c r="Q345" s="131">
        <f t="shared" si="62"/>
        <v>108</v>
      </c>
      <c r="R345" s="33">
        <f t="shared" si="60"/>
        <v>20</v>
      </c>
      <c r="S345" s="132">
        <f t="shared" si="63"/>
        <v>2.5</v>
      </c>
      <c r="T345" s="132">
        <f t="shared" si="64"/>
        <v>2.5</v>
      </c>
      <c r="V345" s="131" t="str">
        <f t="shared" si="65"/>
        <v/>
      </c>
      <c r="W345" s="17"/>
      <c r="X345" s="7"/>
      <c r="Y345" s="161"/>
      <c r="Z345" s="7"/>
      <c r="AA345" s="117"/>
      <c r="AB345" s="117"/>
      <c r="AC345" s="117"/>
      <c r="CH345">
        <v>6</v>
      </c>
      <c r="CI345">
        <v>60</v>
      </c>
    </row>
    <row r="346" spans="1:87" x14ac:dyDescent="0.3">
      <c r="A346" s="2">
        <v>255</v>
      </c>
      <c r="B346" s="2" t="s">
        <v>0</v>
      </c>
      <c r="C346" s="2" t="s">
        <v>1</v>
      </c>
      <c r="D346" s="2" t="s">
        <v>716</v>
      </c>
      <c r="E346" s="2">
        <v>40</v>
      </c>
      <c r="F346" s="2">
        <v>0.32340000000000002</v>
      </c>
      <c r="G346" s="2">
        <v>0.24199999999999999</v>
      </c>
      <c r="H346" s="4">
        <f t="shared" si="61"/>
        <v>0.2517006802721089</v>
      </c>
      <c r="I346" s="2" t="s">
        <v>98</v>
      </c>
      <c r="J346" s="2" t="s">
        <v>717</v>
      </c>
      <c r="K346" s="2" t="s">
        <v>105</v>
      </c>
      <c r="L346" s="2" t="s">
        <v>76</v>
      </c>
      <c r="M346" s="155"/>
      <c r="N346" s="155"/>
      <c r="O346" s="2">
        <v>3</v>
      </c>
      <c r="P346" s="6">
        <v>20</v>
      </c>
      <c r="Q346" s="131">
        <f t="shared" si="62"/>
        <v>108</v>
      </c>
      <c r="R346" s="33">
        <f t="shared" si="60"/>
        <v>20</v>
      </c>
      <c r="S346" s="132">
        <f t="shared" si="63"/>
        <v>2.5</v>
      </c>
      <c r="T346" s="132">
        <f t="shared" si="64"/>
        <v>2.5</v>
      </c>
      <c r="V346" s="131" t="str">
        <f t="shared" si="65"/>
        <v/>
      </c>
      <c r="W346" s="17"/>
      <c r="X346" s="7"/>
      <c r="Y346" s="161"/>
      <c r="Z346" s="7"/>
      <c r="AA346" s="117"/>
      <c r="AB346" s="117"/>
      <c r="AC346" s="117"/>
      <c r="CH346">
        <v>5</v>
      </c>
      <c r="CI346">
        <v>55</v>
      </c>
    </row>
    <row r="347" spans="1:87" x14ac:dyDescent="0.3">
      <c r="A347" s="2">
        <v>256</v>
      </c>
      <c r="B347" s="2" t="s">
        <v>0</v>
      </c>
      <c r="C347" s="2" t="s">
        <v>1</v>
      </c>
      <c r="D347" s="2" t="s">
        <v>718</v>
      </c>
      <c r="E347" s="2">
        <v>40</v>
      </c>
      <c r="F347" s="2">
        <v>0.32340000000000002</v>
      </c>
      <c r="G347" s="2">
        <v>0.24199999999999999</v>
      </c>
      <c r="H347" s="4">
        <f t="shared" si="61"/>
        <v>0.2517006802721089</v>
      </c>
      <c r="I347" s="2" t="s">
        <v>98</v>
      </c>
      <c r="J347" s="2" t="s">
        <v>624</v>
      </c>
      <c r="K347" s="2" t="s">
        <v>105</v>
      </c>
      <c r="L347" s="2" t="s">
        <v>76</v>
      </c>
      <c r="M347" s="155"/>
      <c r="N347" s="155"/>
      <c r="O347" s="2">
        <v>3</v>
      </c>
      <c r="P347" s="6">
        <v>20</v>
      </c>
      <c r="Q347" s="131">
        <f t="shared" si="62"/>
        <v>108</v>
      </c>
      <c r="R347" s="33">
        <f t="shared" si="60"/>
        <v>20</v>
      </c>
      <c r="S347" s="132">
        <f t="shared" si="63"/>
        <v>2.5</v>
      </c>
      <c r="T347" s="132">
        <f t="shared" si="64"/>
        <v>2.5</v>
      </c>
      <c r="V347" s="131" t="str">
        <f t="shared" si="65"/>
        <v/>
      </c>
      <c r="W347" s="17"/>
      <c r="X347" s="7"/>
      <c r="Y347" s="161"/>
      <c r="Z347" s="7"/>
      <c r="AA347" s="117"/>
      <c r="AB347" s="117"/>
      <c r="AC347" s="117"/>
      <c r="CH347">
        <v>3</v>
      </c>
      <c r="CI347">
        <v>32</v>
      </c>
    </row>
    <row r="348" spans="1:87" x14ac:dyDescent="0.3">
      <c r="A348" s="2">
        <v>257</v>
      </c>
      <c r="B348" s="2" t="s">
        <v>0</v>
      </c>
      <c r="C348" s="2" t="s">
        <v>1</v>
      </c>
      <c r="D348" s="2" t="s">
        <v>719</v>
      </c>
      <c r="E348" s="2">
        <v>50</v>
      </c>
      <c r="F348" s="2">
        <v>0.32340000000000002</v>
      </c>
      <c r="G348" s="2">
        <v>0.24199999999999999</v>
      </c>
      <c r="H348" s="4">
        <f t="shared" si="61"/>
        <v>0.2517006802721089</v>
      </c>
      <c r="I348" s="2" t="s">
        <v>98</v>
      </c>
      <c r="J348" s="2" t="s">
        <v>624</v>
      </c>
      <c r="K348" s="2" t="s">
        <v>105</v>
      </c>
      <c r="L348" s="2" t="s">
        <v>76</v>
      </c>
      <c r="M348" s="155"/>
      <c r="N348" s="155"/>
      <c r="O348" s="2">
        <v>3</v>
      </c>
      <c r="P348" s="6">
        <v>20</v>
      </c>
      <c r="Q348" s="131">
        <f t="shared" si="62"/>
        <v>86.4</v>
      </c>
      <c r="R348" s="33">
        <f t="shared" si="60"/>
        <v>20</v>
      </c>
      <c r="S348" s="132">
        <f t="shared" si="63"/>
        <v>2.5</v>
      </c>
      <c r="T348" s="132">
        <f t="shared" si="64"/>
        <v>2.5</v>
      </c>
      <c r="V348" s="131" t="str">
        <f t="shared" si="65"/>
        <v/>
      </c>
      <c r="W348" s="17"/>
      <c r="X348" s="7"/>
      <c r="Y348" s="161"/>
      <c r="Z348" s="7"/>
      <c r="AA348" s="117"/>
      <c r="AB348" s="117"/>
      <c r="AC348" s="117"/>
      <c r="CH348">
        <v>6</v>
      </c>
      <c r="CI348">
        <v>64</v>
      </c>
    </row>
    <row r="349" spans="1:87" x14ac:dyDescent="0.3">
      <c r="A349" s="23">
        <v>258</v>
      </c>
      <c r="B349" s="2" t="s">
        <v>0</v>
      </c>
      <c r="C349" s="2" t="s">
        <v>1</v>
      </c>
      <c r="D349" s="2" t="s">
        <v>720</v>
      </c>
      <c r="E349" s="2">
        <v>1200</v>
      </c>
      <c r="F349" s="2">
        <v>1.09E-2</v>
      </c>
      <c r="G349" s="2">
        <v>8.0000000000000002E-3</v>
      </c>
      <c r="H349" s="4">
        <f t="shared" si="61"/>
        <v>0.26605504587155959</v>
      </c>
      <c r="I349" s="2" t="s">
        <v>98</v>
      </c>
      <c r="J349" s="2" t="s">
        <v>721</v>
      </c>
      <c r="K349" s="2" t="s">
        <v>5</v>
      </c>
      <c r="L349" s="2" t="s">
        <v>6</v>
      </c>
      <c r="M349" s="155"/>
      <c r="N349" s="155"/>
      <c r="O349" s="2">
        <v>20</v>
      </c>
      <c r="P349" s="6">
        <v>20</v>
      </c>
      <c r="Q349" s="131">
        <f t="shared" si="62"/>
        <v>24</v>
      </c>
      <c r="R349" s="33">
        <f t="shared" si="60"/>
        <v>20</v>
      </c>
      <c r="S349" s="132">
        <f t="shared" si="63"/>
        <v>2.5</v>
      </c>
      <c r="T349" s="132">
        <f t="shared" si="64"/>
        <v>2.5</v>
      </c>
      <c r="V349" s="131">
        <f t="shared" si="65"/>
        <v>16.979129819596746</v>
      </c>
      <c r="W349" s="17">
        <v>28.27</v>
      </c>
      <c r="X349" s="8">
        <f>60*60*8/W349</f>
        <v>1018.7477891758048</v>
      </c>
      <c r="Y349" s="161">
        <v>45362</v>
      </c>
      <c r="Z349" s="7" t="s">
        <v>7</v>
      </c>
      <c r="AA349" s="117"/>
      <c r="AB349" s="117"/>
      <c r="AC349" s="117"/>
      <c r="AD349" s="22">
        <v>45527</v>
      </c>
      <c r="AE349">
        <v>8</v>
      </c>
      <c r="AF349">
        <v>3.2</v>
      </c>
      <c r="AG349">
        <v>1.8</v>
      </c>
      <c r="AI349">
        <v>0.1</v>
      </c>
      <c r="AJ349">
        <v>0.1</v>
      </c>
      <c r="AK349">
        <v>7</v>
      </c>
      <c r="AL349">
        <v>6.5</v>
      </c>
      <c r="AN349">
        <v>10</v>
      </c>
      <c r="AS349">
        <v>28.27</v>
      </c>
      <c r="AT349">
        <v>6.5</v>
      </c>
      <c r="AU349">
        <v>16</v>
      </c>
      <c r="AV349">
        <v>129</v>
      </c>
      <c r="AW349">
        <v>139</v>
      </c>
      <c r="AX349">
        <v>12</v>
      </c>
      <c r="AY349">
        <v>24</v>
      </c>
      <c r="AZ349">
        <v>101</v>
      </c>
      <c r="BA349">
        <v>112</v>
      </c>
      <c r="BB349">
        <v>420</v>
      </c>
      <c r="CH349">
        <v>5</v>
      </c>
      <c r="CI349">
        <v>70</v>
      </c>
    </row>
    <row r="350" spans="1:87" x14ac:dyDescent="0.3">
      <c r="A350" s="2">
        <v>259</v>
      </c>
      <c r="B350" s="2" t="s">
        <v>0</v>
      </c>
      <c r="C350" s="2" t="s">
        <v>1</v>
      </c>
      <c r="D350" s="2" t="s">
        <v>722</v>
      </c>
      <c r="E350" s="2">
        <v>40</v>
      </c>
      <c r="F350" s="2">
        <v>0.32029999999999997</v>
      </c>
      <c r="G350" s="2">
        <v>0.24199999999999999</v>
      </c>
      <c r="H350" s="4">
        <f t="shared" si="61"/>
        <v>0.24445832032469555</v>
      </c>
      <c r="I350" s="2" t="s">
        <v>98</v>
      </c>
      <c r="J350" s="2" t="s">
        <v>624</v>
      </c>
      <c r="K350" s="2" t="s">
        <v>105</v>
      </c>
      <c r="L350" s="2" t="s">
        <v>76</v>
      </c>
      <c r="M350" s="155"/>
      <c r="N350" s="155"/>
      <c r="O350" s="2">
        <v>3</v>
      </c>
      <c r="P350" s="6">
        <v>20</v>
      </c>
      <c r="Q350" s="131">
        <f t="shared" si="62"/>
        <v>108</v>
      </c>
      <c r="R350" s="33">
        <f t="shared" si="60"/>
        <v>20</v>
      </c>
      <c r="S350" s="132">
        <f t="shared" si="63"/>
        <v>2.5</v>
      </c>
      <c r="T350" s="132">
        <f t="shared" si="64"/>
        <v>2.5</v>
      </c>
      <c r="V350" s="131" t="str">
        <f t="shared" si="65"/>
        <v/>
      </c>
      <c r="W350" s="17"/>
      <c r="X350" s="7"/>
      <c r="Y350" s="161"/>
      <c r="Z350" s="7"/>
      <c r="AA350" s="117"/>
      <c r="AB350" s="117"/>
      <c r="AC350" s="117"/>
      <c r="CH350">
        <v>6</v>
      </c>
      <c r="CI350">
        <v>58</v>
      </c>
    </row>
    <row r="351" spans="1:87" x14ac:dyDescent="0.3">
      <c r="A351" s="2">
        <v>260</v>
      </c>
      <c r="B351" s="2" t="s">
        <v>0</v>
      </c>
      <c r="C351" s="2" t="s">
        <v>1</v>
      </c>
      <c r="D351" s="2" t="s">
        <v>723</v>
      </c>
      <c r="E351" s="2">
        <v>40</v>
      </c>
      <c r="F351" s="2">
        <v>0.31719999999999998</v>
      </c>
      <c r="G351" s="2">
        <v>0.24199999999999999</v>
      </c>
      <c r="H351" s="4">
        <f t="shared" si="61"/>
        <v>0.23707440100882721</v>
      </c>
      <c r="I351" s="2" t="s">
        <v>98</v>
      </c>
      <c r="J351" s="2" t="s">
        <v>624</v>
      </c>
      <c r="K351" s="2" t="s">
        <v>105</v>
      </c>
      <c r="L351" s="2" t="s">
        <v>76</v>
      </c>
      <c r="M351" s="155"/>
      <c r="N351" s="155"/>
      <c r="O351" s="2">
        <v>3</v>
      </c>
      <c r="P351" s="6">
        <v>20</v>
      </c>
      <c r="Q351" s="131">
        <f t="shared" si="62"/>
        <v>108</v>
      </c>
      <c r="R351" s="33">
        <f t="shared" si="60"/>
        <v>20</v>
      </c>
      <c r="S351" s="132">
        <f t="shared" si="63"/>
        <v>2.5</v>
      </c>
      <c r="T351" s="132">
        <f t="shared" si="64"/>
        <v>2.5</v>
      </c>
      <c r="V351" s="131" t="str">
        <f t="shared" si="65"/>
        <v/>
      </c>
      <c r="W351" s="17"/>
      <c r="X351" s="7"/>
      <c r="Y351" s="161"/>
      <c r="Z351" s="7"/>
      <c r="AA351" s="117"/>
      <c r="AB351" s="117"/>
      <c r="AC351" s="117"/>
      <c r="CH351">
        <v>3</v>
      </c>
      <c r="CI351">
        <v>40</v>
      </c>
    </row>
    <row r="352" spans="1:87" x14ac:dyDescent="0.3">
      <c r="A352" s="2">
        <v>261</v>
      </c>
      <c r="B352" s="2" t="s">
        <v>0</v>
      </c>
      <c r="C352" s="2" t="s">
        <v>1</v>
      </c>
      <c r="D352" s="2" t="s">
        <v>724</v>
      </c>
      <c r="E352" s="2">
        <v>45</v>
      </c>
      <c r="F352" s="2">
        <v>0.32029999999999997</v>
      </c>
      <c r="G352" s="2">
        <v>0.24199999999999999</v>
      </c>
      <c r="H352" s="4">
        <f t="shared" si="61"/>
        <v>0.24445832032469555</v>
      </c>
      <c r="I352" s="2" t="s">
        <v>98</v>
      </c>
      <c r="J352" s="2" t="s">
        <v>624</v>
      </c>
      <c r="K352" s="2" t="s">
        <v>105</v>
      </c>
      <c r="L352" s="2" t="s">
        <v>76</v>
      </c>
      <c r="M352" s="155"/>
      <c r="N352" s="155"/>
      <c r="O352" s="2">
        <v>3</v>
      </c>
      <c r="P352" s="6">
        <v>20</v>
      </c>
      <c r="Q352" s="131">
        <f t="shared" si="62"/>
        <v>96</v>
      </c>
      <c r="R352" s="33">
        <f t="shared" si="60"/>
        <v>20</v>
      </c>
      <c r="S352" s="132">
        <f t="shared" si="63"/>
        <v>2.5</v>
      </c>
      <c r="T352" s="132">
        <f t="shared" si="64"/>
        <v>2.5</v>
      </c>
      <c r="V352" s="131" t="str">
        <f t="shared" si="65"/>
        <v/>
      </c>
      <c r="W352" s="17"/>
      <c r="X352" s="7"/>
      <c r="Y352" s="161"/>
      <c r="Z352" s="7"/>
      <c r="AA352" s="117"/>
      <c r="AB352" s="117"/>
      <c r="AC352" s="117"/>
      <c r="CH352">
        <v>4</v>
      </c>
      <c r="CI352">
        <v>60</v>
      </c>
    </row>
    <row r="353" spans="1:87" x14ac:dyDescent="0.3">
      <c r="A353" s="2">
        <v>262</v>
      </c>
      <c r="B353" s="2" t="s">
        <v>0</v>
      </c>
      <c r="C353" s="2" t="s">
        <v>1</v>
      </c>
      <c r="D353" s="2" t="s">
        <v>725</v>
      </c>
      <c r="E353" s="2">
        <v>40</v>
      </c>
      <c r="F353" s="2">
        <v>0.31719999999999998</v>
      </c>
      <c r="G353" s="2">
        <v>0.24199999999999999</v>
      </c>
      <c r="H353" s="4">
        <f t="shared" si="61"/>
        <v>0.23707440100882721</v>
      </c>
      <c r="I353" s="2" t="s">
        <v>98</v>
      </c>
      <c r="J353" s="2" t="s">
        <v>624</v>
      </c>
      <c r="K353" s="2" t="s">
        <v>105</v>
      </c>
      <c r="L353" s="2" t="s">
        <v>76</v>
      </c>
      <c r="M353" s="155"/>
      <c r="N353" s="155"/>
      <c r="O353" s="2">
        <v>3</v>
      </c>
      <c r="P353" s="6">
        <v>20</v>
      </c>
      <c r="Q353" s="131">
        <f t="shared" si="62"/>
        <v>108</v>
      </c>
      <c r="R353" s="33">
        <f t="shared" si="60"/>
        <v>20</v>
      </c>
      <c r="S353" s="132">
        <f t="shared" si="63"/>
        <v>2.5</v>
      </c>
      <c r="T353" s="132">
        <f t="shared" si="64"/>
        <v>2.5</v>
      </c>
      <c r="V353" s="131" t="str">
        <f t="shared" si="65"/>
        <v/>
      </c>
      <c r="W353" s="17"/>
      <c r="X353" s="7"/>
      <c r="Y353" s="161"/>
      <c r="Z353" s="7"/>
      <c r="AA353" s="117"/>
      <c r="AB353" s="117"/>
      <c r="AC353" s="117"/>
      <c r="CH353">
        <v>6</v>
      </c>
      <c r="CI353">
        <v>50</v>
      </c>
    </row>
    <row r="354" spans="1:87" x14ac:dyDescent="0.3">
      <c r="A354" s="2">
        <v>263</v>
      </c>
      <c r="B354" s="2" t="s">
        <v>0</v>
      </c>
      <c r="C354" s="2" t="s">
        <v>1</v>
      </c>
      <c r="D354" s="2" t="s">
        <v>726</v>
      </c>
      <c r="E354" s="2">
        <v>40</v>
      </c>
      <c r="F354" s="2">
        <v>0.31719999999999998</v>
      </c>
      <c r="G354" s="2">
        <v>0.24199999999999999</v>
      </c>
      <c r="H354" s="4">
        <f t="shared" si="61"/>
        <v>0.23707440100882721</v>
      </c>
      <c r="I354" s="2" t="s">
        <v>98</v>
      </c>
      <c r="J354" s="2" t="s">
        <v>624</v>
      </c>
      <c r="K354" s="2" t="s">
        <v>105</v>
      </c>
      <c r="L354" s="2" t="s">
        <v>76</v>
      </c>
      <c r="M354" s="155"/>
      <c r="N354" s="155"/>
      <c r="O354" s="2">
        <v>3</v>
      </c>
      <c r="P354" s="6">
        <v>20</v>
      </c>
      <c r="Q354" s="131">
        <f t="shared" si="62"/>
        <v>108</v>
      </c>
      <c r="R354" s="33">
        <f t="shared" si="60"/>
        <v>20</v>
      </c>
      <c r="S354" s="132">
        <f t="shared" si="63"/>
        <v>2.5</v>
      </c>
      <c r="T354" s="132">
        <f t="shared" si="64"/>
        <v>2.5</v>
      </c>
      <c r="V354" s="131" t="str">
        <f t="shared" si="65"/>
        <v/>
      </c>
      <c r="W354" s="17"/>
      <c r="X354" s="7"/>
      <c r="Y354" s="161"/>
      <c r="Z354" s="7"/>
      <c r="AA354" s="117"/>
      <c r="AB354" s="117"/>
      <c r="AC354" s="117"/>
      <c r="CH354">
        <v>3</v>
      </c>
      <c r="CI354">
        <v>78</v>
      </c>
    </row>
    <row r="355" spans="1:87" x14ac:dyDescent="0.3">
      <c r="A355" s="2">
        <v>264</v>
      </c>
      <c r="B355" s="2" t="s">
        <v>0</v>
      </c>
      <c r="C355" s="2" t="s">
        <v>1</v>
      </c>
      <c r="D355" s="2" t="s">
        <v>727</v>
      </c>
      <c r="E355" s="2">
        <v>50</v>
      </c>
      <c r="F355" s="2">
        <v>0.32340000000000002</v>
      </c>
      <c r="G355" s="2">
        <v>0.24199999999999999</v>
      </c>
      <c r="H355" s="4">
        <f t="shared" si="61"/>
        <v>0.2517006802721089</v>
      </c>
      <c r="I355" s="2" t="s">
        <v>98</v>
      </c>
      <c r="J355" s="2" t="s">
        <v>624</v>
      </c>
      <c r="K355" s="2" t="s">
        <v>105</v>
      </c>
      <c r="L355" s="2" t="s">
        <v>76</v>
      </c>
      <c r="M355" s="155"/>
      <c r="N355" s="155"/>
      <c r="O355" s="2">
        <v>3</v>
      </c>
      <c r="P355" s="6">
        <v>20</v>
      </c>
      <c r="Q355" s="131">
        <f t="shared" si="62"/>
        <v>86.4</v>
      </c>
      <c r="R355" s="33">
        <f t="shared" si="60"/>
        <v>20</v>
      </c>
      <c r="S355" s="132">
        <f t="shared" si="63"/>
        <v>2.5</v>
      </c>
      <c r="T355" s="132">
        <f t="shared" si="64"/>
        <v>2.5</v>
      </c>
      <c r="V355" s="131" t="str">
        <f t="shared" si="65"/>
        <v/>
      </c>
      <c r="W355" s="17"/>
      <c r="X355" s="7"/>
      <c r="Y355" s="161"/>
      <c r="Z355" s="7"/>
      <c r="AA355" s="117"/>
      <c r="AB355" s="117"/>
      <c r="AC355" s="117"/>
      <c r="CH355">
        <v>4</v>
      </c>
      <c r="CI355">
        <v>73</v>
      </c>
    </row>
    <row r="356" spans="1:87" x14ac:dyDescent="0.3">
      <c r="A356" s="2">
        <v>265</v>
      </c>
      <c r="B356" s="2" t="s">
        <v>0</v>
      </c>
      <c r="C356" s="2" t="s">
        <v>1</v>
      </c>
      <c r="D356" s="2" t="s">
        <v>728</v>
      </c>
      <c r="E356" s="2">
        <v>40</v>
      </c>
      <c r="F356" s="2">
        <v>0.32340000000000002</v>
      </c>
      <c r="G356" s="2">
        <v>0.24199999999999999</v>
      </c>
      <c r="H356" s="4">
        <f t="shared" si="61"/>
        <v>0.2517006802721089</v>
      </c>
      <c r="I356" s="2" t="s">
        <v>98</v>
      </c>
      <c r="J356" s="2" t="s">
        <v>624</v>
      </c>
      <c r="K356" s="2" t="s">
        <v>105</v>
      </c>
      <c r="L356" s="2" t="s">
        <v>76</v>
      </c>
      <c r="M356" s="155"/>
      <c r="N356" s="155"/>
      <c r="O356" s="2">
        <v>3</v>
      </c>
      <c r="P356" s="6">
        <v>20</v>
      </c>
      <c r="Q356" s="131">
        <f t="shared" si="62"/>
        <v>108</v>
      </c>
      <c r="R356" s="33">
        <f t="shared" si="60"/>
        <v>20</v>
      </c>
      <c r="S356" s="132">
        <f t="shared" si="63"/>
        <v>2.5</v>
      </c>
      <c r="T356" s="132">
        <f t="shared" si="64"/>
        <v>2.5</v>
      </c>
      <c r="V356" s="131" t="str">
        <f t="shared" si="65"/>
        <v/>
      </c>
      <c r="W356" s="17"/>
      <c r="X356" s="7"/>
      <c r="Y356" s="161"/>
      <c r="Z356" s="7"/>
      <c r="AA356" s="117"/>
      <c r="AB356" s="117"/>
      <c r="AC356" s="117"/>
      <c r="CH356">
        <v>6</v>
      </c>
      <c r="CI356">
        <v>37</v>
      </c>
    </row>
    <row r="357" spans="1:87" x14ac:dyDescent="0.3">
      <c r="A357" s="2">
        <v>266</v>
      </c>
      <c r="B357" s="2" t="s">
        <v>0</v>
      </c>
      <c r="C357" s="2" t="s">
        <v>1</v>
      </c>
      <c r="D357" s="2" t="s">
        <v>729</v>
      </c>
      <c r="E357" s="2">
        <v>45</v>
      </c>
      <c r="F357" s="2">
        <v>0.32340000000000002</v>
      </c>
      <c r="G357" s="2">
        <v>0.24199999999999999</v>
      </c>
      <c r="H357" s="4">
        <f t="shared" si="61"/>
        <v>0.2517006802721089</v>
      </c>
      <c r="I357" s="2" t="s">
        <v>98</v>
      </c>
      <c r="J357" s="2" t="s">
        <v>730</v>
      </c>
      <c r="K357" s="2" t="s">
        <v>105</v>
      </c>
      <c r="L357" s="2" t="s">
        <v>76</v>
      </c>
      <c r="M357" s="155"/>
      <c r="N357" s="155"/>
      <c r="O357" s="2">
        <v>3</v>
      </c>
      <c r="P357" s="6">
        <v>20</v>
      </c>
      <c r="Q357" s="131">
        <f t="shared" si="62"/>
        <v>96</v>
      </c>
      <c r="R357" s="33">
        <f t="shared" si="60"/>
        <v>20</v>
      </c>
      <c r="S357" s="132">
        <f t="shared" si="63"/>
        <v>2.5</v>
      </c>
      <c r="T357" s="132">
        <f t="shared" si="64"/>
        <v>2.5</v>
      </c>
      <c r="V357" s="131" t="str">
        <f t="shared" si="65"/>
        <v/>
      </c>
      <c r="W357" s="17"/>
      <c r="X357" s="7"/>
      <c r="Y357" s="161"/>
      <c r="Z357" s="7"/>
      <c r="AA357" s="117"/>
      <c r="AB357" s="117"/>
      <c r="AC357" s="117"/>
      <c r="CH357">
        <v>6</v>
      </c>
      <c r="CI357">
        <v>80</v>
      </c>
    </row>
    <row r="358" spans="1:87" x14ac:dyDescent="0.3">
      <c r="A358" s="2">
        <v>267</v>
      </c>
      <c r="B358" s="2" t="s">
        <v>0</v>
      </c>
      <c r="C358" s="2" t="s">
        <v>1</v>
      </c>
      <c r="D358" s="2" t="s">
        <v>731</v>
      </c>
      <c r="E358" s="2">
        <v>40</v>
      </c>
      <c r="F358" s="2">
        <v>0.32340000000000002</v>
      </c>
      <c r="G358" s="2">
        <v>0.24199999999999999</v>
      </c>
      <c r="H358" s="4">
        <f t="shared" si="61"/>
        <v>0.2517006802721089</v>
      </c>
      <c r="I358" s="2" t="s">
        <v>98</v>
      </c>
      <c r="J358" s="2" t="s">
        <v>624</v>
      </c>
      <c r="K358" s="2" t="s">
        <v>105</v>
      </c>
      <c r="L358" s="2" t="s">
        <v>76</v>
      </c>
      <c r="M358" s="155"/>
      <c r="N358" s="155"/>
      <c r="O358" s="2">
        <v>3</v>
      </c>
      <c r="P358" s="6">
        <v>20</v>
      </c>
      <c r="Q358" s="131">
        <f t="shared" si="62"/>
        <v>108</v>
      </c>
      <c r="R358" s="33">
        <f t="shared" si="60"/>
        <v>20</v>
      </c>
      <c r="S358" s="132">
        <f t="shared" si="63"/>
        <v>2.5</v>
      </c>
      <c r="T358" s="132">
        <f t="shared" si="64"/>
        <v>2.5</v>
      </c>
      <c r="V358" s="131" t="str">
        <f t="shared" si="65"/>
        <v/>
      </c>
      <c r="W358" s="17"/>
      <c r="X358" s="7"/>
      <c r="Y358" s="161"/>
      <c r="Z358" s="7"/>
      <c r="AA358" s="117"/>
      <c r="AB358" s="117"/>
      <c r="AC358" s="117"/>
      <c r="CH358">
        <v>1</v>
      </c>
      <c r="CI358">
        <v>46</v>
      </c>
    </row>
    <row r="359" spans="1:87" x14ac:dyDescent="0.3">
      <c r="A359" s="23">
        <v>269</v>
      </c>
      <c r="B359" s="2" t="s">
        <v>0</v>
      </c>
      <c r="C359" s="2" t="s">
        <v>1</v>
      </c>
      <c r="D359" s="2" t="s">
        <v>732</v>
      </c>
      <c r="E359" s="2">
        <v>330</v>
      </c>
      <c r="F359" s="2">
        <v>3.61E-2</v>
      </c>
      <c r="G359" s="2">
        <v>2.3199999999999998E-2</v>
      </c>
      <c r="H359" s="4">
        <f t="shared" si="61"/>
        <v>0.35734072022160668</v>
      </c>
      <c r="I359" s="2" t="s">
        <v>82</v>
      </c>
      <c r="J359" s="2" t="s">
        <v>598</v>
      </c>
      <c r="K359" s="2" t="s">
        <v>105</v>
      </c>
      <c r="L359" s="2" t="s">
        <v>76</v>
      </c>
      <c r="M359" s="155"/>
      <c r="N359" s="155"/>
      <c r="O359" s="2">
        <v>3</v>
      </c>
      <c r="P359" s="6">
        <v>15</v>
      </c>
      <c r="Q359" s="131">
        <f t="shared" si="62"/>
        <v>17.454545454545453</v>
      </c>
      <c r="R359" s="33">
        <f t="shared" si="60"/>
        <v>15</v>
      </c>
      <c r="S359" s="132">
        <f t="shared" si="63"/>
        <v>1.875</v>
      </c>
      <c r="T359" s="132">
        <f t="shared" si="64"/>
        <v>1.875</v>
      </c>
      <c r="V359" s="131">
        <f t="shared" si="65"/>
        <v>7.6316256687609467</v>
      </c>
      <c r="W359" s="134">
        <v>34.307000000000002</v>
      </c>
      <c r="X359" s="8">
        <f>60*60*8/W359</f>
        <v>839.47882356370417</v>
      </c>
      <c r="Y359" s="161">
        <v>45344</v>
      </c>
      <c r="Z359" s="7" t="s">
        <v>7</v>
      </c>
      <c r="AA359" s="117"/>
      <c r="AB359" s="117"/>
      <c r="AC359" s="117"/>
      <c r="AD359" s="24">
        <v>45496</v>
      </c>
      <c r="AE359">
        <v>6</v>
      </c>
      <c r="AF359">
        <v>6.4</v>
      </c>
      <c r="AG359">
        <v>1.8</v>
      </c>
      <c r="AJ359">
        <v>0.5</v>
      </c>
      <c r="AK359">
        <v>8</v>
      </c>
      <c r="AL359">
        <v>7.5</v>
      </c>
      <c r="AN359">
        <v>13</v>
      </c>
      <c r="AO359">
        <v>1.7</v>
      </c>
      <c r="AP359">
        <v>0.8</v>
      </c>
      <c r="AS359" s="29">
        <v>34.31</v>
      </c>
      <c r="AT359">
        <v>9</v>
      </c>
      <c r="AU359">
        <v>24</v>
      </c>
      <c r="AV359">
        <v>54</v>
      </c>
      <c r="AW359">
        <v>63</v>
      </c>
      <c r="AX359">
        <v>18</v>
      </c>
      <c r="AY359">
        <v>41</v>
      </c>
      <c r="AZ359">
        <v>81</v>
      </c>
      <c r="BA359">
        <v>113</v>
      </c>
      <c r="BB359">
        <v>350</v>
      </c>
      <c r="CH359">
        <v>3</v>
      </c>
      <c r="CI359">
        <v>59</v>
      </c>
    </row>
    <row r="360" spans="1:87" x14ac:dyDescent="0.3">
      <c r="A360" s="2">
        <v>271</v>
      </c>
      <c r="B360" s="2" t="s">
        <v>0</v>
      </c>
      <c r="C360" s="2" t="s">
        <v>1</v>
      </c>
      <c r="D360" s="2" t="s">
        <v>733</v>
      </c>
      <c r="E360" s="2">
        <v>450</v>
      </c>
      <c r="F360" s="2">
        <v>3.5200000000000002E-2</v>
      </c>
      <c r="G360" s="2">
        <v>2.1499999999999998E-2</v>
      </c>
      <c r="H360" s="4">
        <f t="shared" si="61"/>
        <v>0.38920454545454553</v>
      </c>
      <c r="I360" s="2" t="s">
        <v>98</v>
      </c>
      <c r="J360" s="2" t="s">
        <v>734</v>
      </c>
      <c r="K360" s="2" t="s">
        <v>413</v>
      </c>
      <c r="L360" s="2" t="s">
        <v>76</v>
      </c>
      <c r="M360" s="155"/>
      <c r="N360" s="155"/>
      <c r="O360" s="2">
        <v>15</v>
      </c>
      <c r="P360" s="6">
        <v>15</v>
      </c>
      <c r="Q360" s="131">
        <f t="shared" si="62"/>
        <v>64</v>
      </c>
      <c r="R360" s="33">
        <f t="shared" si="60"/>
        <v>15</v>
      </c>
      <c r="S360" s="132">
        <f t="shared" si="63"/>
        <v>1.875</v>
      </c>
      <c r="T360" s="132">
        <f t="shared" si="64"/>
        <v>1.875</v>
      </c>
      <c r="V360" s="131" t="str">
        <f t="shared" si="65"/>
        <v/>
      </c>
      <c r="W360" s="17"/>
      <c r="X360" s="7"/>
      <c r="Y360" s="161"/>
      <c r="Z360" s="7"/>
      <c r="AA360" s="117"/>
      <c r="AB360" s="117"/>
      <c r="AC360" s="117"/>
      <c r="CH360">
        <v>6</v>
      </c>
      <c r="CI360">
        <v>42</v>
      </c>
    </row>
    <row r="361" spans="1:87" x14ac:dyDescent="0.3">
      <c r="A361" s="2">
        <v>273</v>
      </c>
      <c r="B361" s="2" t="s">
        <v>0</v>
      </c>
      <c r="C361" s="2" t="s">
        <v>1</v>
      </c>
      <c r="D361" s="2" t="s">
        <v>735</v>
      </c>
      <c r="E361" s="2">
        <v>300</v>
      </c>
      <c r="F361" s="2">
        <v>6.3600000000000004E-2</v>
      </c>
      <c r="G361" s="2">
        <v>4.7E-2</v>
      </c>
      <c r="H361" s="4">
        <f t="shared" si="61"/>
        <v>0.26100628930817615</v>
      </c>
      <c r="I361" s="2" t="s">
        <v>98</v>
      </c>
      <c r="J361" s="2" t="s">
        <v>736</v>
      </c>
      <c r="K361" s="2" t="s">
        <v>5</v>
      </c>
      <c r="L361" s="2" t="s">
        <v>6</v>
      </c>
      <c r="M361" s="155"/>
      <c r="N361" s="155"/>
      <c r="O361" s="2">
        <v>4</v>
      </c>
      <c r="P361" s="6">
        <v>18</v>
      </c>
      <c r="Q361" s="131">
        <f t="shared" si="62"/>
        <v>21.333333333333332</v>
      </c>
      <c r="R361" s="33">
        <f t="shared" si="60"/>
        <v>18</v>
      </c>
      <c r="S361" s="132">
        <f t="shared" si="63"/>
        <v>2.25</v>
      </c>
      <c r="T361" s="132">
        <f t="shared" si="64"/>
        <v>2.25</v>
      </c>
      <c r="V361" s="131" t="str">
        <f t="shared" si="65"/>
        <v/>
      </c>
      <c r="W361" s="17"/>
      <c r="X361" s="7"/>
      <c r="Y361" s="161"/>
      <c r="Z361" s="7"/>
      <c r="AA361" s="117"/>
      <c r="AB361" s="117"/>
      <c r="AC361" s="117"/>
      <c r="CH361">
        <v>4</v>
      </c>
      <c r="CI361">
        <v>78</v>
      </c>
    </row>
    <row r="362" spans="1:87" x14ac:dyDescent="0.3">
      <c r="A362" s="2">
        <v>277</v>
      </c>
      <c r="B362" s="2" t="s">
        <v>84</v>
      </c>
      <c r="C362" s="2" t="s">
        <v>1</v>
      </c>
      <c r="D362" s="2" t="s">
        <v>737</v>
      </c>
      <c r="E362" s="2">
        <v>1100</v>
      </c>
      <c r="F362" s="2">
        <v>5.1000000000000004E-3</v>
      </c>
      <c r="G362" s="2">
        <v>3.5999999999999999E-3</v>
      </c>
      <c r="H362" s="4">
        <f t="shared" si="61"/>
        <v>0.29411764705882359</v>
      </c>
      <c r="I362" s="2" t="s">
        <v>98</v>
      </c>
      <c r="J362" s="2" t="s">
        <v>499</v>
      </c>
      <c r="K362" s="2" t="s">
        <v>5</v>
      </c>
      <c r="L362" s="2" t="s">
        <v>6</v>
      </c>
      <c r="M362" s="155"/>
      <c r="N362" s="155"/>
      <c r="O362" s="2">
        <v>40</v>
      </c>
      <c r="P362" s="6">
        <v>11</v>
      </c>
      <c r="Q362" s="131">
        <f t="shared" si="62"/>
        <v>95.206611570247929</v>
      </c>
      <c r="R362" s="33">
        <f t="shared" si="60"/>
        <v>11</v>
      </c>
      <c r="S362" s="132">
        <f t="shared" si="63"/>
        <v>1.375</v>
      </c>
      <c r="T362" s="132">
        <f t="shared" si="64"/>
        <v>1.375</v>
      </c>
      <c r="V362" s="131" t="str">
        <f t="shared" si="65"/>
        <v/>
      </c>
      <c r="W362" s="17"/>
      <c r="X362" s="7"/>
      <c r="Y362" s="161"/>
      <c r="Z362" s="7"/>
      <c r="AA362" s="117"/>
      <c r="AB362" s="117"/>
      <c r="AC362" s="117"/>
      <c r="CH362">
        <v>2</v>
      </c>
      <c r="CI362">
        <v>52</v>
      </c>
    </row>
    <row r="363" spans="1:87" x14ac:dyDescent="0.3">
      <c r="A363" s="2">
        <v>278</v>
      </c>
      <c r="B363" s="2" t="s">
        <v>84</v>
      </c>
      <c r="C363" s="2" t="s">
        <v>1</v>
      </c>
      <c r="D363" s="2" t="s">
        <v>738</v>
      </c>
      <c r="E363" s="2">
        <v>1100</v>
      </c>
      <c r="F363" s="2">
        <v>7.1999999999999998E-3</v>
      </c>
      <c r="G363" s="2">
        <v>3.5999999999999999E-3</v>
      </c>
      <c r="H363" s="4">
        <f t="shared" si="61"/>
        <v>0.5</v>
      </c>
      <c r="I363" s="2" t="s">
        <v>82</v>
      </c>
      <c r="J363" s="2" t="s">
        <v>739</v>
      </c>
      <c r="K363" s="2" t="s">
        <v>5</v>
      </c>
      <c r="L363" s="2" t="s">
        <v>6</v>
      </c>
      <c r="M363" s="155"/>
      <c r="N363" s="155"/>
      <c r="O363" s="2">
        <v>15</v>
      </c>
      <c r="P363" s="6"/>
      <c r="Q363" s="131" t="str">
        <f t="shared" si="62"/>
        <v/>
      </c>
      <c r="R363" s="33" t="str">
        <f t="shared" si="60"/>
        <v/>
      </c>
      <c r="S363" s="132" t="str">
        <f t="shared" si="63"/>
        <v/>
      </c>
      <c r="T363" s="132" t="str">
        <f t="shared" si="64"/>
        <v/>
      </c>
      <c r="V363" s="131" t="str">
        <f t="shared" si="65"/>
        <v/>
      </c>
      <c r="W363" s="17"/>
      <c r="X363" s="7"/>
      <c r="Y363" s="161"/>
      <c r="Z363" s="7"/>
      <c r="AA363" s="117"/>
      <c r="AB363" s="117"/>
      <c r="AC363" s="117"/>
      <c r="CH363">
        <v>5</v>
      </c>
      <c r="CI363">
        <v>85</v>
      </c>
    </row>
    <row r="364" spans="1:87" x14ac:dyDescent="0.3">
      <c r="A364" s="2">
        <v>280</v>
      </c>
      <c r="B364" s="2" t="s">
        <v>0</v>
      </c>
      <c r="C364" s="2" t="s">
        <v>1</v>
      </c>
      <c r="D364" s="2" t="s">
        <v>740</v>
      </c>
      <c r="E364" s="2">
        <v>500</v>
      </c>
      <c r="F364" s="2">
        <v>2.18E-2</v>
      </c>
      <c r="G364" s="2"/>
      <c r="H364" s="4">
        <f t="shared" si="61"/>
        <v>1</v>
      </c>
      <c r="I364" s="2" t="s">
        <v>98</v>
      </c>
      <c r="J364" s="2" t="s">
        <v>594</v>
      </c>
      <c r="K364" s="2" t="s">
        <v>222</v>
      </c>
      <c r="L364" s="2" t="s">
        <v>76</v>
      </c>
      <c r="M364" s="155"/>
      <c r="N364" s="155"/>
      <c r="O364" s="2">
        <v>18</v>
      </c>
      <c r="P364" s="6">
        <v>25</v>
      </c>
      <c r="Q364" s="131">
        <f t="shared" si="62"/>
        <v>41.472000000000001</v>
      </c>
      <c r="R364" s="33">
        <f t="shared" si="60"/>
        <v>24.999999999999996</v>
      </c>
      <c r="S364" s="132">
        <f t="shared" si="63"/>
        <v>3.1249999999999996</v>
      </c>
      <c r="T364" s="132">
        <f t="shared" si="64"/>
        <v>3.1249999999999996</v>
      </c>
      <c r="V364" s="131" t="str">
        <f t="shared" si="65"/>
        <v/>
      </c>
      <c r="W364" s="17"/>
      <c r="X364" s="7"/>
      <c r="Y364" s="161"/>
      <c r="Z364" s="7"/>
      <c r="AA364" s="117"/>
      <c r="AB364" s="117"/>
      <c r="AC364" s="117"/>
      <c r="CH364">
        <v>6</v>
      </c>
      <c r="CI364">
        <v>46</v>
      </c>
    </row>
    <row r="365" spans="1:87" x14ac:dyDescent="0.3">
      <c r="A365" s="2">
        <v>283</v>
      </c>
      <c r="B365" s="2" t="s">
        <v>0</v>
      </c>
      <c r="C365" s="2" t="s">
        <v>1</v>
      </c>
      <c r="D365" s="2" t="s">
        <v>741</v>
      </c>
      <c r="E365" s="2">
        <v>2500</v>
      </c>
      <c r="F365" s="2">
        <v>4.7999999999999996E-3</v>
      </c>
      <c r="G365" s="2">
        <v>3.7000000000000002E-3</v>
      </c>
      <c r="H365" s="4">
        <f t="shared" si="61"/>
        <v>0.22916666666666657</v>
      </c>
      <c r="I365" s="2" t="s">
        <v>98</v>
      </c>
      <c r="J365" s="2" t="s">
        <v>689</v>
      </c>
      <c r="K365" s="2" t="s">
        <v>5</v>
      </c>
      <c r="L365" s="2" t="s">
        <v>6</v>
      </c>
      <c r="M365" s="155"/>
      <c r="N365" s="155"/>
      <c r="O365" s="2">
        <v>42</v>
      </c>
      <c r="P365" s="6">
        <v>12</v>
      </c>
      <c r="Q365" s="131">
        <f t="shared" si="62"/>
        <v>40.32</v>
      </c>
      <c r="R365" s="33">
        <f t="shared" si="60"/>
        <v>12</v>
      </c>
      <c r="S365" s="132">
        <f t="shared" si="63"/>
        <v>1.5</v>
      </c>
      <c r="T365" s="132">
        <f t="shared" si="64"/>
        <v>1.5</v>
      </c>
      <c r="V365" s="131" t="str">
        <f t="shared" si="65"/>
        <v/>
      </c>
      <c r="W365" s="17"/>
      <c r="X365" s="7"/>
      <c r="Y365" s="161"/>
      <c r="Z365" s="7"/>
      <c r="AA365" s="117"/>
      <c r="AB365" s="117"/>
      <c r="AC365" s="117"/>
      <c r="CH365">
        <v>1</v>
      </c>
      <c r="CI365">
        <v>38</v>
      </c>
    </row>
    <row r="366" spans="1:87" ht="15.75" customHeight="1" x14ac:dyDescent="0.3">
      <c r="A366" s="23">
        <v>288</v>
      </c>
      <c r="B366" s="2" t="s">
        <v>0</v>
      </c>
      <c r="C366" s="2" t="s">
        <v>1</v>
      </c>
      <c r="D366" s="2" t="s">
        <v>742</v>
      </c>
      <c r="E366" s="2">
        <v>900</v>
      </c>
      <c r="F366" s="2">
        <v>2.46E-2</v>
      </c>
      <c r="G366" s="2">
        <v>1.9199999999999998E-2</v>
      </c>
      <c r="H366" s="4">
        <f t="shared" si="61"/>
        <v>0.2195121951219513</v>
      </c>
      <c r="I366" s="2" t="s">
        <v>82</v>
      </c>
      <c r="J366" s="2" t="s">
        <v>743</v>
      </c>
      <c r="K366" s="2" t="s">
        <v>105</v>
      </c>
      <c r="L366" s="2" t="s">
        <v>76</v>
      </c>
      <c r="M366" s="155"/>
      <c r="N366" s="155"/>
      <c r="O366" s="2">
        <v>6</v>
      </c>
      <c r="P366" s="6">
        <v>14</v>
      </c>
      <c r="Q366" s="131">
        <f t="shared" si="62"/>
        <v>13.714285714285714</v>
      </c>
      <c r="R366" s="33">
        <f t="shared" si="60"/>
        <v>14</v>
      </c>
      <c r="S366" s="132">
        <f t="shared" si="63"/>
        <v>1.75</v>
      </c>
      <c r="T366" s="132">
        <f t="shared" si="64"/>
        <v>1.75</v>
      </c>
      <c r="V366" s="131">
        <f t="shared" si="65"/>
        <v>5.333333333333333</v>
      </c>
      <c r="W366" s="17">
        <v>36</v>
      </c>
      <c r="X366" s="8">
        <f>60*60*8/W366</f>
        <v>800</v>
      </c>
      <c r="Y366" s="161">
        <v>45541</v>
      </c>
      <c r="Z366" s="7" t="s">
        <v>7</v>
      </c>
      <c r="AA366" s="117"/>
      <c r="AB366" s="117"/>
      <c r="AC366" s="117"/>
      <c r="AD366" s="24">
        <v>45545</v>
      </c>
      <c r="AE366">
        <v>6</v>
      </c>
      <c r="AF366">
        <v>5.4</v>
      </c>
      <c r="AH366">
        <v>3</v>
      </c>
      <c r="AI366">
        <v>0.6</v>
      </c>
      <c r="AJ366">
        <v>0.7</v>
      </c>
      <c r="AK366">
        <v>8</v>
      </c>
      <c r="AL366">
        <v>7.5</v>
      </c>
      <c r="AN366">
        <v>10</v>
      </c>
      <c r="AO366">
        <v>0.3</v>
      </c>
      <c r="AS366">
        <v>36</v>
      </c>
      <c r="AT366">
        <v>9.5</v>
      </c>
      <c r="AU366">
        <v>18</v>
      </c>
      <c r="AV366">
        <v>108</v>
      </c>
      <c r="AW366">
        <v>121</v>
      </c>
      <c r="AX366">
        <v>18</v>
      </c>
      <c r="AY366">
        <v>41</v>
      </c>
      <c r="AZ366">
        <v>81</v>
      </c>
      <c r="BA366">
        <v>123</v>
      </c>
      <c r="BB366">
        <v>420</v>
      </c>
      <c r="CH366">
        <v>3</v>
      </c>
      <c r="CI366">
        <v>63</v>
      </c>
    </row>
    <row r="367" spans="1:87" x14ac:dyDescent="0.3">
      <c r="A367" s="23">
        <v>289</v>
      </c>
      <c r="B367" s="2" t="s">
        <v>0</v>
      </c>
      <c r="C367" s="2" t="s">
        <v>1</v>
      </c>
      <c r="D367" s="2" t="s">
        <v>744</v>
      </c>
      <c r="E367" s="2">
        <v>1350</v>
      </c>
      <c r="F367" s="2">
        <v>1.78E-2</v>
      </c>
      <c r="G367" s="2">
        <v>1.41E-2</v>
      </c>
      <c r="H367" s="4">
        <f t="shared" si="61"/>
        <v>0.20786516853932585</v>
      </c>
      <c r="I367" s="2" t="s">
        <v>82</v>
      </c>
      <c r="J367" s="2" t="s">
        <v>743</v>
      </c>
      <c r="K367" s="2" t="s">
        <v>261</v>
      </c>
      <c r="L367" s="2" t="s">
        <v>76</v>
      </c>
      <c r="M367" s="155"/>
      <c r="N367" s="155"/>
      <c r="O367" s="2">
        <v>10</v>
      </c>
      <c r="P367" s="6">
        <v>11</v>
      </c>
      <c r="Q367" s="131">
        <f t="shared" si="62"/>
        <v>19.393939393939394</v>
      </c>
      <c r="R367" s="33">
        <f t="shared" si="60"/>
        <v>11</v>
      </c>
      <c r="S367" s="132">
        <f t="shared" si="63"/>
        <v>1.375</v>
      </c>
      <c r="T367" s="132">
        <f t="shared" si="64"/>
        <v>1.375</v>
      </c>
      <c r="V367" s="131">
        <f t="shared" si="65"/>
        <v>5.9259259259259256</v>
      </c>
      <c r="W367" s="17">
        <v>36</v>
      </c>
      <c r="X367" s="8">
        <f>60*60*8/W367</f>
        <v>800</v>
      </c>
      <c r="Y367" s="161">
        <v>45605</v>
      </c>
      <c r="Z367" s="7" t="s">
        <v>7</v>
      </c>
      <c r="AA367" s="117"/>
      <c r="AB367" s="117"/>
      <c r="AC367" s="117"/>
      <c r="AD367" s="24">
        <v>45546</v>
      </c>
      <c r="AE367">
        <v>6</v>
      </c>
      <c r="AF367">
        <v>5.3</v>
      </c>
      <c r="AH367">
        <v>3</v>
      </c>
      <c r="AI367">
        <v>0.6</v>
      </c>
      <c r="AJ367">
        <v>0.7</v>
      </c>
      <c r="AK367">
        <v>8</v>
      </c>
      <c r="AL367">
        <v>7.5</v>
      </c>
      <c r="AN367">
        <v>10</v>
      </c>
      <c r="AO367">
        <v>0.3</v>
      </c>
      <c r="AS367">
        <v>36</v>
      </c>
      <c r="AT367">
        <v>9.5</v>
      </c>
      <c r="AU367">
        <v>18</v>
      </c>
      <c r="AV367">
        <v>131</v>
      </c>
      <c r="AW367">
        <v>144</v>
      </c>
      <c r="AX367">
        <v>18</v>
      </c>
      <c r="AY367">
        <v>41</v>
      </c>
      <c r="AZ367">
        <v>81</v>
      </c>
      <c r="BA367">
        <v>123</v>
      </c>
      <c r="BB367">
        <v>420</v>
      </c>
      <c r="CH367">
        <v>1</v>
      </c>
      <c r="CI367">
        <v>43</v>
      </c>
    </row>
    <row r="368" spans="1:87" x14ac:dyDescent="0.3">
      <c r="A368" s="2">
        <v>291</v>
      </c>
      <c r="B368" s="2" t="s">
        <v>0</v>
      </c>
      <c r="C368" s="2" t="s">
        <v>1</v>
      </c>
      <c r="D368" s="2" t="s">
        <v>745</v>
      </c>
      <c r="E368" s="2">
        <v>600</v>
      </c>
      <c r="F368" s="2">
        <v>2.4199999999999999E-2</v>
      </c>
      <c r="G368" s="2"/>
      <c r="H368" s="4">
        <f t="shared" si="61"/>
        <v>1</v>
      </c>
      <c r="I368" s="2" t="s">
        <v>82</v>
      </c>
      <c r="J368" s="2" t="s">
        <v>645</v>
      </c>
      <c r="K368" s="2" t="s">
        <v>222</v>
      </c>
      <c r="L368" s="2" t="s">
        <v>76</v>
      </c>
      <c r="M368" s="155"/>
      <c r="N368" s="155"/>
      <c r="O368" s="2">
        <v>8</v>
      </c>
      <c r="P368" s="6">
        <v>20</v>
      </c>
      <c r="Q368" s="131">
        <f t="shared" si="62"/>
        <v>19.2</v>
      </c>
      <c r="R368" s="33">
        <f t="shared" si="60"/>
        <v>20</v>
      </c>
      <c r="S368" s="132">
        <f t="shared" si="63"/>
        <v>2.5</v>
      </c>
      <c r="T368" s="132">
        <f t="shared" si="64"/>
        <v>2.5</v>
      </c>
      <c r="V368" s="131" t="str">
        <f t="shared" si="65"/>
        <v/>
      </c>
      <c r="W368" s="17"/>
      <c r="X368" s="7"/>
      <c r="Y368" s="161"/>
      <c r="Z368" s="7"/>
      <c r="AA368" s="117"/>
      <c r="AB368" s="117"/>
      <c r="AC368" s="117"/>
      <c r="CH368">
        <v>4</v>
      </c>
      <c r="CI368">
        <v>39</v>
      </c>
    </row>
    <row r="369" spans="1:87" x14ac:dyDescent="0.3">
      <c r="A369" s="2">
        <v>299</v>
      </c>
      <c r="B369" s="2" t="s">
        <v>0</v>
      </c>
      <c r="C369" s="2" t="s">
        <v>1</v>
      </c>
      <c r="D369" s="2" t="s">
        <v>746</v>
      </c>
      <c r="E369" s="2">
        <v>300</v>
      </c>
      <c r="F369" s="2">
        <v>9.6799999999999997E-2</v>
      </c>
      <c r="G369" s="2">
        <v>5.96E-2</v>
      </c>
      <c r="H369" s="4">
        <f t="shared" si="61"/>
        <v>0.38429752066115702</v>
      </c>
      <c r="I369" s="2" t="s">
        <v>98</v>
      </c>
      <c r="J369" s="2" t="s">
        <v>747</v>
      </c>
      <c r="K369" s="2" t="s">
        <v>413</v>
      </c>
      <c r="L369" s="2" t="s">
        <v>76</v>
      </c>
      <c r="M369" s="155"/>
      <c r="N369" s="155"/>
      <c r="O369" s="2">
        <v>6</v>
      </c>
      <c r="P369" s="6">
        <v>20</v>
      </c>
      <c r="Q369" s="131">
        <f t="shared" si="62"/>
        <v>28.8</v>
      </c>
      <c r="R369" s="33">
        <f t="shared" si="60"/>
        <v>20</v>
      </c>
      <c r="S369" s="132">
        <f t="shared" si="63"/>
        <v>2.5</v>
      </c>
      <c r="T369" s="132">
        <f t="shared" si="64"/>
        <v>2.5</v>
      </c>
      <c r="V369" s="131" t="str">
        <f t="shared" si="65"/>
        <v/>
      </c>
      <c r="W369" s="17"/>
      <c r="X369" s="7"/>
      <c r="Y369" s="161"/>
      <c r="Z369" s="7"/>
      <c r="AA369" s="117"/>
      <c r="AB369" s="117"/>
      <c r="AC369" s="117"/>
      <c r="CH369">
        <v>5</v>
      </c>
      <c r="CI369">
        <v>35</v>
      </c>
    </row>
    <row r="370" spans="1:87" x14ac:dyDescent="0.3">
      <c r="A370" s="23">
        <v>306</v>
      </c>
      <c r="B370" s="2" t="s">
        <v>0</v>
      </c>
      <c r="C370" s="2" t="s">
        <v>1</v>
      </c>
      <c r="D370" s="2" t="s">
        <v>748</v>
      </c>
      <c r="E370" s="2">
        <v>3000</v>
      </c>
      <c r="F370" s="2">
        <v>6.7999999999999996E-3</v>
      </c>
      <c r="G370" s="2">
        <v>6.0000000000000001E-3</v>
      </c>
      <c r="H370" s="4">
        <f t="shared" si="61"/>
        <v>0.11764705882352934</v>
      </c>
      <c r="I370" s="2" t="s">
        <v>98</v>
      </c>
      <c r="J370" s="2" t="s">
        <v>721</v>
      </c>
      <c r="K370" s="2" t="s">
        <v>129</v>
      </c>
      <c r="L370" s="2" t="s">
        <v>96</v>
      </c>
      <c r="M370" s="155"/>
      <c r="N370" s="155"/>
      <c r="O370" s="2">
        <v>20</v>
      </c>
      <c r="P370" s="6">
        <v>10</v>
      </c>
      <c r="Q370" s="131">
        <f t="shared" si="62"/>
        <v>19.2</v>
      </c>
      <c r="R370" s="33">
        <f t="shared" si="60"/>
        <v>10</v>
      </c>
      <c r="S370" s="132">
        <f t="shared" si="63"/>
        <v>1.25</v>
      </c>
      <c r="T370" s="132">
        <f t="shared" si="64"/>
        <v>1.25</v>
      </c>
      <c r="V370" s="131">
        <f t="shared" si="65"/>
        <v>6.7844522968197873</v>
      </c>
      <c r="W370" s="17">
        <v>28.3</v>
      </c>
      <c r="X370" s="8">
        <f>60*60*8/W370</f>
        <v>1017.6678445229682</v>
      </c>
      <c r="Y370" s="161">
        <v>45603</v>
      </c>
      <c r="Z370" s="7" t="s">
        <v>7</v>
      </c>
      <c r="AA370" s="117"/>
      <c r="AB370" s="117"/>
      <c r="AC370" s="117"/>
      <c r="CH370">
        <v>4</v>
      </c>
      <c r="CI370">
        <v>46</v>
      </c>
    </row>
    <row r="371" spans="1:87" x14ac:dyDescent="0.3">
      <c r="A371" s="2">
        <v>307</v>
      </c>
      <c r="B371" s="2" t="s">
        <v>84</v>
      </c>
      <c r="C371" s="2" t="s">
        <v>1</v>
      </c>
      <c r="D371" s="2" t="s">
        <v>749</v>
      </c>
      <c r="E371" s="2">
        <v>650</v>
      </c>
      <c r="F371" s="2">
        <v>2.1700000000000001E-2</v>
      </c>
      <c r="G371" s="2">
        <v>1.2699999999999999E-2</v>
      </c>
      <c r="H371" s="4">
        <f t="shared" si="61"/>
        <v>0.41474654377880188</v>
      </c>
      <c r="I371" s="2" t="s">
        <v>82</v>
      </c>
      <c r="J371" s="2" t="s">
        <v>83</v>
      </c>
      <c r="K371" s="2" t="s">
        <v>105</v>
      </c>
      <c r="L371" s="2" t="s">
        <v>76</v>
      </c>
      <c r="M371" s="155"/>
      <c r="N371" s="155"/>
      <c r="O371" s="2">
        <v>6</v>
      </c>
      <c r="P371" s="6"/>
      <c r="Q371" s="131" t="str">
        <f t="shared" si="62"/>
        <v/>
      </c>
      <c r="R371" s="33" t="str">
        <f t="shared" si="60"/>
        <v/>
      </c>
      <c r="S371" s="132" t="str">
        <f t="shared" si="63"/>
        <v/>
      </c>
      <c r="T371" s="132" t="str">
        <f t="shared" si="64"/>
        <v/>
      </c>
      <c r="V371" s="131" t="str">
        <f t="shared" si="65"/>
        <v/>
      </c>
      <c r="W371" s="17"/>
      <c r="X371" s="7"/>
      <c r="Y371" s="161"/>
      <c r="Z371" s="7"/>
      <c r="AA371" s="117"/>
      <c r="AB371" s="117"/>
      <c r="AC371" s="117"/>
      <c r="CH371">
        <v>3</v>
      </c>
      <c r="CI371">
        <v>68</v>
      </c>
    </row>
    <row r="372" spans="1:87" x14ac:dyDescent="0.3">
      <c r="A372" s="2">
        <v>308</v>
      </c>
      <c r="B372" s="2" t="s">
        <v>0</v>
      </c>
      <c r="C372" s="2" t="s">
        <v>1</v>
      </c>
      <c r="D372" s="2" t="s">
        <v>750</v>
      </c>
      <c r="E372" s="2">
        <v>1500</v>
      </c>
      <c r="F372" s="2">
        <v>8.0999999999999996E-3</v>
      </c>
      <c r="G372" s="2">
        <v>7.4999999999999997E-3</v>
      </c>
      <c r="H372" s="4">
        <f t="shared" si="61"/>
        <v>7.4074074074074056E-2</v>
      </c>
      <c r="I372" s="2" t="s">
        <v>98</v>
      </c>
      <c r="J372" s="2" t="s">
        <v>721</v>
      </c>
      <c r="K372" s="2" t="s">
        <v>222</v>
      </c>
      <c r="L372" s="2" t="s">
        <v>76</v>
      </c>
      <c r="M372" s="155"/>
      <c r="N372" s="155"/>
      <c r="O372" s="2">
        <v>18</v>
      </c>
      <c r="P372" s="6">
        <v>10</v>
      </c>
      <c r="Q372" s="131">
        <f t="shared" si="62"/>
        <v>34.56</v>
      </c>
      <c r="R372" s="33">
        <f t="shared" si="60"/>
        <v>10</v>
      </c>
      <c r="S372" s="132">
        <f t="shared" si="63"/>
        <v>1.25</v>
      </c>
      <c r="T372" s="132">
        <f t="shared" si="64"/>
        <v>1.25</v>
      </c>
      <c r="V372" s="131" t="str">
        <f t="shared" si="65"/>
        <v/>
      </c>
      <c r="W372" s="17"/>
      <c r="X372" s="7"/>
      <c r="Y372" s="161"/>
      <c r="Z372" s="7"/>
      <c r="AA372" s="117"/>
      <c r="AB372" s="117"/>
      <c r="AC372" s="117"/>
      <c r="CH372">
        <v>2</v>
      </c>
      <c r="CI372">
        <v>80</v>
      </c>
    </row>
    <row r="373" spans="1:87" x14ac:dyDescent="0.3">
      <c r="A373" s="2">
        <v>309</v>
      </c>
      <c r="B373" s="2" t="s">
        <v>84</v>
      </c>
      <c r="C373" s="2" t="s">
        <v>1</v>
      </c>
      <c r="D373" s="2" t="s">
        <v>751</v>
      </c>
      <c r="E373" s="2">
        <v>650</v>
      </c>
      <c r="F373" s="2">
        <v>2.1700000000000001E-2</v>
      </c>
      <c r="G373" s="2">
        <v>1.2699999999999999E-2</v>
      </c>
      <c r="H373" s="4">
        <f t="shared" si="61"/>
        <v>0.41474654377880188</v>
      </c>
      <c r="I373" s="2" t="s">
        <v>82</v>
      </c>
      <c r="J373" s="2" t="s">
        <v>83</v>
      </c>
      <c r="K373" s="2" t="s">
        <v>105</v>
      </c>
      <c r="L373" s="2" t="s">
        <v>76</v>
      </c>
      <c r="M373" s="155"/>
      <c r="N373" s="155"/>
      <c r="O373" s="2">
        <v>6</v>
      </c>
      <c r="P373" s="6"/>
      <c r="Q373" s="131" t="str">
        <f t="shared" si="62"/>
        <v/>
      </c>
      <c r="R373" s="33" t="str">
        <f t="shared" si="60"/>
        <v/>
      </c>
      <c r="S373" s="132" t="str">
        <f t="shared" si="63"/>
        <v/>
      </c>
      <c r="T373" s="132" t="str">
        <f t="shared" si="64"/>
        <v/>
      </c>
      <c r="V373" s="131" t="str">
        <f t="shared" si="65"/>
        <v/>
      </c>
      <c r="W373" s="17"/>
      <c r="X373" s="7"/>
      <c r="Y373" s="161"/>
      <c r="Z373" s="7"/>
      <c r="AA373" s="117"/>
      <c r="AB373" s="117"/>
      <c r="AC373" s="117"/>
      <c r="CH373">
        <v>2</v>
      </c>
      <c r="CI373">
        <v>55</v>
      </c>
    </row>
    <row r="374" spans="1:87" x14ac:dyDescent="0.3">
      <c r="A374" s="2">
        <v>313</v>
      </c>
      <c r="B374" s="2" t="s">
        <v>0</v>
      </c>
      <c r="C374" s="2" t="s">
        <v>1</v>
      </c>
      <c r="D374" s="2" t="s">
        <v>752</v>
      </c>
      <c r="E374" s="2">
        <v>650</v>
      </c>
      <c r="F374" s="2">
        <v>2.4299999999999999E-2</v>
      </c>
      <c r="G374" s="2">
        <v>1.8800000000000001E-2</v>
      </c>
      <c r="H374" s="4">
        <f t="shared" si="61"/>
        <v>0.22633744855967072</v>
      </c>
      <c r="I374" s="2" t="s">
        <v>98</v>
      </c>
      <c r="J374" s="2" t="s">
        <v>753</v>
      </c>
      <c r="K374" s="2" t="s">
        <v>105</v>
      </c>
      <c r="L374" s="2" t="s">
        <v>76</v>
      </c>
      <c r="M374" s="155"/>
      <c r="N374" s="155"/>
      <c r="O374" s="2">
        <v>12</v>
      </c>
      <c r="P374" s="6">
        <v>10</v>
      </c>
      <c r="Q374" s="131">
        <f t="shared" si="62"/>
        <v>53.169230769230772</v>
      </c>
      <c r="R374" s="33">
        <f t="shared" ref="R374:R437" si="66">IFERROR(60*60*8*O374/E374/Q374,"")</f>
        <v>10</v>
      </c>
      <c r="S374" s="132">
        <f t="shared" si="63"/>
        <v>1.25</v>
      </c>
      <c r="T374" s="132">
        <f t="shared" si="64"/>
        <v>1.25</v>
      </c>
      <c r="V374" s="131" t="str">
        <f t="shared" si="65"/>
        <v/>
      </c>
      <c r="W374" s="17"/>
      <c r="X374" s="7"/>
      <c r="Y374" s="161"/>
      <c r="Z374" s="7"/>
      <c r="AA374" s="117"/>
      <c r="AB374" s="117"/>
      <c r="AC374" s="117"/>
      <c r="CH374">
        <v>1</v>
      </c>
      <c r="CI374">
        <v>86</v>
      </c>
    </row>
    <row r="375" spans="1:87" x14ac:dyDescent="0.3">
      <c r="A375" s="23">
        <v>315</v>
      </c>
      <c r="B375" s="2" t="s">
        <v>0</v>
      </c>
      <c r="C375" s="2" t="s">
        <v>1</v>
      </c>
      <c r="D375" s="2" t="s">
        <v>754</v>
      </c>
      <c r="E375" s="2">
        <v>1400</v>
      </c>
      <c r="F375" s="2">
        <v>1.7999999999999999E-2</v>
      </c>
      <c r="G375" s="2">
        <v>1.4800000000000001E-2</v>
      </c>
      <c r="H375" s="4">
        <f t="shared" ref="H375:H438" si="67">(F375-G375)/F375</f>
        <v>0.17777777777777767</v>
      </c>
      <c r="I375" s="2" t="s">
        <v>98</v>
      </c>
      <c r="J375" s="2" t="s">
        <v>755</v>
      </c>
      <c r="K375" s="2" t="s">
        <v>105</v>
      </c>
      <c r="L375" s="2" t="s">
        <v>76</v>
      </c>
      <c r="M375" s="155"/>
      <c r="N375" s="155"/>
      <c r="O375" s="2">
        <v>10</v>
      </c>
      <c r="P375" s="6">
        <v>10</v>
      </c>
      <c r="Q375" s="131">
        <f t="shared" ref="Q375:Q438" si="68">IFERROR(60*60*8*O375/E375/P375,"")</f>
        <v>20.571428571428573</v>
      </c>
      <c r="R375" s="33">
        <f t="shared" si="66"/>
        <v>10</v>
      </c>
      <c r="S375" s="132">
        <f t="shared" ref="S375:S438" si="69">IFERROR(R375/8,"")</f>
        <v>1.25</v>
      </c>
      <c r="T375" s="132">
        <f t="shared" ref="T375:T438" si="70">IFERROR(IF(R375&gt;2,S375,""),"")</f>
        <v>1.25</v>
      </c>
      <c r="V375" s="131">
        <f t="shared" ref="V375:V438" si="71">IF(X375&gt;10,X375*O375/E375,"")</f>
        <v>6.7007910656119121</v>
      </c>
      <c r="W375" s="134">
        <v>30.7</v>
      </c>
      <c r="X375" s="8">
        <f>60*60*8/W375</f>
        <v>938.11074918566783</v>
      </c>
      <c r="Y375" s="161">
        <v>45363</v>
      </c>
      <c r="Z375" s="7" t="s">
        <v>7</v>
      </c>
      <c r="AA375" s="117"/>
      <c r="AB375" s="117"/>
      <c r="AC375" s="117"/>
      <c r="AD375" s="22">
        <v>45528</v>
      </c>
      <c r="AE375">
        <v>1</v>
      </c>
      <c r="AF375">
        <v>3.6</v>
      </c>
      <c r="AG375">
        <v>1.8</v>
      </c>
      <c r="AI375">
        <v>0.1</v>
      </c>
      <c r="AJ375">
        <v>0.2</v>
      </c>
      <c r="AK375">
        <v>7</v>
      </c>
      <c r="AL375">
        <v>6.5</v>
      </c>
      <c r="AN375">
        <v>9</v>
      </c>
      <c r="AS375">
        <v>30.7</v>
      </c>
      <c r="AT375">
        <v>7.5</v>
      </c>
      <c r="AU375">
        <v>19.5</v>
      </c>
      <c r="AV375">
        <v>101</v>
      </c>
      <c r="AW375">
        <v>115</v>
      </c>
      <c r="AX375">
        <v>12</v>
      </c>
      <c r="AY375">
        <v>47</v>
      </c>
      <c r="AZ375">
        <v>95</v>
      </c>
      <c r="BA375">
        <v>112</v>
      </c>
      <c r="BB375">
        <v>420</v>
      </c>
      <c r="CH375">
        <v>6</v>
      </c>
      <c r="CI375">
        <v>83</v>
      </c>
    </row>
    <row r="376" spans="1:87" x14ac:dyDescent="0.3">
      <c r="A376" s="2">
        <v>316</v>
      </c>
      <c r="B376" s="2" t="s">
        <v>84</v>
      </c>
      <c r="C376" s="2" t="s">
        <v>1</v>
      </c>
      <c r="D376" s="2" t="s">
        <v>756</v>
      </c>
      <c r="E376" s="2">
        <v>900</v>
      </c>
      <c r="F376" s="2">
        <v>2.24E-2</v>
      </c>
      <c r="G376" s="2"/>
      <c r="H376" s="4">
        <f t="shared" si="67"/>
        <v>1</v>
      </c>
      <c r="I376" s="2" t="s">
        <v>82</v>
      </c>
      <c r="J376" s="2" t="s">
        <v>757</v>
      </c>
      <c r="K376" s="2" t="s">
        <v>105</v>
      </c>
      <c r="L376" s="2" t="s">
        <v>76</v>
      </c>
      <c r="M376" s="155"/>
      <c r="N376" s="155"/>
      <c r="O376" s="2">
        <v>9</v>
      </c>
      <c r="P376" s="6"/>
      <c r="Q376" s="131" t="str">
        <f t="shared" si="68"/>
        <v/>
      </c>
      <c r="R376" s="33" t="str">
        <f t="shared" si="66"/>
        <v/>
      </c>
      <c r="S376" s="132" t="str">
        <f t="shared" si="69"/>
        <v/>
      </c>
      <c r="T376" s="132" t="str">
        <f t="shared" si="70"/>
        <v/>
      </c>
      <c r="V376" s="131" t="str">
        <f t="shared" si="71"/>
        <v/>
      </c>
      <c r="W376" s="17"/>
      <c r="X376" s="8"/>
      <c r="Y376" s="161"/>
      <c r="Z376" s="7"/>
      <c r="AA376" s="117"/>
      <c r="AB376" s="117"/>
      <c r="AC376" s="117"/>
      <c r="CH376">
        <v>5</v>
      </c>
      <c r="CI376">
        <v>78</v>
      </c>
    </row>
    <row r="377" spans="1:87" x14ac:dyDescent="0.3">
      <c r="A377" s="2">
        <v>318</v>
      </c>
      <c r="B377" s="2" t="s">
        <v>84</v>
      </c>
      <c r="C377" s="2" t="s">
        <v>1</v>
      </c>
      <c r="D377" s="2" t="s">
        <v>758</v>
      </c>
      <c r="E377" s="2">
        <v>900</v>
      </c>
      <c r="F377" s="2">
        <v>2.24E-2</v>
      </c>
      <c r="G377" s="2"/>
      <c r="H377" s="4">
        <f t="shared" si="67"/>
        <v>1</v>
      </c>
      <c r="I377" s="2" t="s">
        <v>82</v>
      </c>
      <c r="J377" s="2" t="s">
        <v>759</v>
      </c>
      <c r="K377" s="2" t="s">
        <v>105</v>
      </c>
      <c r="L377" s="2" t="s">
        <v>76</v>
      </c>
      <c r="M377" s="155"/>
      <c r="N377" s="155"/>
      <c r="O377" s="2">
        <v>9</v>
      </c>
      <c r="P377" s="6"/>
      <c r="Q377" s="131" t="str">
        <f t="shared" si="68"/>
        <v/>
      </c>
      <c r="R377" s="33" t="str">
        <f t="shared" si="66"/>
        <v/>
      </c>
      <c r="S377" s="132" t="str">
        <f t="shared" si="69"/>
        <v/>
      </c>
      <c r="T377" s="132" t="str">
        <f t="shared" si="70"/>
        <v/>
      </c>
      <c r="V377" s="131" t="str">
        <f t="shared" si="71"/>
        <v/>
      </c>
      <c r="W377" s="17"/>
      <c r="X377" s="7"/>
      <c r="Y377" s="161"/>
      <c r="Z377" s="7"/>
      <c r="AA377" s="117"/>
      <c r="AB377" s="117"/>
      <c r="AC377" s="117"/>
      <c r="CH377">
        <v>3</v>
      </c>
      <c r="CI377">
        <v>66</v>
      </c>
    </row>
    <row r="378" spans="1:87" x14ac:dyDescent="0.3">
      <c r="A378" s="23">
        <v>319</v>
      </c>
      <c r="B378" s="2" t="s">
        <v>0</v>
      </c>
      <c r="C378" s="2" t="s">
        <v>1</v>
      </c>
      <c r="D378" s="2" t="s">
        <v>760</v>
      </c>
      <c r="E378" s="2">
        <v>1600</v>
      </c>
      <c r="F378" s="2">
        <v>7.1000000000000004E-3</v>
      </c>
      <c r="G378" s="2">
        <v>6.0000000000000001E-3</v>
      </c>
      <c r="H378" s="4">
        <f t="shared" si="67"/>
        <v>0.15492957746478878</v>
      </c>
      <c r="I378" s="2" t="s">
        <v>82</v>
      </c>
      <c r="J378" s="2" t="s">
        <v>658</v>
      </c>
      <c r="K378" s="2" t="s">
        <v>222</v>
      </c>
      <c r="L378" s="2" t="s">
        <v>76</v>
      </c>
      <c r="M378" s="155"/>
      <c r="N378" s="155"/>
      <c r="O378" s="2">
        <v>32</v>
      </c>
      <c r="P378" s="6">
        <v>8</v>
      </c>
      <c r="Q378" s="131">
        <f t="shared" si="68"/>
        <v>72</v>
      </c>
      <c r="R378" s="33">
        <f t="shared" si="66"/>
        <v>8</v>
      </c>
      <c r="S378" s="132">
        <f t="shared" si="69"/>
        <v>1</v>
      </c>
      <c r="T378" s="132">
        <f t="shared" si="70"/>
        <v>1</v>
      </c>
      <c r="V378" s="131">
        <f t="shared" si="71"/>
        <v>14.117647058823529</v>
      </c>
      <c r="W378" s="134">
        <v>40.799999999999997</v>
      </c>
      <c r="X378" s="8">
        <f>60*60*8/W378</f>
        <v>705.88235294117646</v>
      </c>
      <c r="Y378" s="161">
        <v>45365</v>
      </c>
      <c r="Z378" s="7" t="s">
        <v>7</v>
      </c>
      <c r="AA378" s="117"/>
      <c r="AB378" s="117"/>
      <c r="AC378" s="117"/>
      <c r="CH378">
        <v>1</v>
      </c>
      <c r="CI378">
        <v>76</v>
      </c>
    </row>
    <row r="379" spans="1:87" x14ac:dyDescent="0.3">
      <c r="A379" s="23">
        <v>320</v>
      </c>
      <c r="B379" s="2" t="s">
        <v>0</v>
      </c>
      <c r="C379" s="2" t="s">
        <v>1</v>
      </c>
      <c r="D379" s="2" t="s">
        <v>761</v>
      </c>
      <c r="E379" s="2">
        <v>3200</v>
      </c>
      <c r="F379" s="2">
        <v>7.1000000000000004E-3</v>
      </c>
      <c r="G379" s="2">
        <v>6.0000000000000001E-3</v>
      </c>
      <c r="H379" s="4">
        <f t="shared" si="67"/>
        <v>0.15492957746478878</v>
      </c>
      <c r="I379" s="2" t="s">
        <v>82</v>
      </c>
      <c r="J379" s="2" t="s">
        <v>658</v>
      </c>
      <c r="K379" s="2" t="s">
        <v>90</v>
      </c>
      <c r="L379" s="2" t="s">
        <v>6</v>
      </c>
      <c r="M379" s="155"/>
      <c r="N379" s="155"/>
      <c r="O379" s="2">
        <v>32</v>
      </c>
      <c r="P379" s="6">
        <v>10</v>
      </c>
      <c r="Q379" s="131">
        <f t="shared" si="68"/>
        <v>28.8</v>
      </c>
      <c r="R379" s="33">
        <f t="shared" si="66"/>
        <v>10</v>
      </c>
      <c r="S379" s="132">
        <f t="shared" si="69"/>
        <v>1.25</v>
      </c>
      <c r="T379" s="132">
        <f t="shared" si="70"/>
        <v>1.25</v>
      </c>
      <c r="V379" s="131">
        <f t="shared" si="71"/>
        <v>6.8866571018651364</v>
      </c>
      <c r="W379" s="134">
        <v>41.82</v>
      </c>
      <c r="X379" s="8">
        <f>60*60*8/W379</f>
        <v>688.66571018651359</v>
      </c>
      <c r="Y379" s="161">
        <v>45365</v>
      </c>
      <c r="Z379" s="7" t="s">
        <v>7</v>
      </c>
      <c r="AA379" s="117"/>
      <c r="AB379" s="117"/>
      <c r="AC379" s="117"/>
      <c r="CH379">
        <v>1</v>
      </c>
      <c r="CI379">
        <v>71</v>
      </c>
    </row>
    <row r="380" spans="1:87" x14ac:dyDescent="0.3">
      <c r="A380" s="2">
        <v>321</v>
      </c>
      <c r="B380" s="2" t="s">
        <v>84</v>
      </c>
      <c r="C380" s="2" t="s">
        <v>1</v>
      </c>
      <c r="D380" s="2" t="s">
        <v>762</v>
      </c>
      <c r="E380" s="2">
        <v>440</v>
      </c>
      <c r="F380" s="2">
        <v>1.5800000000000002E-2</v>
      </c>
      <c r="G380" s="2">
        <v>1.24E-2</v>
      </c>
      <c r="H380" s="4">
        <f t="shared" si="67"/>
        <v>0.21518987341772161</v>
      </c>
      <c r="I380" s="2" t="s">
        <v>82</v>
      </c>
      <c r="J380" s="2" t="s">
        <v>587</v>
      </c>
      <c r="K380" s="2"/>
      <c r="L380" s="2"/>
      <c r="M380" s="155"/>
      <c r="N380" s="155"/>
      <c r="O380" s="2">
        <v>9</v>
      </c>
      <c r="P380" s="6"/>
      <c r="Q380" s="131" t="str">
        <f t="shared" si="68"/>
        <v/>
      </c>
      <c r="R380" s="33" t="str">
        <f t="shared" si="66"/>
        <v/>
      </c>
      <c r="S380" s="132" t="str">
        <f t="shared" si="69"/>
        <v/>
      </c>
      <c r="T380" s="132" t="str">
        <f t="shared" si="70"/>
        <v/>
      </c>
      <c r="V380" s="131" t="str">
        <f t="shared" si="71"/>
        <v/>
      </c>
      <c r="W380" s="17"/>
      <c r="X380" s="7"/>
      <c r="Y380" s="161"/>
      <c r="Z380" s="7"/>
      <c r="AA380" s="117"/>
      <c r="AB380" s="117"/>
      <c r="AC380" s="117"/>
      <c r="CH380">
        <v>5</v>
      </c>
      <c r="CI380">
        <v>77</v>
      </c>
    </row>
    <row r="381" spans="1:87" x14ac:dyDescent="0.3">
      <c r="A381" s="2">
        <v>322</v>
      </c>
      <c r="B381" s="2" t="s">
        <v>84</v>
      </c>
      <c r="C381" s="2" t="s">
        <v>1</v>
      </c>
      <c r="D381" s="2" t="s">
        <v>763</v>
      </c>
      <c r="E381" s="2">
        <v>360</v>
      </c>
      <c r="F381" s="2">
        <v>2.63E-2</v>
      </c>
      <c r="G381" s="2"/>
      <c r="H381" s="4">
        <f t="shared" si="67"/>
        <v>1</v>
      </c>
      <c r="I381" s="2" t="s">
        <v>82</v>
      </c>
      <c r="J381" s="2" t="s">
        <v>764</v>
      </c>
      <c r="K381" s="2"/>
      <c r="L381" s="2"/>
      <c r="M381" s="155"/>
      <c r="N381" s="155"/>
      <c r="O381" s="2">
        <v>6</v>
      </c>
      <c r="P381" s="6"/>
      <c r="Q381" s="131" t="str">
        <f t="shared" si="68"/>
        <v/>
      </c>
      <c r="R381" s="33" t="str">
        <f t="shared" si="66"/>
        <v/>
      </c>
      <c r="S381" s="132" t="str">
        <f t="shared" si="69"/>
        <v/>
      </c>
      <c r="T381" s="132" t="str">
        <f t="shared" si="70"/>
        <v/>
      </c>
      <c r="V381" s="131" t="str">
        <f t="shared" si="71"/>
        <v/>
      </c>
      <c r="W381" s="17"/>
      <c r="X381" s="7"/>
      <c r="Y381" s="161"/>
      <c r="Z381" s="7"/>
      <c r="AA381" s="117"/>
      <c r="AB381" s="117"/>
      <c r="AC381" s="117"/>
      <c r="CH381">
        <v>4</v>
      </c>
      <c r="CI381">
        <v>35</v>
      </c>
    </row>
    <row r="382" spans="1:87" x14ac:dyDescent="0.3">
      <c r="A382" s="23">
        <v>324</v>
      </c>
      <c r="B382" s="2" t="s">
        <v>0</v>
      </c>
      <c r="C382" s="2" t="s">
        <v>1</v>
      </c>
      <c r="D382" s="2" t="s">
        <v>765</v>
      </c>
      <c r="E382" s="2">
        <v>1700</v>
      </c>
      <c r="F382" s="2">
        <v>1.29E-2</v>
      </c>
      <c r="G382" s="2">
        <v>9.7999999999999997E-3</v>
      </c>
      <c r="H382" s="4">
        <f t="shared" si="67"/>
        <v>0.24031007751937988</v>
      </c>
      <c r="I382" s="2" t="s">
        <v>98</v>
      </c>
      <c r="J382" s="2" t="s">
        <v>721</v>
      </c>
      <c r="K382" s="2" t="s">
        <v>261</v>
      </c>
      <c r="L382" s="2" t="s">
        <v>76</v>
      </c>
      <c r="M382" s="155"/>
      <c r="N382" s="155"/>
      <c r="O382" s="2">
        <v>12</v>
      </c>
      <c r="P382" s="6">
        <v>10</v>
      </c>
      <c r="Q382" s="131">
        <f t="shared" si="68"/>
        <v>20.329411764705881</v>
      </c>
      <c r="R382" s="33">
        <f t="shared" si="66"/>
        <v>10</v>
      </c>
      <c r="S382" s="132">
        <f t="shared" si="69"/>
        <v>1.25</v>
      </c>
      <c r="T382" s="132">
        <f t="shared" si="70"/>
        <v>1.25</v>
      </c>
      <c r="V382" s="131">
        <f t="shared" si="71"/>
        <v>6.9030260661140517</v>
      </c>
      <c r="W382" s="134">
        <v>29.45</v>
      </c>
      <c r="X382" s="8">
        <f>60*60*8/W382</f>
        <v>977.92869269949074</v>
      </c>
      <c r="Y382" s="161">
        <v>45414</v>
      </c>
      <c r="Z382" s="7" t="s">
        <v>7</v>
      </c>
      <c r="AA382" s="117"/>
      <c r="AB382" s="117"/>
      <c r="AC382" s="117"/>
      <c r="CH382">
        <v>4</v>
      </c>
      <c r="CI382">
        <v>42</v>
      </c>
    </row>
    <row r="383" spans="1:87" x14ac:dyDescent="0.3">
      <c r="A383" s="2">
        <v>326</v>
      </c>
      <c r="B383" s="2" t="s">
        <v>0</v>
      </c>
      <c r="C383" s="2" t="s">
        <v>1</v>
      </c>
      <c r="D383" s="2" t="s">
        <v>766</v>
      </c>
      <c r="E383" s="2">
        <v>2000</v>
      </c>
      <c r="F383" s="2">
        <v>6.7000000000000002E-3</v>
      </c>
      <c r="G383" s="2">
        <v>4.4000000000000003E-3</v>
      </c>
      <c r="H383" s="4">
        <f t="shared" si="67"/>
        <v>0.34328358208955223</v>
      </c>
      <c r="I383" s="2" t="s">
        <v>82</v>
      </c>
      <c r="J383" s="2" t="s">
        <v>645</v>
      </c>
      <c r="K383" s="2" t="s">
        <v>5</v>
      </c>
      <c r="L383" s="2" t="s">
        <v>6</v>
      </c>
      <c r="M383" s="155"/>
      <c r="N383" s="155"/>
      <c r="O383" s="2">
        <v>30</v>
      </c>
      <c r="P383" s="6">
        <v>12</v>
      </c>
      <c r="Q383" s="131">
        <f t="shared" si="68"/>
        <v>36</v>
      </c>
      <c r="R383" s="33">
        <f t="shared" si="66"/>
        <v>12</v>
      </c>
      <c r="S383" s="132">
        <f t="shared" si="69"/>
        <v>1.5</v>
      </c>
      <c r="T383" s="132">
        <f t="shared" si="70"/>
        <v>1.5</v>
      </c>
      <c r="V383" s="131" t="str">
        <f t="shared" si="71"/>
        <v/>
      </c>
      <c r="W383" s="17"/>
      <c r="X383" s="7"/>
      <c r="Y383" s="161"/>
      <c r="Z383" s="7"/>
      <c r="AA383" s="117"/>
      <c r="AB383" s="117"/>
      <c r="AC383" s="117"/>
      <c r="CH383">
        <v>3</v>
      </c>
      <c r="CI383">
        <v>52</v>
      </c>
    </row>
    <row r="384" spans="1:87" x14ac:dyDescent="0.3">
      <c r="A384" s="23">
        <v>327</v>
      </c>
      <c r="B384" s="2" t="s">
        <v>0</v>
      </c>
      <c r="C384" s="2" t="s">
        <v>1</v>
      </c>
      <c r="D384" s="2" t="s">
        <v>767</v>
      </c>
      <c r="E384" s="2">
        <v>1450</v>
      </c>
      <c r="F384" s="2">
        <v>1.0200000000000001E-2</v>
      </c>
      <c r="G384" s="2">
        <v>6.6E-3</v>
      </c>
      <c r="H384" s="4">
        <f t="shared" si="67"/>
        <v>0.35294117647058826</v>
      </c>
      <c r="I384" s="2" t="s">
        <v>82</v>
      </c>
      <c r="J384" s="2" t="s">
        <v>107</v>
      </c>
      <c r="K384" s="2" t="s">
        <v>5</v>
      </c>
      <c r="L384" s="2" t="s">
        <v>6</v>
      </c>
      <c r="M384" s="155" t="s">
        <v>768</v>
      </c>
      <c r="N384" s="155"/>
      <c r="O384" s="2">
        <v>24</v>
      </c>
      <c r="P384" s="6">
        <v>14</v>
      </c>
      <c r="Q384" s="131">
        <f t="shared" si="68"/>
        <v>34.049261083743843</v>
      </c>
      <c r="R384" s="33">
        <f t="shared" si="66"/>
        <v>14</v>
      </c>
      <c r="S384" s="132">
        <f>IFERROR(R384/8,"")</f>
        <v>1.75</v>
      </c>
      <c r="T384" s="132">
        <f t="shared" si="70"/>
        <v>1.75</v>
      </c>
      <c r="V384" s="131">
        <f t="shared" si="71"/>
        <v>11.269258987527515</v>
      </c>
      <c r="W384" s="17">
        <v>42.3</v>
      </c>
      <c r="X384" s="8">
        <f>60*60*8/W384</f>
        <v>680.85106382978734</v>
      </c>
      <c r="Y384" s="161">
        <v>45520</v>
      </c>
      <c r="Z384" s="7" t="s">
        <v>7</v>
      </c>
      <c r="AA384" s="117"/>
      <c r="AB384" s="117"/>
      <c r="AC384" s="117"/>
      <c r="AD384" s="24">
        <v>45520</v>
      </c>
      <c r="AE384">
        <v>1</v>
      </c>
      <c r="AF384">
        <v>6.8</v>
      </c>
      <c r="AG384">
        <v>1.6</v>
      </c>
      <c r="AI384">
        <v>0.2</v>
      </c>
      <c r="AJ384">
        <v>0.3</v>
      </c>
      <c r="AK384">
        <v>9</v>
      </c>
      <c r="AL384">
        <v>8.5</v>
      </c>
      <c r="AN384">
        <v>14</v>
      </c>
      <c r="AS384">
        <v>42.3</v>
      </c>
      <c r="AT384">
        <v>7.5</v>
      </c>
      <c r="AU384">
        <v>19.5</v>
      </c>
      <c r="AV384">
        <v>134</v>
      </c>
      <c r="AW384">
        <v>146</v>
      </c>
      <c r="AX384">
        <v>12</v>
      </c>
      <c r="AY384">
        <v>46</v>
      </c>
      <c r="AZ384">
        <v>95</v>
      </c>
      <c r="BA384">
        <v>112</v>
      </c>
      <c r="BB384">
        <v>420</v>
      </c>
      <c r="CH384">
        <v>6</v>
      </c>
      <c r="CI384">
        <v>88</v>
      </c>
    </row>
    <row r="385" spans="1:87" x14ac:dyDescent="0.3">
      <c r="A385" s="2">
        <v>328</v>
      </c>
      <c r="B385" s="2" t="s">
        <v>84</v>
      </c>
      <c r="C385" s="2" t="s">
        <v>1</v>
      </c>
      <c r="D385" s="2" t="s">
        <v>769</v>
      </c>
      <c r="E385" s="2">
        <v>1800</v>
      </c>
      <c r="F385" s="2">
        <v>9.1000000000000004E-3</v>
      </c>
      <c r="G385" s="2">
        <v>5.7999999999999996E-3</v>
      </c>
      <c r="H385" s="4">
        <f t="shared" si="67"/>
        <v>0.36263736263736274</v>
      </c>
      <c r="I385" s="2" t="s">
        <v>82</v>
      </c>
      <c r="J385" s="2" t="s">
        <v>770</v>
      </c>
      <c r="K385" s="2"/>
      <c r="L385" s="2"/>
      <c r="M385" s="155"/>
      <c r="N385" s="155"/>
      <c r="O385" s="2">
        <v>20</v>
      </c>
      <c r="P385" s="6"/>
      <c r="Q385" s="131" t="str">
        <f t="shared" si="68"/>
        <v/>
      </c>
      <c r="R385" s="33" t="str">
        <f t="shared" si="66"/>
        <v/>
      </c>
      <c r="S385" s="132" t="str">
        <f t="shared" si="69"/>
        <v/>
      </c>
      <c r="T385" s="132" t="str">
        <f t="shared" si="70"/>
        <v/>
      </c>
      <c r="V385" s="131" t="str">
        <f t="shared" si="71"/>
        <v/>
      </c>
      <c r="W385" s="17"/>
      <c r="X385" s="7"/>
      <c r="Y385" s="161"/>
      <c r="Z385" s="7"/>
      <c r="AA385" s="117"/>
      <c r="AB385" s="117"/>
      <c r="AC385" s="117"/>
      <c r="CH385">
        <v>3</v>
      </c>
      <c r="CI385">
        <v>75</v>
      </c>
    </row>
    <row r="386" spans="1:87" x14ac:dyDescent="0.3">
      <c r="A386" s="2">
        <v>329</v>
      </c>
      <c r="B386" s="2" t="s">
        <v>84</v>
      </c>
      <c r="C386" s="2" t="s">
        <v>1</v>
      </c>
      <c r="D386" s="2" t="s">
        <v>771</v>
      </c>
      <c r="E386" s="2">
        <v>1900</v>
      </c>
      <c r="F386" s="2">
        <v>1.0999999999999999E-2</v>
      </c>
      <c r="G386" s="2">
        <v>8.2000000000000007E-3</v>
      </c>
      <c r="H386" s="4">
        <f t="shared" si="67"/>
        <v>0.25454545454545446</v>
      </c>
      <c r="I386" s="2" t="s">
        <v>82</v>
      </c>
      <c r="J386" s="2" t="s">
        <v>645</v>
      </c>
      <c r="K386" s="2"/>
      <c r="L386" s="2"/>
      <c r="M386" s="155"/>
      <c r="N386" s="155"/>
      <c r="O386" s="2">
        <v>16</v>
      </c>
      <c r="P386" s="6"/>
      <c r="Q386" s="131" t="str">
        <f t="shared" si="68"/>
        <v/>
      </c>
      <c r="R386" s="33" t="str">
        <f t="shared" si="66"/>
        <v/>
      </c>
      <c r="S386" s="132" t="str">
        <f t="shared" si="69"/>
        <v/>
      </c>
      <c r="T386" s="132" t="str">
        <f t="shared" si="70"/>
        <v/>
      </c>
      <c r="V386" s="131" t="str">
        <f t="shared" si="71"/>
        <v/>
      </c>
      <c r="W386" s="17"/>
      <c r="X386" s="7"/>
      <c r="Y386" s="161"/>
      <c r="Z386" s="7"/>
      <c r="AA386" s="117"/>
      <c r="AB386" s="117"/>
      <c r="AC386" s="117"/>
      <c r="CH386">
        <v>5</v>
      </c>
      <c r="CI386">
        <v>39</v>
      </c>
    </row>
    <row r="387" spans="1:87" x14ac:dyDescent="0.3">
      <c r="A387" s="2">
        <v>330</v>
      </c>
      <c r="B387" s="2" t="s">
        <v>84</v>
      </c>
      <c r="C387" s="2" t="s">
        <v>1</v>
      </c>
      <c r="D387" s="2" t="s">
        <v>772</v>
      </c>
      <c r="E387" s="2">
        <v>1300</v>
      </c>
      <c r="F387" s="2">
        <v>1.5599999999999999E-2</v>
      </c>
      <c r="G387" s="2">
        <v>1.21E-2</v>
      </c>
      <c r="H387" s="4">
        <f t="shared" si="67"/>
        <v>0.22435897435897434</v>
      </c>
      <c r="I387" s="2" t="s">
        <v>82</v>
      </c>
      <c r="J387" s="2" t="s">
        <v>107</v>
      </c>
      <c r="K387" s="2"/>
      <c r="L387" s="2"/>
      <c r="M387" s="155"/>
      <c r="N387" s="155"/>
      <c r="O387" s="2">
        <v>16</v>
      </c>
      <c r="P387" s="6"/>
      <c r="Q387" s="131" t="str">
        <f t="shared" si="68"/>
        <v/>
      </c>
      <c r="R387" s="33" t="str">
        <f t="shared" si="66"/>
        <v/>
      </c>
      <c r="S387" s="132" t="str">
        <f t="shared" si="69"/>
        <v/>
      </c>
      <c r="T387" s="132" t="str">
        <f t="shared" si="70"/>
        <v/>
      </c>
      <c r="V387" s="131" t="str">
        <f t="shared" si="71"/>
        <v/>
      </c>
      <c r="W387" s="17"/>
      <c r="X387" s="7"/>
      <c r="Y387" s="161"/>
      <c r="Z387" s="7"/>
      <c r="AA387" s="117"/>
      <c r="AB387" s="117"/>
      <c r="AC387" s="117"/>
      <c r="CH387">
        <v>2</v>
      </c>
      <c r="CI387">
        <v>31</v>
      </c>
    </row>
    <row r="388" spans="1:87" x14ac:dyDescent="0.3">
      <c r="A388" s="2">
        <v>331</v>
      </c>
      <c r="B388" s="2" t="s">
        <v>84</v>
      </c>
      <c r="C388" s="2" t="s">
        <v>1</v>
      </c>
      <c r="D388" s="2" t="s">
        <v>773</v>
      </c>
      <c r="E388" s="2">
        <v>1300</v>
      </c>
      <c r="F388" s="2">
        <v>2.2800000000000001E-2</v>
      </c>
      <c r="G388" s="2">
        <v>1.7000000000000001E-2</v>
      </c>
      <c r="H388" s="4">
        <f t="shared" si="67"/>
        <v>0.25438596491228066</v>
      </c>
      <c r="I388" s="2" t="s">
        <v>82</v>
      </c>
      <c r="J388" s="2" t="s">
        <v>600</v>
      </c>
      <c r="K388" s="2"/>
      <c r="L388" s="2"/>
      <c r="M388" s="155"/>
      <c r="N388" s="155"/>
      <c r="O388" s="2">
        <v>8</v>
      </c>
      <c r="P388" s="6"/>
      <c r="Q388" s="131" t="str">
        <f t="shared" si="68"/>
        <v/>
      </c>
      <c r="R388" s="33" t="str">
        <f t="shared" si="66"/>
        <v/>
      </c>
      <c r="S388" s="132" t="str">
        <f t="shared" si="69"/>
        <v/>
      </c>
      <c r="T388" s="132" t="str">
        <f t="shared" si="70"/>
        <v/>
      </c>
      <c r="V388" s="131" t="str">
        <f t="shared" si="71"/>
        <v/>
      </c>
      <c r="W388" s="17"/>
      <c r="X388" s="7"/>
      <c r="Y388" s="161"/>
      <c r="Z388" s="7"/>
      <c r="AA388" s="117"/>
      <c r="AB388" s="117"/>
      <c r="AC388" s="117"/>
      <c r="CH388">
        <v>3</v>
      </c>
      <c r="CI388">
        <v>55</v>
      </c>
    </row>
    <row r="389" spans="1:87" x14ac:dyDescent="0.3">
      <c r="A389" s="2">
        <v>332</v>
      </c>
      <c r="B389" s="2" t="s">
        <v>84</v>
      </c>
      <c r="C389" s="2" t="s">
        <v>1</v>
      </c>
      <c r="D389" s="2" t="s">
        <v>774</v>
      </c>
      <c r="E389" s="2">
        <v>1300</v>
      </c>
      <c r="F389" s="2">
        <v>1.15E-2</v>
      </c>
      <c r="G389" s="2">
        <v>8.0999999999999996E-3</v>
      </c>
      <c r="H389" s="4">
        <f t="shared" si="67"/>
        <v>0.29565217391304349</v>
      </c>
      <c r="I389" s="2" t="s">
        <v>82</v>
      </c>
      <c r="J389" s="2" t="s">
        <v>600</v>
      </c>
      <c r="K389" s="2"/>
      <c r="L389" s="2"/>
      <c r="M389" s="155"/>
      <c r="N389" s="155"/>
      <c r="O389" s="2">
        <v>8</v>
      </c>
      <c r="P389" s="6">
        <v>7</v>
      </c>
      <c r="Q389" s="131">
        <f t="shared" si="68"/>
        <v>25.318681318681318</v>
      </c>
      <c r="R389" s="33">
        <f t="shared" si="66"/>
        <v>7</v>
      </c>
      <c r="S389" s="132">
        <f t="shared" si="69"/>
        <v>0.875</v>
      </c>
      <c r="T389" s="132">
        <f t="shared" si="70"/>
        <v>0.875</v>
      </c>
      <c r="V389" s="131" t="str">
        <f t="shared" si="71"/>
        <v/>
      </c>
      <c r="W389" s="17"/>
      <c r="X389" s="7"/>
      <c r="Y389" s="161"/>
      <c r="Z389" s="7"/>
      <c r="AA389" s="117"/>
      <c r="AB389" s="117"/>
      <c r="AC389" s="117"/>
      <c r="CH389">
        <v>4</v>
      </c>
      <c r="CI389">
        <v>45</v>
      </c>
    </row>
    <row r="390" spans="1:87" x14ac:dyDescent="0.3">
      <c r="A390" s="2">
        <v>333</v>
      </c>
      <c r="B390" s="2" t="s">
        <v>84</v>
      </c>
      <c r="C390" s="2" t="s">
        <v>1</v>
      </c>
      <c r="D390" s="2" t="s">
        <v>775</v>
      </c>
      <c r="E390" s="2">
        <v>1500</v>
      </c>
      <c r="F390" s="2">
        <v>1.2800000000000001E-2</v>
      </c>
      <c r="G390" s="2">
        <v>1.06E-2</v>
      </c>
      <c r="H390" s="4">
        <f t="shared" si="67"/>
        <v>0.17187500000000003</v>
      </c>
      <c r="I390" s="2" t="s">
        <v>82</v>
      </c>
      <c r="J390" s="2" t="s">
        <v>598</v>
      </c>
      <c r="K390" s="2"/>
      <c r="L390" s="2"/>
      <c r="M390" s="155"/>
      <c r="N390" s="155"/>
      <c r="O390" s="2">
        <v>24</v>
      </c>
      <c r="P390" s="6">
        <v>6</v>
      </c>
      <c r="Q390" s="131">
        <f t="shared" si="68"/>
        <v>76.8</v>
      </c>
      <c r="R390" s="33">
        <f t="shared" si="66"/>
        <v>6</v>
      </c>
      <c r="S390" s="132">
        <f t="shared" si="69"/>
        <v>0.75</v>
      </c>
      <c r="T390" s="132">
        <f t="shared" si="70"/>
        <v>0.75</v>
      </c>
      <c r="V390" s="131" t="str">
        <f t="shared" si="71"/>
        <v/>
      </c>
      <c r="W390" s="17"/>
      <c r="X390" s="7"/>
      <c r="Y390" s="161"/>
      <c r="Z390" s="7"/>
      <c r="AA390" s="117"/>
      <c r="AB390" s="117"/>
      <c r="AC390" s="117"/>
      <c r="CH390">
        <v>1</v>
      </c>
      <c r="CI390">
        <v>34</v>
      </c>
    </row>
    <row r="391" spans="1:87" x14ac:dyDescent="0.3">
      <c r="A391" s="23">
        <v>334</v>
      </c>
      <c r="B391" s="2" t="s">
        <v>0</v>
      </c>
      <c r="C391" s="2" t="s">
        <v>1</v>
      </c>
      <c r="D391" s="2" t="s">
        <v>776</v>
      </c>
      <c r="E391" s="2">
        <v>1000</v>
      </c>
      <c r="F391" s="2">
        <v>8.3999999999999995E-3</v>
      </c>
      <c r="G391" s="2">
        <v>5.0000000000000001E-3</v>
      </c>
      <c r="H391" s="4">
        <f t="shared" si="67"/>
        <v>0.40476190476190471</v>
      </c>
      <c r="I391" s="2" t="s">
        <v>82</v>
      </c>
      <c r="J391" s="2" t="s">
        <v>610</v>
      </c>
      <c r="K391" s="2" t="s">
        <v>90</v>
      </c>
      <c r="L391" s="2" t="s">
        <v>6</v>
      </c>
      <c r="M391" s="155"/>
      <c r="N391" s="155"/>
      <c r="O391" s="2">
        <v>40</v>
      </c>
      <c r="P391" s="6">
        <v>8</v>
      </c>
      <c r="Q391" s="131">
        <f t="shared" si="68"/>
        <v>144</v>
      </c>
      <c r="R391" s="33">
        <f t="shared" si="66"/>
        <v>8</v>
      </c>
      <c r="S391" s="132">
        <f t="shared" si="69"/>
        <v>1</v>
      </c>
      <c r="T391" s="132">
        <f t="shared" si="70"/>
        <v>1</v>
      </c>
      <c r="V391" s="131">
        <f t="shared" si="71"/>
        <v>27.961165048543691</v>
      </c>
      <c r="W391" s="17">
        <v>41.2</v>
      </c>
      <c r="X391" s="8">
        <f>60*60*8/W391</f>
        <v>699.02912621359224</v>
      </c>
      <c r="Y391" s="161">
        <v>45495</v>
      </c>
      <c r="Z391" s="7" t="s">
        <v>7</v>
      </c>
      <c r="AA391" s="117"/>
      <c r="AB391" s="117"/>
      <c r="AC391" s="117"/>
      <c r="AD391" s="24">
        <v>45495</v>
      </c>
      <c r="AE391">
        <v>8</v>
      </c>
      <c r="AF391">
        <v>8.9</v>
      </c>
      <c r="AG391">
        <v>2.2000000000000002</v>
      </c>
      <c r="AI391">
        <v>0.2</v>
      </c>
      <c r="AJ391">
        <v>0.4</v>
      </c>
      <c r="AK391">
        <v>9</v>
      </c>
      <c r="AL391">
        <v>8.5</v>
      </c>
      <c r="AN391">
        <v>15</v>
      </c>
      <c r="AS391">
        <v>41.2</v>
      </c>
      <c r="AT391">
        <v>6.5</v>
      </c>
      <c r="AU391">
        <v>16</v>
      </c>
      <c r="AV391">
        <v>125</v>
      </c>
      <c r="AW391">
        <v>135</v>
      </c>
      <c r="AX391">
        <v>9.5</v>
      </c>
      <c r="AY391">
        <v>23.5</v>
      </c>
      <c r="AZ391">
        <v>101</v>
      </c>
      <c r="BA391">
        <v>112</v>
      </c>
      <c r="BB391">
        <v>400</v>
      </c>
      <c r="CH391">
        <v>2</v>
      </c>
      <c r="CI391">
        <v>88</v>
      </c>
    </row>
    <row r="392" spans="1:87" x14ac:dyDescent="0.3">
      <c r="A392" s="2">
        <v>337</v>
      </c>
      <c r="B392" s="2" t="s">
        <v>84</v>
      </c>
      <c r="C392" s="2" t="s">
        <v>1</v>
      </c>
      <c r="D392" s="2" t="s">
        <v>777</v>
      </c>
      <c r="E392" s="2">
        <v>900</v>
      </c>
      <c r="F392" s="2">
        <v>1.54E-2</v>
      </c>
      <c r="G392" s="2"/>
      <c r="H392" s="4">
        <f t="shared" si="67"/>
        <v>1</v>
      </c>
      <c r="I392" s="2" t="s">
        <v>98</v>
      </c>
      <c r="J392" s="2" t="s">
        <v>575</v>
      </c>
      <c r="K392" s="2" t="s">
        <v>105</v>
      </c>
      <c r="L392" s="2" t="s">
        <v>76</v>
      </c>
      <c r="M392" s="155"/>
      <c r="N392" s="155"/>
      <c r="O392" s="2">
        <v>10</v>
      </c>
      <c r="P392" s="6">
        <v>22</v>
      </c>
      <c r="Q392" s="131">
        <f t="shared" si="68"/>
        <v>14.545454545454545</v>
      </c>
      <c r="R392" s="33">
        <f t="shared" si="66"/>
        <v>22</v>
      </c>
      <c r="S392" s="132">
        <f t="shared" si="69"/>
        <v>2.75</v>
      </c>
      <c r="T392" s="132">
        <f t="shared" si="70"/>
        <v>2.75</v>
      </c>
      <c r="V392" s="131" t="str">
        <f t="shared" si="71"/>
        <v/>
      </c>
      <c r="W392" s="17"/>
      <c r="X392" s="7"/>
      <c r="Y392" s="161"/>
      <c r="Z392" s="7"/>
      <c r="AA392" s="117"/>
      <c r="AB392" s="117"/>
      <c r="AC392" s="117"/>
      <c r="CH392">
        <v>4</v>
      </c>
      <c r="CI392">
        <v>78</v>
      </c>
    </row>
    <row r="393" spans="1:87" x14ac:dyDescent="0.3">
      <c r="A393" s="2">
        <v>339</v>
      </c>
      <c r="B393" s="2" t="s">
        <v>84</v>
      </c>
      <c r="C393" s="2" t="s">
        <v>1</v>
      </c>
      <c r="D393" s="2" t="s">
        <v>778</v>
      </c>
      <c r="E393" s="2">
        <v>2100</v>
      </c>
      <c r="F393" s="2">
        <v>7.7000000000000002E-3</v>
      </c>
      <c r="G393" s="2"/>
      <c r="H393" s="4">
        <f t="shared" si="67"/>
        <v>1</v>
      </c>
      <c r="I393" s="2" t="s">
        <v>98</v>
      </c>
      <c r="J393" s="2" t="s">
        <v>575</v>
      </c>
      <c r="K393" s="2" t="s">
        <v>105</v>
      </c>
      <c r="L393" s="2" t="s">
        <v>76</v>
      </c>
      <c r="M393" s="155"/>
      <c r="N393" s="155"/>
      <c r="O393" s="2">
        <v>20</v>
      </c>
      <c r="P393" s="6">
        <v>15</v>
      </c>
      <c r="Q393" s="131">
        <f t="shared" si="68"/>
        <v>18.285714285714285</v>
      </c>
      <c r="R393" s="33">
        <f t="shared" si="66"/>
        <v>15</v>
      </c>
      <c r="S393" s="132">
        <f t="shared" si="69"/>
        <v>1.875</v>
      </c>
      <c r="T393" s="132">
        <f t="shared" si="70"/>
        <v>1.875</v>
      </c>
      <c r="V393" s="131" t="str">
        <f t="shared" si="71"/>
        <v/>
      </c>
      <c r="W393" s="17"/>
      <c r="X393" s="7"/>
      <c r="Y393" s="161"/>
      <c r="Z393" s="7"/>
      <c r="AA393" s="117"/>
      <c r="AB393" s="117"/>
      <c r="AC393" s="117"/>
      <c r="CH393">
        <v>3</v>
      </c>
      <c r="CI393">
        <v>85</v>
      </c>
    </row>
    <row r="394" spans="1:87" x14ac:dyDescent="0.3">
      <c r="A394" s="2">
        <v>344</v>
      </c>
      <c r="B394" s="2" t="s">
        <v>0</v>
      </c>
      <c r="C394" s="2" t="s">
        <v>1</v>
      </c>
      <c r="D394" s="2" t="s">
        <v>779</v>
      </c>
      <c r="E394" s="2">
        <v>300</v>
      </c>
      <c r="F394" s="2">
        <v>9.3399999999999997E-2</v>
      </c>
      <c r="G394" s="2"/>
      <c r="H394" s="4">
        <f t="shared" si="67"/>
        <v>1</v>
      </c>
      <c r="I394" s="2" t="s">
        <v>82</v>
      </c>
      <c r="J394" s="2" t="s">
        <v>583</v>
      </c>
      <c r="K394" s="2" t="s">
        <v>258</v>
      </c>
      <c r="L394" s="2" t="s">
        <v>76</v>
      </c>
      <c r="M394" s="155"/>
      <c r="N394" s="155"/>
      <c r="O394" s="2">
        <v>3</v>
      </c>
      <c r="P394" s="6">
        <v>16</v>
      </c>
      <c r="Q394" s="131">
        <f t="shared" si="68"/>
        <v>18</v>
      </c>
      <c r="R394" s="33">
        <f t="shared" si="66"/>
        <v>16</v>
      </c>
      <c r="S394" s="132">
        <f t="shared" si="69"/>
        <v>2</v>
      </c>
      <c r="T394" s="132">
        <f t="shared" si="70"/>
        <v>2</v>
      </c>
      <c r="V394" s="131" t="str">
        <f t="shared" si="71"/>
        <v/>
      </c>
      <c r="W394" s="17"/>
      <c r="X394" s="7"/>
      <c r="Y394" s="161"/>
      <c r="Z394" s="7"/>
      <c r="AA394" s="117"/>
      <c r="AB394" s="117"/>
      <c r="AC394" s="117"/>
      <c r="CH394">
        <v>6</v>
      </c>
      <c r="CI394">
        <v>40</v>
      </c>
    </row>
    <row r="395" spans="1:87" x14ac:dyDescent="0.3">
      <c r="A395" s="2">
        <v>345</v>
      </c>
      <c r="B395" s="2" t="s">
        <v>0</v>
      </c>
      <c r="C395" s="2" t="s">
        <v>1</v>
      </c>
      <c r="D395" s="2" t="s">
        <v>780</v>
      </c>
      <c r="E395" s="2">
        <v>200</v>
      </c>
      <c r="F395" s="2">
        <v>4.9099999999999998E-2</v>
      </c>
      <c r="G395" s="2">
        <v>4.0599999999999997E-2</v>
      </c>
      <c r="H395" s="4">
        <f t="shared" si="67"/>
        <v>0.17311608961303465</v>
      </c>
      <c r="I395" s="2" t="s">
        <v>82</v>
      </c>
      <c r="J395" s="2" t="s">
        <v>579</v>
      </c>
      <c r="K395" s="2" t="s">
        <v>5</v>
      </c>
      <c r="L395" s="2" t="s">
        <v>6</v>
      </c>
      <c r="M395" s="155"/>
      <c r="N395" s="155"/>
      <c r="O395" s="2">
        <v>8</v>
      </c>
      <c r="P395" s="6">
        <v>18</v>
      </c>
      <c r="Q395" s="131">
        <f t="shared" si="68"/>
        <v>64</v>
      </c>
      <c r="R395" s="33">
        <f t="shared" si="66"/>
        <v>18</v>
      </c>
      <c r="S395" s="132">
        <f t="shared" si="69"/>
        <v>2.25</v>
      </c>
      <c r="T395" s="132">
        <f t="shared" si="70"/>
        <v>2.25</v>
      </c>
      <c r="V395" s="131" t="str">
        <f t="shared" si="71"/>
        <v/>
      </c>
      <c r="W395" s="17"/>
      <c r="X395" s="7"/>
      <c r="Y395" s="161"/>
      <c r="Z395" s="7"/>
      <c r="AA395" s="117"/>
      <c r="AB395" s="117"/>
      <c r="AC395" s="117"/>
      <c r="CH395">
        <v>1</v>
      </c>
      <c r="CI395">
        <v>37</v>
      </c>
    </row>
    <row r="396" spans="1:87" x14ac:dyDescent="0.3">
      <c r="A396" s="2">
        <v>346</v>
      </c>
      <c r="B396" s="2" t="s">
        <v>0</v>
      </c>
      <c r="C396" s="2" t="s">
        <v>1</v>
      </c>
      <c r="D396" s="2" t="s">
        <v>781</v>
      </c>
      <c r="E396" s="2">
        <v>400</v>
      </c>
      <c r="F396" s="2">
        <v>6.2799999999999995E-2</v>
      </c>
      <c r="G396" s="2"/>
      <c r="H396" s="4">
        <f t="shared" si="67"/>
        <v>1</v>
      </c>
      <c r="I396" s="2" t="s">
        <v>82</v>
      </c>
      <c r="J396" s="2" t="s">
        <v>589</v>
      </c>
      <c r="K396" s="2" t="s">
        <v>230</v>
      </c>
      <c r="L396" s="2" t="s">
        <v>76</v>
      </c>
      <c r="M396" s="155"/>
      <c r="N396" s="155"/>
      <c r="O396" s="2">
        <v>4</v>
      </c>
      <c r="P396" s="6">
        <v>16</v>
      </c>
      <c r="Q396" s="131">
        <f t="shared" si="68"/>
        <v>18</v>
      </c>
      <c r="R396" s="33">
        <f t="shared" si="66"/>
        <v>16</v>
      </c>
      <c r="S396" s="132">
        <f t="shared" si="69"/>
        <v>2</v>
      </c>
      <c r="T396" s="132">
        <f t="shared" si="70"/>
        <v>2</v>
      </c>
      <c r="V396" s="131" t="str">
        <f t="shared" si="71"/>
        <v/>
      </c>
      <c r="W396" s="17"/>
      <c r="X396" s="7"/>
      <c r="Y396" s="161"/>
      <c r="Z396" s="7"/>
      <c r="AA396" s="117"/>
      <c r="AB396" s="117"/>
      <c r="AC396" s="117"/>
      <c r="CH396">
        <v>3</v>
      </c>
      <c r="CI396">
        <v>34</v>
      </c>
    </row>
    <row r="397" spans="1:87" x14ac:dyDescent="0.3">
      <c r="A397" s="2">
        <v>347</v>
      </c>
      <c r="B397" s="2" t="s">
        <v>0</v>
      </c>
      <c r="C397" s="2" t="s">
        <v>1</v>
      </c>
      <c r="D397" s="2" t="s">
        <v>782</v>
      </c>
      <c r="E397" s="2">
        <v>600</v>
      </c>
      <c r="F397" s="2">
        <v>1.8100000000000002E-2</v>
      </c>
      <c r="G397" s="2">
        <v>1.47E-2</v>
      </c>
      <c r="H397" s="4">
        <f t="shared" si="67"/>
        <v>0.18784530386740342</v>
      </c>
      <c r="I397" s="2" t="s">
        <v>82</v>
      </c>
      <c r="J397" s="2" t="s">
        <v>579</v>
      </c>
      <c r="K397" s="2" t="s">
        <v>222</v>
      </c>
      <c r="L397" s="2" t="s">
        <v>76</v>
      </c>
      <c r="M397" s="155"/>
      <c r="N397" s="155"/>
      <c r="O397" s="2">
        <v>21</v>
      </c>
      <c r="P397" s="6">
        <v>20</v>
      </c>
      <c r="Q397" s="131">
        <f t="shared" si="68"/>
        <v>50.4</v>
      </c>
      <c r="R397" s="33">
        <f t="shared" si="66"/>
        <v>20</v>
      </c>
      <c r="S397" s="132">
        <f t="shared" si="69"/>
        <v>2.5</v>
      </c>
      <c r="T397" s="132">
        <f t="shared" si="70"/>
        <v>2.5</v>
      </c>
      <c r="V397" s="131" t="str">
        <f t="shared" si="71"/>
        <v/>
      </c>
      <c r="W397" s="17"/>
      <c r="X397" s="7"/>
      <c r="Y397" s="161"/>
      <c r="Z397" s="7"/>
      <c r="AA397" s="117"/>
      <c r="AB397" s="117"/>
      <c r="AC397" s="117"/>
      <c r="CH397">
        <v>3</v>
      </c>
      <c r="CI397">
        <v>59</v>
      </c>
    </row>
    <row r="398" spans="1:87" x14ac:dyDescent="0.3">
      <c r="A398" s="2">
        <v>348</v>
      </c>
      <c r="B398" s="2" t="s">
        <v>0</v>
      </c>
      <c r="C398" s="2" t="s">
        <v>1</v>
      </c>
      <c r="D398" s="2" t="s">
        <v>783</v>
      </c>
      <c r="E398" s="2">
        <v>300</v>
      </c>
      <c r="F398" s="2">
        <v>3.3000000000000002E-2</v>
      </c>
      <c r="G398" s="2">
        <v>2.41E-2</v>
      </c>
      <c r="H398" s="4">
        <f t="shared" si="67"/>
        <v>0.26969696969696971</v>
      </c>
      <c r="I398" s="2" t="s">
        <v>82</v>
      </c>
      <c r="J398" s="2" t="s">
        <v>581</v>
      </c>
      <c r="K398" s="2" t="s">
        <v>105</v>
      </c>
      <c r="L398" s="2" t="s">
        <v>76</v>
      </c>
      <c r="M398" s="155"/>
      <c r="N398" s="155"/>
      <c r="O398" s="2">
        <v>10</v>
      </c>
      <c r="P398" s="6">
        <v>30</v>
      </c>
      <c r="Q398" s="131">
        <f t="shared" si="68"/>
        <v>32</v>
      </c>
      <c r="R398" s="33">
        <f t="shared" si="66"/>
        <v>30</v>
      </c>
      <c r="S398" s="132">
        <f t="shared" si="69"/>
        <v>3.75</v>
      </c>
      <c r="T398" s="132">
        <f t="shared" si="70"/>
        <v>3.75</v>
      </c>
      <c r="V398" s="131" t="str">
        <f t="shared" si="71"/>
        <v/>
      </c>
      <c r="W398" s="17"/>
      <c r="X398" s="7"/>
      <c r="Y398" s="161"/>
      <c r="Z398" s="7"/>
      <c r="AA398" s="117"/>
      <c r="AB398" s="117"/>
      <c r="AC398" s="117"/>
      <c r="CH398">
        <v>1</v>
      </c>
      <c r="CI398">
        <v>85</v>
      </c>
    </row>
    <row r="399" spans="1:87" x14ac:dyDescent="0.3">
      <c r="A399" s="2">
        <v>349</v>
      </c>
      <c r="B399" s="2" t="s">
        <v>0</v>
      </c>
      <c r="C399" s="2" t="s">
        <v>1</v>
      </c>
      <c r="D399" s="2" t="s">
        <v>784</v>
      </c>
      <c r="E399" s="2">
        <v>300</v>
      </c>
      <c r="F399" s="2">
        <v>3.3300000000000003E-2</v>
      </c>
      <c r="G399" s="2">
        <v>2.5000000000000001E-2</v>
      </c>
      <c r="H399" s="4">
        <f t="shared" si="67"/>
        <v>0.24924924924924927</v>
      </c>
      <c r="I399" s="2" t="s">
        <v>82</v>
      </c>
      <c r="J399" s="2" t="s">
        <v>581</v>
      </c>
      <c r="K399" s="2" t="s">
        <v>435</v>
      </c>
      <c r="L399" s="2" t="s">
        <v>6</v>
      </c>
      <c r="M399" s="155"/>
      <c r="N399" s="155"/>
      <c r="O399" s="2">
        <v>10</v>
      </c>
      <c r="P399" s="6">
        <v>15</v>
      </c>
      <c r="Q399" s="131">
        <f t="shared" si="68"/>
        <v>64</v>
      </c>
      <c r="R399" s="33">
        <f t="shared" si="66"/>
        <v>15</v>
      </c>
      <c r="S399" s="132">
        <f t="shared" si="69"/>
        <v>1.875</v>
      </c>
      <c r="T399" s="132">
        <f t="shared" si="70"/>
        <v>1.875</v>
      </c>
      <c r="V399" s="131" t="str">
        <f t="shared" si="71"/>
        <v/>
      </c>
      <c r="W399" s="17"/>
      <c r="X399" s="7"/>
      <c r="Y399" s="161"/>
      <c r="Z399" s="7"/>
      <c r="AA399" s="117"/>
      <c r="AB399" s="117"/>
      <c r="AC399" s="117"/>
      <c r="CH399">
        <v>1</v>
      </c>
      <c r="CI399">
        <v>62</v>
      </c>
    </row>
    <row r="400" spans="1:87" x14ac:dyDescent="0.3">
      <c r="A400" s="2">
        <v>350</v>
      </c>
      <c r="B400" s="2" t="s">
        <v>0</v>
      </c>
      <c r="C400" s="2" t="s">
        <v>1</v>
      </c>
      <c r="D400" s="2" t="s">
        <v>785</v>
      </c>
      <c r="E400" s="2">
        <v>300</v>
      </c>
      <c r="F400" s="2">
        <v>4.7699999999999999E-2</v>
      </c>
      <c r="G400" s="2">
        <v>3.4799999999999998E-2</v>
      </c>
      <c r="H400" s="4">
        <f t="shared" si="67"/>
        <v>0.27044025157232709</v>
      </c>
      <c r="I400" s="2" t="s">
        <v>82</v>
      </c>
      <c r="J400" s="2" t="s">
        <v>581</v>
      </c>
      <c r="K400" s="2" t="s">
        <v>5</v>
      </c>
      <c r="L400" s="2" t="s">
        <v>6</v>
      </c>
      <c r="M400" s="155"/>
      <c r="N400" s="155"/>
      <c r="O400" s="2">
        <v>8</v>
      </c>
      <c r="P400" s="6">
        <v>14</v>
      </c>
      <c r="Q400" s="131">
        <f t="shared" si="68"/>
        <v>54.857142857142854</v>
      </c>
      <c r="R400" s="33">
        <f t="shared" si="66"/>
        <v>14</v>
      </c>
      <c r="S400" s="132">
        <f t="shared" si="69"/>
        <v>1.75</v>
      </c>
      <c r="T400" s="132">
        <f t="shared" si="70"/>
        <v>1.75</v>
      </c>
      <c r="V400" s="131" t="str">
        <f t="shared" si="71"/>
        <v/>
      </c>
      <c r="W400" s="17"/>
      <c r="X400" s="7"/>
      <c r="Y400" s="161"/>
      <c r="Z400" s="7"/>
      <c r="AA400" s="117"/>
      <c r="AB400" s="117"/>
      <c r="AC400" s="117"/>
      <c r="CH400">
        <v>3</v>
      </c>
      <c r="CI400">
        <v>60</v>
      </c>
    </row>
    <row r="401" spans="1:87" x14ac:dyDescent="0.3">
      <c r="A401" s="2">
        <v>351</v>
      </c>
      <c r="B401" s="2" t="s">
        <v>0</v>
      </c>
      <c r="C401" s="2" t="s">
        <v>1</v>
      </c>
      <c r="D401" s="2" t="s">
        <v>786</v>
      </c>
      <c r="E401" s="2">
        <v>1500</v>
      </c>
      <c r="F401" s="2">
        <v>4.0000000000000001E-3</v>
      </c>
      <c r="G401" s="2">
        <v>2.7000000000000001E-3</v>
      </c>
      <c r="H401" s="4">
        <f t="shared" si="67"/>
        <v>0.32499999999999996</v>
      </c>
      <c r="I401" s="2" t="s">
        <v>82</v>
      </c>
      <c r="J401" s="2" t="s">
        <v>598</v>
      </c>
      <c r="K401" s="2" t="s">
        <v>90</v>
      </c>
      <c r="L401" s="2" t="s">
        <v>6</v>
      </c>
      <c r="M401" s="155"/>
      <c r="N401" s="155"/>
      <c r="O401" s="2">
        <v>35</v>
      </c>
      <c r="P401" s="6">
        <v>15</v>
      </c>
      <c r="Q401" s="131">
        <f t="shared" si="68"/>
        <v>44.8</v>
      </c>
      <c r="R401" s="33">
        <f t="shared" si="66"/>
        <v>15.000000000000002</v>
      </c>
      <c r="S401" s="132">
        <f t="shared" si="69"/>
        <v>1.8750000000000002</v>
      </c>
      <c r="T401" s="132">
        <f t="shared" si="70"/>
        <v>1.8750000000000002</v>
      </c>
      <c r="V401" s="131" t="str">
        <f t="shared" si="71"/>
        <v/>
      </c>
      <c r="W401" s="17"/>
      <c r="X401" s="7"/>
      <c r="Y401" s="161"/>
      <c r="Z401" s="7"/>
      <c r="AA401" s="117"/>
      <c r="AB401" s="117"/>
      <c r="AC401" s="117"/>
      <c r="CH401">
        <v>1</v>
      </c>
      <c r="CI401">
        <v>66</v>
      </c>
    </row>
    <row r="402" spans="1:87" x14ac:dyDescent="0.3">
      <c r="A402" s="2">
        <v>352</v>
      </c>
      <c r="B402" s="2" t="s">
        <v>0</v>
      </c>
      <c r="C402" s="2" t="s">
        <v>1</v>
      </c>
      <c r="D402" s="2" t="s">
        <v>787</v>
      </c>
      <c r="E402" s="2">
        <v>4700</v>
      </c>
      <c r="F402" s="2">
        <v>2.5999999999999999E-3</v>
      </c>
      <c r="G402" s="2">
        <v>2E-3</v>
      </c>
      <c r="H402" s="4">
        <f t="shared" si="67"/>
        <v>0.23076923076923073</v>
      </c>
      <c r="I402" s="2" t="s">
        <v>82</v>
      </c>
      <c r="J402" s="2" t="s">
        <v>645</v>
      </c>
      <c r="K402" s="2" t="s">
        <v>5</v>
      </c>
      <c r="L402" s="2" t="s">
        <v>6</v>
      </c>
      <c r="M402" s="155"/>
      <c r="N402" s="155"/>
      <c r="O402" s="2">
        <v>78</v>
      </c>
      <c r="P402" s="6">
        <v>7</v>
      </c>
      <c r="Q402" s="131">
        <f t="shared" si="68"/>
        <v>68.279635258358653</v>
      </c>
      <c r="R402" s="33">
        <f t="shared" si="66"/>
        <v>7.0000000000000009</v>
      </c>
      <c r="S402" s="132">
        <f t="shared" si="69"/>
        <v>0.87500000000000011</v>
      </c>
      <c r="T402" s="132">
        <f t="shared" si="70"/>
        <v>0.87500000000000011</v>
      </c>
      <c r="V402" s="131" t="str">
        <f t="shared" si="71"/>
        <v/>
      </c>
      <c r="W402" s="17"/>
      <c r="X402" s="7"/>
      <c r="Y402" s="161"/>
      <c r="Z402" s="7"/>
      <c r="AA402" s="117"/>
      <c r="AB402" s="117"/>
      <c r="AC402" s="117"/>
      <c r="CH402">
        <v>4</v>
      </c>
      <c r="CI402">
        <v>55</v>
      </c>
    </row>
    <row r="403" spans="1:87" x14ac:dyDescent="0.3">
      <c r="A403" s="2">
        <v>353</v>
      </c>
      <c r="B403" s="2" t="s">
        <v>0</v>
      </c>
      <c r="C403" s="2" t="s">
        <v>1</v>
      </c>
      <c r="D403" s="2" t="s">
        <v>788</v>
      </c>
      <c r="E403" s="2">
        <v>4700</v>
      </c>
      <c r="F403" s="2">
        <v>2.5999999999999999E-3</v>
      </c>
      <c r="G403" s="2">
        <v>2E-3</v>
      </c>
      <c r="H403" s="4">
        <f t="shared" si="67"/>
        <v>0.23076923076923073</v>
      </c>
      <c r="I403" s="2" t="s">
        <v>82</v>
      </c>
      <c r="J403" s="2" t="s">
        <v>645</v>
      </c>
      <c r="K403" s="2" t="s">
        <v>5</v>
      </c>
      <c r="L403" s="2" t="s">
        <v>6</v>
      </c>
      <c r="M403" s="155"/>
      <c r="N403" s="155"/>
      <c r="O403" s="2">
        <v>78</v>
      </c>
      <c r="P403" s="6">
        <v>7</v>
      </c>
      <c r="Q403" s="131">
        <f t="shared" si="68"/>
        <v>68.279635258358653</v>
      </c>
      <c r="R403" s="33">
        <f t="shared" si="66"/>
        <v>7.0000000000000009</v>
      </c>
      <c r="S403" s="132">
        <f t="shared" si="69"/>
        <v>0.87500000000000011</v>
      </c>
      <c r="T403" s="132">
        <f t="shared" si="70"/>
        <v>0.87500000000000011</v>
      </c>
      <c r="V403" s="131" t="str">
        <f t="shared" si="71"/>
        <v/>
      </c>
      <c r="W403" s="17"/>
      <c r="X403" s="7"/>
      <c r="Y403" s="161"/>
      <c r="Z403" s="7"/>
      <c r="AA403" s="117"/>
      <c r="AB403" s="117"/>
      <c r="AC403" s="117"/>
      <c r="CH403">
        <v>2</v>
      </c>
      <c r="CI403">
        <v>80</v>
      </c>
    </row>
    <row r="404" spans="1:87" x14ac:dyDescent="0.3">
      <c r="A404" s="2">
        <v>354</v>
      </c>
      <c r="B404" s="23" t="s">
        <v>0</v>
      </c>
      <c r="C404" s="2" t="s">
        <v>1</v>
      </c>
      <c r="D404" s="2" t="s">
        <v>789</v>
      </c>
      <c r="E404" s="2">
        <v>4700</v>
      </c>
      <c r="F404" s="2">
        <v>3.8999999999999998E-3</v>
      </c>
      <c r="G404" s="2">
        <v>3.0000000000000001E-3</v>
      </c>
      <c r="H404" s="4">
        <f t="shared" si="67"/>
        <v>0.23076923076923073</v>
      </c>
      <c r="I404" s="2" t="s">
        <v>82</v>
      </c>
      <c r="J404" s="2" t="s">
        <v>598</v>
      </c>
      <c r="K404" s="2" t="s">
        <v>5</v>
      </c>
      <c r="L404" s="2" t="s">
        <v>6</v>
      </c>
      <c r="M404" s="155"/>
      <c r="N404" s="155"/>
      <c r="O404" s="2">
        <v>78</v>
      </c>
      <c r="P404" s="6">
        <v>7</v>
      </c>
      <c r="Q404" s="131">
        <f t="shared" si="68"/>
        <v>68.279635258358653</v>
      </c>
      <c r="R404" s="33">
        <f t="shared" si="66"/>
        <v>7.0000000000000009</v>
      </c>
      <c r="S404" s="132">
        <f t="shared" si="69"/>
        <v>0.87500000000000011</v>
      </c>
      <c r="T404" s="132">
        <f t="shared" si="70"/>
        <v>0.87500000000000011</v>
      </c>
      <c r="V404" s="131" t="str">
        <f t="shared" si="71"/>
        <v/>
      </c>
      <c r="W404" s="17"/>
      <c r="X404" s="7"/>
      <c r="Y404" s="161"/>
      <c r="Z404" s="7"/>
      <c r="AA404" s="117"/>
      <c r="AB404" s="117"/>
      <c r="AC404" s="117"/>
      <c r="CH404">
        <v>4</v>
      </c>
      <c r="CI404">
        <v>76</v>
      </c>
    </row>
    <row r="405" spans="1:87" x14ac:dyDescent="0.3">
      <c r="A405" s="2">
        <v>355</v>
      </c>
      <c r="B405" s="2" t="s">
        <v>0</v>
      </c>
      <c r="C405" s="2" t="s">
        <v>1</v>
      </c>
      <c r="D405" s="2" t="s">
        <v>790</v>
      </c>
      <c r="E405" s="2">
        <v>2900</v>
      </c>
      <c r="F405" s="2">
        <v>4.4999999999999997E-3</v>
      </c>
      <c r="G405" s="2">
        <v>3.5999999999999999E-3</v>
      </c>
      <c r="H405" s="4">
        <f t="shared" si="67"/>
        <v>0.19999999999999996</v>
      </c>
      <c r="I405" s="2" t="s">
        <v>82</v>
      </c>
      <c r="J405" s="2" t="s">
        <v>791</v>
      </c>
      <c r="K405" s="2" t="s">
        <v>5</v>
      </c>
      <c r="L405" s="2" t="s">
        <v>6</v>
      </c>
      <c r="M405" s="155"/>
      <c r="N405" s="155"/>
      <c r="O405" s="2">
        <v>60</v>
      </c>
      <c r="P405" s="6">
        <v>12</v>
      </c>
      <c r="Q405" s="131">
        <f t="shared" si="68"/>
        <v>49.655172413793103</v>
      </c>
      <c r="R405" s="33">
        <f t="shared" si="66"/>
        <v>12</v>
      </c>
      <c r="S405" s="132">
        <f t="shared" si="69"/>
        <v>1.5</v>
      </c>
      <c r="T405" s="132">
        <f t="shared" si="70"/>
        <v>1.5</v>
      </c>
      <c r="V405" s="131">
        <f t="shared" si="71"/>
        <v>13.06715063520871</v>
      </c>
      <c r="W405" s="17">
        <v>45.6</v>
      </c>
      <c r="X405" s="8">
        <f>60*60*8/W405</f>
        <v>631.57894736842104</v>
      </c>
      <c r="Y405" s="161">
        <v>45495</v>
      </c>
      <c r="Z405" s="7" t="s">
        <v>7</v>
      </c>
      <c r="AA405" s="117"/>
      <c r="AB405" s="117"/>
      <c r="AC405" s="117"/>
      <c r="CH405">
        <v>6</v>
      </c>
      <c r="CI405">
        <v>64</v>
      </c>
    </row>
    <row r="406" spans="1:87" x14ac:dyDescent="0.3">
      <c r="A406" s="2">
        <v>356</v>
      </c>
      <c r="B406" s="2" t="s">
        <v>0</v>
      </c>
      <c r="C406" s="2" t="s">
        <v>1</v>
      </c>
      <c r="D406" s="2" t="s">
        <v>792</v>
      </c>
      <c r="E406" s="2">
        <v>2100</v>
      </c>
      <c r="F406" s="2">
        <v>3.0000000000000001E-3</v>
      </c>
      <c r="G406" s="2">
        <v>2.3999999999999998E-3</v>
      </c>
      <c r="H406" s="4">
        <f t="shared" si="67"/>
        <v>0.20000000000000009</v>
      </c>
      <c r="I406" s="2" t="s">
        <v>82</v>
      </c>
      <c r="J406" s="2" t="s">
        <v>743</v>
      </c>
      <c r="K406" s="2" t="s">
        <v>90</v>
      </c>
      <c r="L406" s="2" t="s">
        <v>6</v>
      </c>
      <c r="M406" s="155"/>
      <c r="N406" s="155"/>
      <c r="O406" s="2">
        <v>60</v>
      </c>
      <c r="P406" s="6">
        <v>10</v>
      </c>
      <c r="Q406" s="131">
        <f t="shared" si="68"/>
        <v>82.285714285714292</v>
      </c>
      <c r="R406" s="33">
        <f t="shared" si="66"/>
        <v>10</v>
      </c>
      <c r="S406" s="132">
        <f t="shared" si="69"/>
        <v>1.25</v>
      </c>
      <c r="T406" s="132">
        <f t="shared" si="70"/>
        <v>1.25</v>
      </c>
      <c r="V406" s="131" t="str">
        <f t="shared" si="71"/>
        <v/>
      </c>
      <c r="W406" s="17"/>
      <c r="X406" s="7"/>
      <c r="Y406" s="161"/>
      <c r="Z406" s="7"/>
      <c r="AA406" s="117"/>
      <c r="AB406" s="117"/>
      <c r="AC406" s="117"/>
      <c r="CH406">
        <v>5</v>
      </c>
      <c r="CI406">
        <v>84</v>
      </c>
    </row>
    <row r="407" spans="1:87" x14ac:dyDescent="0.3">
      <c r="A407" s="2">
        <v>357</v>
      </c>
      <c r="B407" s="2" t="s">
        <v>0</v>
      </c>
      <c r="C407" s="2" t="s">
        <v>1</v>
      </c>
      <c r="D407" s="2" t="s">
        <v>793</v>
      </c>
      <c r="E407" s="2">
        <v>3300</v>
      </c>
      <c r="F407" s="2">
        <v>5.5999999999999999E-3</v>
      </c>
      <c r="G407" s="2">
        <v>4.0000000000000001E-3</v>
      </c>
      <c r="H407" s="4">
        <f t="shared" si="67"/>
        <v>0.2857142857142857</v>
      </c>
      <c r="I407" s="2" t="s">
        <v>82</v>
      </c>
      <c r="J407" s="2" t="s">
        <v>598</v>
      </c>
      <c r="K407" s="2" t="s">
        <v>5</v>
      </c>
      <c r="L407" s="2" t="s">
        <v>6</v>
      </c>
      <c r="M407" s="155">
        <v>15</v>
      </c>
      <c r="N407" s="155">
        <v>220</v>
      </c>
      <c r="O407" s="2">
        <v>55</v>
      </c>
      <c r="P407" s="6">
        <v>10</v>
      </c>
      <c r="Q407" s="131">
        <f t="shared" si="68"/>
        <v>48</v>
      </c>
      <c r="R407" s="33">
        <f t="shared" si="66"/>
        <v>10</v>
      </c>
      <c r="S407" s="132">
        <f t="shared" si="69"/>
        <v>1.25</v>
      </c>
      <c r="T407" s="132">
        <f t="shared" si="70"/>
        <v>1.25</v>
      </c>
      <c r="V407" s="131" t="str">
        <f t="shared" si="71"/>
        <v/>
      </c>
      <c r="W407" s="17"/>
      <c r="X407" s="7"/>
      <c r="Y407" s="161"/>
      <c r="Z407" s="7"/>
      <c r="AA407" s="117"/>
      <c r="AB407" s="117"/>
      <c r="AC407" s="117"/>
      <c r="CH407">
        <v>1</v>
      </c>
      <c r="CI407">
        <v>43</v>
      </c>
    </row>
    <row r="408" spans="1:87" x14ac:dyDescent="0.3">
      <c r="A408" s="2">
        <v>358</v>
      </c>
      <c r="B408" s="2" t="s">
        <v>0</v>
      </c>
      <c r="C408" s="2" t="s">
        <v>1</v>
      </c>
      <c r="D408" s="2" t="s">
        <v>794</v>
      </c>
      <c r="E408" s="2">
        <v>2900</v>
      </c>
      <c r="F408" s="2">
        <v>7.4999999999999997E-3</v>
      </c>
      <c r="G408" s="2"/>
      <c r="H408" s="4">
        <f t="shared" si="67"/>
        <v>1</v>
      </c>
      <c r="I408" s="2" t="s">
        <v>82</v>
      </c>
      <c r="J408" s="2" t="s">
        <v>795</v>
      </c>
      <c r="K408" s="2"/>
      <c r="L408" s="2"/>
      <c r="M408" s="155"/>
      <c r="N408" s="155"/>
      <c r="O408" s="2">
        <v>25</v>
      </c>
      <c r="P408" s="6">
        <v>8</v>
      </c>
      <c r="Q408" s="131">
        <f t="shared" si="68"/>
        <v>31.03448275862069</v>
      </c>
      <c r="R408" s="33">
        <f t="shared" si="66"/>
        <v>8</v>
      </c>
      <c r="S408" s="132">
        <f t="shared" si="69"/>
        <v>1</v>
      </c>
      <c r="T408" s="132">
        <f t="shared" si="70"/>
        <v>1</v>
      </c>
      <c r="V408" s="131" t="str">
        <f t="shared" si="71"/>
        <v/>
      </c>
      <c r="W408" s="17"/>
      <c r="X408" s="7"/>
      <c r="Y408" s="161"/>
      <c r="Z408" s="7"/>
      <c r="AA408" s="117"/>
      <c r="AB408" s="117"/>
      <c r="AC408" s="117"/>
      <c r="CH408">
        <v>4</v>
      </c>
      <c r="CI408">
        <v>36</v>
      </c>
    </row>
    <row r="409" spans="1:87" x14ac:dyDescent="0.3">
      <c r="A409" s="23">
        <v>359</v>
      </c>
      <c r="B409" s="2" t="s">
        <v>0</v>
      </c>
      <c r="C409" s="2" t="s">
        <v>1</v>
      </c>
      <c r="D409" s="2" t="s">
        <v>796</v>
      </c>
      <c r="E409" s="2">
        <v>4000</v>
      </c>
      <c r="F409" s="2">
        <v>9.7999999999999997E-3</v>
      </c>
      <c r="G409" s="2">
        <v>6.3E-3</v>
      </c>
      <c r="H409" s="4">
        <f t="shared" si="67"/>
        <v>0.3571428571428571</v>
      </c>
      <c r="I409" s="2" t="s">
        <v>82</v>
      </c>
      <c r="J409" s="2" t="s">
        <v>598</v>
      </c>
      <c r="K409" s="2" t="s">
        <v>105</v>
      </c>
      <c r="L409" s="2" t="s">
        <v>76</v>
      </c>
      <c r="M409" s="155"/>
      <c r="N409" s="155"/>
      <c r="O409" s="2">
        <v>16</v>
      </c>
      <c r="P409" s="6">
        <v>5</v>
      </c>
      <c r="Q409" s="131">
        <f t="shared" si="68"/>
        <v>23.04</v>
      </c>
      <c r="R409" s="33">
        <f t="shared" si="66"/>
        <v>5</v>
      </c>
      <c r="S409" s="132">
        <f t="shared" si="69"/>
        <v>0.625</v>
      </c>
      <c r="T409" s="132">
        <f t="shared" si="70"/>
        <v>0.625</v>
      </c>
      <c r="V409" s="131">
        <f t="shared" si="71"/>
        <v>4.6265060240963853</v>
      </c>
      <c r="W409" s="17">
        <v>24.9</v>
      </c>
      <c r="X409" s="8">
        <f>60*60*8/W409</f>
        <v>1156.6265060240964</v>
      </c>
      <c r="Y409" s="161">
        <v>45519</v>
      </c>
      <c r="Z409" s="7" t="s">
        <v>7</v>
      </c>
      <c r="AA409" s="117"/>
      <c r="AB409" s="117"/>
      <c r="AC409" s="117"/>
      <c r="AD409" s="24">
        <v>45519</v>
      </c>
      <c r="AE409">
        <v>6</v>
      </c>
      <c r="AF409">
        <v>7.7</v>
      </c>
      <c r="AH409">
        <v>3</v>
      </c>
      <c r="AI409">
        <v>0.7</v>
      </c>
      <c r="AJ409">
        <v>1.2</v>
      </c>
      <c r="AK409">
        <v>7</v>
      </c>
      <c r="AL409">
        <v>6.5</v>
      </c>
      <c r="AN409">
        <v>12</v>
      </c>
      <c r="AO409">
        <v>1.2</v>
      </c>
      <c r="AP409">
        <v>1</v>
      </c>
      <c r="AS409">
        <v>45.6</v>
      </c>
      <c r="AT409">
        <v>10</v>
      </c>
      <c r="AU409">
        <v>18</v>
      </c>
      <c r="AV409">
        <v>75</v>
      </c>
      <c r="AW409">
        <v>87</v>
      </c>
      <c r="AX409">
        <v>18</v>
      </c>
      <c r="AY409">
        <v>41</v>
      </c>
      <c r="AZ409">
        <v>81</v>
      </c>
      <c r="BA409">
        <v>113</v>
      </c>
      <c r="BB409">
        <v>410</v>
      </c>
      <c r="CH409">
        <v>6</v>
      </c>
      <c r="CI409">
        <v>64</v>
      </c>
    </row>
    <row r="410" spans="1:87" x14ac:dyDescent="0.3">
      <c r="A410" s="2">
        <v>360</v>
      </c>
      <c r="B410" s="2" t="s">
        <v>0</v>
      </c>
      <c r="C410" s="2" t="s">
        <v>1</v>
      </c>
      <c r="D410" s="2" t="s">
        <v>797</v>
      </c>
      <c r="E410" s="2">
        <v>440</v>
      </c>
      <c r="F410" s="2">
        <v>2.24E-2</v>
      </c>
      <c r="G410" s="2">
        <v>1.7000000000000001E-2</v>
      </c>
      <c r="H410" s="4">
        <f t="shared" si="67"/>
        <v>0.24107142857142852</v>
      </c>
      <c r="I410" s="2" t="s">
        <v>82</v>
      </c>
      <c r="J410" s="2" t="s">
        <v>795</v>
      </c>
      <c r="K410" s="2" t="s">
        <v>222</v>
      </c>
      <c r="L410" s="2" t="s">
        <v>76</v>
      </c>
      <c r="M410" s="155"/>
      <c r="N410" s="155"/>
      <c r="O410" s="2">
        <v>9</v>
      </c>
      <c r="P410" s="6">
        <v>18</v>
      </c>
      <c r="Q410" s="131">
        <f t="shared" si="68"/>
        <v>32.727272727272727</v>
      </c>
      <c r="R410" s="33">
        <f t="shared" si="66"/>
        <v>18</v>
      </c>
      <c r="S410" s="132">
        <f t="shared" si="69"/>
        <v>2.25</v>
      </c>
      <c r="T410" s="132">
        <f t="shared" si="70"/>
        <v>2.25</v>
      </c>
      <c r="V410" s="131" t="str">
        <f t="shared" si="71"/>
        <v/>
      </c>
      <c r="W410" s="17"/>
      <c r="X410" s="7"/>
      <c r="Y410" s="161"/>
      <c r="Z410" s="7"/>
      <c r="AA410" s="117"/>
      <c r="AB410" s="117"/>
      <c r="AC410" s="117"/>
      <c r="CH410">
        <v>4</v>
      </c>
      <c r="CI410">
        <v>62</v>
      </c>
    </row>
    <row r="411" spans="1:87" x14ac:dyDescent="0.3">
      <c r="A411" s="2">
        <v>361</v>
      </c>
      <c r="B411" s="2" t="s">
        <v>0</v>
      </c>
      <c r="C411" s="2" t="s">
        <v>1</v>
      </c>
      <c r="D411" s="2" t="s">
        <v>798</v>
      </c>
      <c r="E411" s="2">
        <v>1800</v>
      </c>
      <c r="F411" s="2">
        <v>4.4000000000000003E-3</v>
      </c>
      <c r="G411" s="2"/>
      <c r="H411" s="4">
        <f t="shared" si="67"/>
        <v>1</v>
      </c>
      <c r="I411" s="2" t="s">
        <v>82</v>
      </c>
      <c r="J411" s="2" t="s">
        <v>658</v>
      </c>
      <c r="K411" s="2"/>
      <c r="L411" s="2"/>
      <c r="M411" s="155"/>
      <c r="N411" s="155"/>
      <c r="O411" s="2">
        <v>25</v>
      </c>
      <c r="P411" s="6">
        <v>11</v>
      </c>
      <c r="Q411" s="131">
        <f t="shared" si="68"/>
        <v>36.363636363636367</v>
      </c>
      <c r="R411" s="33">
        <f t="shared" si="66"/>
        <v>10.999999999999998</v>
      </c>
      <c r="S411" s="132">
        <f t="shared" si="69"/>
        <v>1.3749999999999998</v>
      </c>
      <c r="T411" s="132">
        <f t="shared" si="70"/>
        <v>1.3749999999999998</v>
      </c>
      <c r="V411" s="131" t="str">
        <f t="shared" si="71"/>
        <v/>
      </c>
      <c r="W411" s="17"/>
      <c r="X411" s="7"/>
      <c r="Y411" s="161"/>
      <c r="Z411" s="7"/>
      <c r="AA411" s="117"/>
      <c r="AB411" s="117"/>
      <c r="AC411" s="117"/>
      <c r="CH411">
        <v>6</v>
      </c>
      <c r="CI411">
        <v>42</v>
      </c>
    </row>
    <row r="412" spans="1:87" x14ac:dyDescent="0.3">
      <c r="A412" s="2">
        <v>362</v>
      </c>
      <c r="B412" s="2" t="s">
        <v>0</v>
      </c>
      <c r="C412" s="2" t="s">
        <v>1</v>
      </c>
      <c r="D412" s="2" t="s">
        <v>799</v>
      </c>
      <c r="E412" s="2">
        <v>650</v>
      </c>
      <c r="F412" s="2">
        <v>2.1100000000000001E-2</v>
      </c>
      <c r="G412" s="2">
        <v>1.83E-2</v>
      </c>
      <c r="H412" s="4">
        <f t="shared" si="67"/>
        <v>0.13270142180094788</v>
      </c>
      <c r="I412" s="2" t="s">
        <v>82</v>
      </c>
      <c r="J412" s="2" t="s">
        <v>579</v>
      </c>
      <c r="K412" s="2" t="s">
        <v>105</v>
      </c>
      <c r="L412" s="2" t="s">
        <v>76</v>
      </c>
      <c r="M412" s="155"/>
      <c r="N412" s="155"/>
      <c r="O412" s="2">
        <v>18</v>
      </c>
      <c r="P412" s="6">
        <v>16</v>
      </c>
      <c r="Q412" s="131">
        <f t="shared" si="68"/>
        <v>49.846153846153847</v>
      </c>
      <c r="R412" s="33">
        <f t="shared" si="66"/>
        <v>16</v>
      </c>
      <c r="S412" s="132">
        <f t="shared" si="69"/>
        <v>2</v>
      </c>
      <c r="T412" s="132">
        <f t="shared" si="70"/>
        <v>2</v>
      </c>
      <c r="V412" s="131" t="str">
        <f t="shared" si="71"/>
        <v/>
      </c>
      <c r="W412" s="17"/>
      <c r="X412" s="7"/>
      <c r="Y412" s="161"/>
      <c r="Z412" s="7"/>
      <c r="AA412" s="117"/>
      <c r="AB412" s="117"/>
      <c r="AC412" s="117"/>
      <c r="CH412">
        <v>5</v>
      </c>
      <c r="CI412">
        <v>69</v>
      </c>
    </row>
    <row r="413" spans="1:87" x14ac:dyDescent="0.3">
      <c r="A413" s="2">
        <v>363</v>
      </c>
      <c r="B413" s="2" t="s">
        <v>0</v>
      </c>
      <c r="C413" s="2" t="s">
        <v>1</v>
      </c>
      <c r="D413" s="2" t="s">
        <v>800</v>
      </c>
      <c r="E413" s="2">
        <v>1000</v>
      </c>
      <c r="F413" s="2">
        <v>1.72E-2</v>
      </c>
      <c r="G413" s="2"/>
      <c r="H413" s="4">
        <f t="shared" si="67"/>
        <v>1</v>
      </c>
      <c r="I413" s="2" t="s">
        <v>82</v>
      </c>
      <c r="J413" s="2" t="s">
        <v>598</v>
      </c>
      <c r="K413" s="2"/>
      <c r="L413" s="2"/>
      <c r="M413" s="155"/>
      <c r="N413" s="155"/>
      <c r="O413" s="2">
        <v>16</v>
      </c>
      <c r="P413" s="6">
        <v>16</v>
      </c>
      <c r="Q413" s="131">
        <f t="shared" si="68"/>
        <v>28.8</v>
      </c>
      <c r="R413" s="33">
        <f t="shared" si="66"/>
        <v>16</v>
      </c>
      <c r="S413" s="132">
        <f t="shared" si="69"/>
        <v>2</v>
      </c>
      <c r="T413" s="132">
        <f t="shared" si="70"/>
        <v>2</v>
      </c>
      <c r="V413" s="131" t="str">
        <f t="shared" si="71"/>
        <v/>
      </c>
      <c r="W413" s="17"/>
      <c r="X413" s="7"/>
      <c r="Y413" s="161"/>
      <c r="Z413" s="7"/>
      <c r="AA413" s="117"/>
      <c r="AB413" s="117"/>
      <c r="AC413" s="117"/>
      <c r="CH413">
        <v>3</v>
      </c>
      <c r="CI413">
        <v>33</v>
      </c>
    </row>
    <row r="414" spans="1:87" x14ac:dyDescent="0.3">
      <c r="A414" s="2">
        <v>364</v>
      </c>
      <c r="B414" s="2" t="s">
        <v>0</v>
      </c>
      <c r="C414" s="2" t="s">
        <v>1</v>
      </c>
      <c r="D414" s="2" t="s">
        <v>801</v>
      </c>
      <c r="E414" s="2">
        <v>1000</v>
      </c>
      <c r="F414" s="2">
        <v>1.3599999999999999E-2</v>
      </c>
      <c r="G414" s="2">
        <v>8.8999999999999999E-3</v>
      </c>
      <c r="H414" s="4">
        <f t="shared" si="67"/>
        <v>0.34558823529411764</v>
      </c>
      <c r="I414" s="2" t="s">
        <v>82</v>
      </c>
      <c r="J414" s="2" t="s">
        <v>598</v>
      </c>
      <c r="K414" s="2" t="s">
        <v>5</v>
      </c>
      <c r="L414" s="2" t="s">
        <v>6</v>
      </c>
      <c r="M414" s="155"/>
      <c r="N414" s="155"/>
      <c r="O414" s="2">
        <v>20</v>
      </c>
      <c r="P414" s="6">
        <v>16</v>
      </c>
      <c r="Q414" s="131">
        <f t="shared" si="68"/>
        <v>36</v>
      </c>
      <c r="R414" s="33">
        <f t="shared" si="66"/>
        <v>16</v>
      </c>
      <c r="S414" s="132">
        <f t="shared" si="69"/>
        <v>2</v>
      </c>
      <c r="T414" s="132">
        <f t="shared" si="70"/>
        <v>2</v>
      </c>
      <c r="V414" s="131" t="str">
        <f t="shared" si="71"/>
        <v/>
      </c>
      <c r="W414" s="17"/>
      <c r="X414" s="7"/>
      <c r="Y414" s="161"/>
      <c r="Z414" s="7"/>
      <c r="AA414" s="117"/>
      <c r="AB414" s="117"/>
      <c r="AC414" s="117"/>
      <c r="CH414">
        <v>5</v>
      </c>
      <c r="CI414">
        <v>90</v>
      </c>
    </row>
    <row r="415" spans="1:87" x14ac:dyDescent="0.3">
      <c r="A415" s="2">
        <v>365</v>
      </c>
      <c r="B415" s="2" t="s">
        <v>0</v>
      </c>
      <c r="C415" s="2" t="s">
        <v>1</v>
      </c>
      <c r="D415" s="2" t="s">
        <v>802</v>
      </c>
      <c r="E415" s="2">
        <v>320</v>
      </c>
      <c r="F415" s="2">
        <v>4.7399999999999998E-2</v>
      </c>
      <c r="G415" s="2"/>
      <c r="H415" s="4">
        <f t="shared" si="67"/>
        <v>1</v>
      </c>
      <c r="I415" s="2" t="s">
        <v>82</v>
      </c>
      <c r="J415" s="2" t="s">
        <v>581</v>
      </c>
      <c r="K415" s="2"/>
      <c r="L415" s="2"/>
      <c r="M415" s="155"/>
      <c r="N415" s="155"/>
      <c r="O415" s="2">
        <v>8</v>
      </c>
      <c r="P415" s="6">
        <v>16</v>
      </c>
      <c r="Q415" s="131">
        <f t="shared" si="68"/>
        <v>45</v>
      </c>
      <c r="R415" s="33">
        <f t="shared" si="66"/>
        <v>16</v>
      </c>
      <c r="S415" s="132">
        <f t="shared" si="69"/>
        <v>2</v>
      </c>
      <c r="T415" s="132">
        <f t="shared" si="70"/>
        <v>2</v>
      </c>
      <c r="V415" s="131" t="str">
        <f t="shared" si="71"/>
        <v/>
      </c>
      <c r="W415" s="17"/>
      <c r="X415" s="7"/>
      <c r="Y415" s="161"/>
      <c r="Z415" s="7"/>
      <c r="AA415" s="117"/>
      <c r="AB415" s="117"/>
      <c r="AC415" s="117"/>
      <c r="CH415">
        <v>3</v>
      </c>
      <c r="CI415">
        <v>69</v>
      </c>
    </row>
    <row r="416" spans="1:87" x14ac:dyDescent="0.3">
      <c r="A416" s="2">
        <v>366</v>
      </c>
      <c r="B416" s="2" t="s">
        <v>0</v>
      </c>
      <c r="C416" s="2" t="s">
        <v>1</v>
      </c>
      <c r="D416" s="2" t="s">
        <v>803</v>
      </c>
      <c r="E416" s="2">
        <v>1000</v>
      </c>
      <c r="F416" s="2">
        <v>1.9E-2</v>
      </c>
      <c r="G416" s="2">
        <v>1.4E-2</v>
      </c>
      <c r="H416" s="4">
        <f t="shared" si="67"/>
        <v>0.26315789473684209</v>
      </c>
      <c r="I416" s="2" t="s">
        <v>82</v>
      </c>
      <c r="J416" s="2" t="s">
        <v>579</v>
      </c>
      <c r="K416" s="2" t="s">
        <v>305</v>
      </c>
      <c r="L416" s="2" t="s">
        <v>96</v>
      </c>
      <c r="M416" s="155"/>
      <c r="N416" s="155"/>
      <c r="O416" s="2">
        <v>21</v>
      </c>
      <c r="P416" s="6">
        <v>16</v>
      </c>
      <c r="Q416" s="131">
        <f t="shared" si="68"/>
        <v>37.799999999999997</v>
      </c>
      <c r="R416" s="33">
        <f t="shared" si="66"/>
        <v>16</v>
      </c>
      <c r="S416" s="132">
        <f t="shared" si="69"/>
        <v>2</v>
      </c>
      <c r="T416" s="132">
        <f t="shared" si="70"/>
        <v>2</v>
      </c>
      <c r="V416" s="131" t="str">
        <f t="shared" si="71"/>
        <v/>
      </c>
      <c r="W416" s="17"/>
      <c r="X416" s="7"/>
      <c r="Y416" s="161"/>
      <c r="Z416" s="7"/>
      <c r="AA416" s="117"/>
      <c r="AB416" s="117"/>
      <c r="AC416" s="117"/>
      <c r="CH416">
        <v>6</v>
      </c>
      <c r="CI416">
        <v>50</v>
      </c>
    </row>
    <row r="417" spans="1:87" x14ac:dyDescent="0.3">
      <c r="A417" s="2">
        <v>367</v>
      </c>
      <c r="B417" s="2" t="s">
        <v>0</v>
      </c>
      <c r="C417" s="2" t="s">
        <v>1</v>
      </c>
      <c r="D417" s="2" t="s">
        <v>804</v>
      </c>
      <c r="E417" s="2">
        <v>300</v>
      </c>
      <c r="F417" s="2">
        <v>3.5999999999999997E-2</v>
      </c>
      <c r="G417" s="2">
        <v>2.5000000000000001E-2</v>
      </c>
      <c r="H417" s="4">
        <f t="shared" si="67"/>
        <v>0.30555555555555547</v>
      </c>
      <c r="I417" s="2" t="s">
        <v>82</v>
      </c>
      <c r="J417" s="2" t="s">
        <v>581</v>
      </c>
      <c r="K417" s="2" t="s">
        <v>5</v>
      </c>
      <c r="L417" s="2" t="s">
        <v>6</v>
      </c>
      <c r="M417" s="155"/>
      <c r="N417" s="155"/>
      <c r="O417" s="2">
        <v>10</v>
      </c>
      <c r="P417" s="6">
        <v>18</v>
      </c>
      <c r="Q417" s="131">
        <f t="shared" si="68"/>
        <v>53.333333333333336</v>
      </c>
      <c r="R417" s="33">
        <f t="shared" si="66"/>
        <v>18</v>
      </c>
      <c r="S417" s="132">
        <f t="shared" si="69"/>
        <v>2.25</v>
      </c>
      <c r="T417" s="132">
        <f t="shared" si="70"/>
        <v>2.25</v>
      </c>
      <c r="V417" s="131" t="str">
        <f t="shared" si="71"/>
        <v/>
      </c>
      <c r="W417" s="17"/>
      <c r="X417" s="7"/>
      <c r="Y417" s="161"/>
      <c r="Z417" s="7"/>
      <c r="AA417" s="117"/>
      <c r="AB417" s="117"/>
      <c r="AC417" s="117"/>
      <c r="CH417">
        <v>3</v>
      </c>
      <c r="CI417">
        <v>45</v>
      </c>
    </row>
    <row r="418" spans="1:87" x14ac:dyDescent="0.3">
      <c r="A418" s="2">
        <v>368</v>
      </c>
      <c r="B418" s="2" t="s">
        <v>0</v>
      </c>
      <c r="C418" s="2" t="s">
        <v>1</v>
      </c>
      <c r="D418" s="2" t="s">
        <v>805</v>
      </c>
      <c r="E418" s="2">
        <v>300</v>
      </c>
      <c r="F418" s="2">
        <v>3.4799999999999998E-2</v>
      </c>
      <c r="G418" s="2">
        <v>2.4E-2</v>
      </c>
      <c r="H418" s="4">
        <f t="shared" si="67"/>
        <v>0.31034482758620685</v>
      </c>
      <c r="I418" s="2" t="s">
        <v>82</v>
      </c>
      <c r="J418" s="2" t="s">
        <v>581</v>
      </c>
      <c r="K418" s="2" t="s">
        <v>5</v>
      </c>
      <c r="L418" s="2" t="s">
        <v>6</v>
      </c>
      <c r="M418" s="155"/>
      <c r="N418" s="155"/>
      <c r="O418" s="2">
        <v>10</v>
      </c>
      <c r="P418" s="6">
        <v>18</v>
      </c>
      <c r="Q418" s="131">
        <f t="shared" si="68"/>
        <v>53.333333333333336</v>
      </c>
      <c r="R418" s="33">
        <f t="shared" si="66"/>
        <v>18</v>
      </c>
      <c r="S418" s="132">
        <f t="shared" si="69"/>
        <v>2.25</v>
      </c>
      <c r="T418" s="132">
        <f t="shared" si="70"/>
        <v>2.25</v>
      </c>
      <c r="V418" s="131" t="str">
        <f t="shared" si="71"/>
        <v/>
      </c>
      <c r="W418" s="17"/>
      <c r="X418" s="7"/>
      <c r="Y418" s="161"/>
      <c r="Z418" s="7"/>
      <c r="AA418" s="117"/>
      <c r="AB418" s="117"/>
      <c r="AC418" s="117"/>
      <c r="CH418">
        <v>2</v>
      </c>
      <c r="CI418">
        <v>49</v>
      </c>
    </row>
    <row r="419" spans="1:87" x14ac:dyDescent="0.3">
      <c r="A419" s="2">
        <v>369</v>
      </c>
      <c r="B419" s="2" t="s">
        <v>0</v>
      </c>
      <c r="C419" s="2" t="s">
        <v>1</v>
      </c>
      <c r="D419" s="2" t="s">
        <v>806</v>
      </c>
      <c r="E419" s="2">
        <v>240</v>
      </c>
      <c r="F419" s="2">
        <v>3.5099999999999999E-2</v>
      </c>
      <c r="G419" s="2">
        <v>2.41E-2</v>
      </c>
      <c r="H419" s="4">
        <f t="shared" si="67"/>
        <v>0.31339031339031337</v>
      </c>
      <c r="I419" s="2" t="s">
        <v>82</v>
      </c>
      <c r="J419" s="2" t="s">
        <v>581</v>
      </c>
      <c r="K419" s="2" t="s">
        <v>5</v>
      </c>
      <c r="L419" s="2" t="s">
        <v>6</v>
      </c>
      <c r="M419" s="155"/>
      <c r="N419" s="155"/>
      <c r="O419" s="2">
        <v>10</v>
      </c>
      <c r="P419" s="6">
        <v>20</v>
      </c>
      <c r="Q419" s="131">
        <f t="shared" si="68"/>
        <v>60</v>
      </c>
      <c r="R419" s="33">
        <f t="shared" si="66"/>
        <v>20</v>
      </c>
      <c r="S419" s="132">
        <f t="shared" si="69"/>
        <v>2.5</v>
      </c>
      <c r="T419" s="132">
        <f t="shared" si="70"/>
        <v>2.5</v>
      </c>
      <c r="V419" s="131" t="str">
        <f t="shared" si="71"/>
        <v/>
      </c>
      <c r="W419" s="17"/>
      <c r="X419" s="7"/>
      <c r="Y419" s="161"/>
      <c r="Z419" s="7"/>
      <c r="AA419" s="117"/>
      <c r="AB419" s="117"/>
      <c r="AC419" s="117"/>
      <c r="CH419">
        <v>5</v>
      </c>
      <c r="CI419">
        <v>70</v>
      </c>
    </row>
    <row r="420" spans="1:87" x14ac:dyDescent="0.3">
      <c r="A420" s="2">
        <v>370</v>
      </c>
      <c r="B420" s="2" t="s">
        <v>0</v>
      </c>
      <c r="C420" s="2" t="s">
        <v>1</v>
      </c>
      <c r="D420" s="2" t="s">
        <v>807</v>
      </c>
      <c r="E420" s="2">
        <v>550</v>
      </c>
      <c r="F420" s="2">
        <v>1.4E-2</v>
      </c>
      <c r="G420" s="2">
        <v>8.0999999999999996E-3</v>
      </c>
      <c r="H420" s="4">
        <f t="shared" si="67"/>
        <v>0.42142857142857149</v>
      </c>
      <c r="I420" s="2" t="s">
        <v>82</v>
      </c>
      <c r="J420" s="2" t="s">
        <v>598</v>
      </c>
      <c r="K420" s="2" t="s">
        <v>90</v>
      </c>
      <c r="L420" s="2" t="s">
        <v>6</v>
      </c>
      <c r="M420" s="155"/>
      <c r="N420" s="155"/>
      <c r="O420" s="2">
        <v>20</v>
      </c>
      <c r="P420" s="6">
        <v>20</v>
      </c>
      <c r="Q420" s="131">
        <f t="shared" si="68"/>
        <v>52.36363636363636</v>
      </c>
      <c r="R420" s="33">
        <f t="shared" si="66"/>
        <v>20</v>
      </c>
      <c r="S420" s="132">
        <f t="shared" si="69"/>
        <v>2.5</v>
      </c>
      <c r="T420" s="132">
        <f t="shared" si="70"/>
        <v>2.5</v>
      </c>
      <c r="V420" s="131" t="str">
        <f t="shared" si="71"/>
        <v/>
      </c>
      <c r="W420" s="17"/>
      <c r="X420" s="7"/>
      <c r="Y420" s="161"/>
      <c r="Z420" s="7"/>
      <c r="AA420" s="117"/>
      <c r="AB420" s="117"/>
      <c r="AC420" s="117"/>
      <c r="CH420">
        <v>2</v>
      </c>
      <c r="CI420">
        <v>62</v>
      </c>
    </row>
    <row r="421" spans="1:87" x14ac:dyDescent="0.3">
      <c r="A421" s="2">
        <v>376</v>
      </c>
      <c r="B421" s="2" t="s">
        <v>0</v>
      </c>
      <c r="C421" s="2" t="s">
        <v>1</v>
      </c>
      <c r="D421" s="2" t="s">
        <v>808</v>
      </c>
      <c r="E421" s="2">
        <v>40</v>
      </c>
      <c r="F421" s="2">
        <v>0.3604</v>
      </c>
      <c r="G421" s="2">
        <v>0.24199999999999999</v>
      </c>
      <c r="H421" s="4">
        <f t="shared" si="67"/>
        <v>0.32852386237513875</v>
      </c>
      <c r="I421" s="2" t="s">
        <v>98</v>
      </c>
      <c r="J421" s="2" t="s">
        <v>624</v>
      </c>
      <c r="K421" s="2" t="s">
        <v>105</v>
      </c>
      <c r="L421" s="2" t="s">
        <v>76</v>
      </c>
      <c r="M421" s="155"/>
      <c r="N421" s="155"/>
      <c r="O421" s="2">
        <v>3</v>
      </c>
      <c r="P421" s="6">
        <v>20</v>
      </c>
      <c r="Q421" s="131">
        <f t="shared" si="68"/>
        <v>108</v>
      </c>
      <c r="R421" s="33">
        <f t="shared" si="66"/>
        <v>20</v>
      </c>
      <c r="S421" s="132">
        <f t="shared" si="69"/>
        <v>2.5</v>
      </c>
      <c r="T421" s="132">
        <f t="shared" si="70"/>
        <v>2.5</v>
      </c>
      <c r="V421" s="131" t="str">
        <f t="shared" si="71"/>
        <v/>
      </c>
      <c r="W421" s="17"/>
      <c r="X421" s="7"/>
      <c r="Y421" s="161"/>
      <c r="Z421" s="7"/>
      <c r="AA421" s="117"/>
      <c r="AB421" s="117"/>
      <c r="AC421" s="117"/>
      <c r="CH421">
        <v>3</v>
      </c>
      <c r="CI421">
        <v>78</v>
      </c>
    </row>
    <row r="422" spans="1:87" x14ac:dyDescent="0.3">
      <c r="A422" s="2">
        <v>377</v>
      </c>
      <c r="B422" s="2" t="s">
        <v>0</v>
      </c>
      <c r="C422" s="2" t="s">
        <v>1</v>
      </c>
      <c r="D422" s="2" t="s">
        <v>809</v>
      </c>
      <c r="E422" s="2">
        <v>50</v>
      </c>
      <c r="F422" s="2">
        <v>0.31719999999999998</v>
      </c>
      <c r="G422" s="2">
        <v>0.24199999999999999</v>
      </c>
      <c r="H422" s="4">
        <f t="shared" si="67"/>
        <v>0.23707440100882721</v>
      </c>
      <c r="I422" s="2" t="s">
        <v>98</v>
      </c>
      <c r="J422" s="2" t="s">
        <v>624</v>
      </c>
      <c r="K422" s="2" t="s">
        <v>105</v>
      </c>
      <c r="L422" s="2" t="s">
        <v>76</v>
      </c>
      <c r="M422" s="155"/>
      <c r="N422" s="155"/>
      <c r="O422" s="2">
        <v>3</v>
      </c>
      <c r="P422" s="6">
        <v>20</v>
      </c>
      <c r="Q422" s="131">
        <f t="shared" si="68"/>
        <v>86.4</v>
      </c>
      <c r="R422" s="33">
        <f t="shared" si="66"/>
        <v>20</v>
      </c>
      <c r="S422" s="132">
        <f t="shared" si="69"/>
        <v>2.5</v>
      </c>
      <c r="T422" s="132">
        <f t="shared" si="70"/>
        <v>2.5</v>
      </c>
      <c r="V422" s="131" t="str">
        <f t="shared" si="71"/>
        <v/>
      </c>
      <c r="W422" s="17"/>
      <c r="X422" s="7"/>
      <c r="Y422" s="161"/>
      <c r="Z422" s="7"/>
      <c r="AA422" s="117"/>
      <c r="AB422" s="117"/>
      <c r="AC422" s="117"/>
      <c r="CH422">
        <v>3</v>
      </c>
      <c r="CI422">
        <v>50</v>
      </c>
    </row>
    <row r="423" spans="1:87" x14ac:dyDescent="0.3">
      <c r="A423" s="2">
        <v>379</v>
      </c>
      <c r="B423" s="2" t="s">
        <v>0</v>
      </c>
      <c r="C423" s="2" t="s">
        <v>1</v>
      </c>
      <c r="D423" s="2" t="s">
        <v>810</v>
      </c>
      <c r="E423" s="2">
        <v>1500</v>
      </c>
      <c r="F423" s="2">
        <v>6.6E-3</v>
      </c>
      <c r="G423" s="2">
        <v>5.1999999999999998E-3</v>
      </c>
      <c r="H423" s="4">
        <f t="shared" si="67"/>
        <v>0.21212121212121215</v>
      </c>
      <c r="I423" s="2" t="s">
        <v>82</v>
      </c>
      <c r="J423" s="2" t="s">
        <v>598</v>
      </c>
      <c r="K423" s="2" t="s">
        <v>5</v>
      </c>
      <c r="L423" s="2" t="s">
        <v>6</v>
      </c>
      <c r="M423" s="155"/>
      <c r="N423" s="155"/>
      <c r="O423" s="2">
        <v>24</v>
      </c>
      <c r="P423" s="6">
        <v>16</v>
      </c>
      <c r="Q423" s="131">
        <f t="shared" si="68"/>
        <v>28.8</v>
      </c>
      <c r="R423" s="33">
        <f t="shared" si="66"/>
        <v>16</v>
      </c>
      <c r="S423" s="132">
        <f t="shared" si="69"/>
        <v>2</v>
      </c>
      <c r="T423" s="132">
        <f t="shared" si="70"/>
        <v>2</v>
      </c>
      <c r="V423" s="131" t="str">
        <f t="shared" si="71"/>
        <v/>
      </c>
      <c r="W423" s="17"/>
      <c r="X423" s="7"/>
      <c r="Y423" s="161"/>
      <c r="Z423" s="7"/>
      <c r="AA423" s="117"/>
      <c r="AB423" s="117"/>
      <c r="AC423" s="117"/>
      <c r="CH423">
        <v>3</v>
      </c>
      <c r="CI423">
        <v>87</v>
      </c>
    </row>
    <row r="424" spans="1:87" x14ac:dyDescent="0.3">
      <c r="A424" s="2">
        <v>380</v>
      </c>
      <c r="B424" s="2" t="s">
        <v>0</v>
      </c>
      <c r="C424" s="2" t="s">
        <v>1</v>
      </c>
      <c r="D424" s="2" t="s">
        <v>811</v>
      </c>
      <c r="E424" s="2">
        <v>2200</v>
      </c>
      <c r="F424" s="2">
        <v>1.0200000000000001E-2</v>
      </c>
      <c r="G424" s="2"/>
      <c r="H424" s="4">
        <f t="shared" si="67"/>
        <v>1</v>
      </c>
      <c r="I424" s="2" t="s">
        <v>82</v>
      </c>
      <c r="J424" s="2" t="s">
        <v>107</v>
      </c>
      <c r="K424" s="2" t="s">
        <v>90</v>
      </c>
      <c r="L424" s="2" t="s">
        <v>6</v>
      </c>
      <c r="M424" s="155"/>
      <c r="N424" s="155"/>
      <c r="O424" s="2">
        <v>12</v>
      </c>
      <c r="P424" s="6">
        <v>8</v>
      </c>
      <c r="Q424" s="131">
        <f t="shared" si="68"/>
        <v>19.636363636363637</v>
      </c>
      <c r="R424" s="33">
        <f t="shared" si="66"/>
        <v>8</v>
      </c>
      <c r="S424" s="132">
        <f t="shared" si="69"/>
        <v>1</v>
      </c>
      <c r="T424" s="132">
        <f t="shared" si="70"/>
        <v>1</v>
      </c>
      <c r="V424" s="131" t="str">
        <f t="shared" si="71"/>
        <v/>
      </c>
      <c r="W424" s="17"/>
      <c r="X424" s="7"/>
      <c r="Y424" s="161"/>
      <c r="Z424" s="7"/>
      <c r="AA424" s="117"/>
      <c r="AB424" s="117"/>
      <c r="AC424" s="117"/>
      <c r="CH424">
        <v>5</v>
      </c>
      <c r="CI424">
        <v>33</v>
      </c>
    </row>
    <row r="425" spans="1:87" x14ac:dyDescent="0.3">
      <c r="A425" s="2">
        <v>386</v>
      </c>
      <c r="B425" s="2" t="s">
        <v>0</v>
      </c>
      <c r="C425" s="2" t="s">
        <v>1</v>
      </c>
      <c r="D425" s="2" t="s">
        <v>812</v>
      </c>
      <c r="E425" s="2">
        <v>1500</v>
      </c>
      <c r="F425" s="2">
        <v>6.6E-3</v>
      </c>
      <c r="G425" s="2">
        <v>5.1999999999999998E-3</v>
      </c>
      <c r="H425" s="4">
        <f t="shared" si="67"/>
        <v>0.21212121212121215</v>
      </c>
      <c r="I425" s="2" t="s">
        <v>82</v>
      </c>
      <c r="J425" s="2" t="s">
        <v>600</v>
      </c>
      <c r="K425" s="2" t="s">
        <v>5</v>
      </c>
      <c r="L425" s="2" t="s">
        <v>6</v>
      </c>
      <c r="M425" s="155"/>
      <c r="N425" s="155"/>
      <c r="O425" s="2">
        <v>24</v>
      </c>
      <c r="P425" s="6">
        <v>16</v>
      </c>
      <c r="Q425" s="131">
        <f t="shared" si="68"/>
        <v>28.8</v>
      </c>
      <c r="R425" s="33">
        <f t="shared" si="66"/>
        <v>16</v>
      </c>
      <c r="S425" s="132">
        <f t="shared" si="69"/>
        <v>2</v>
      </c>
      <c r="T425" s="132">
        <f t="shared" si="70"/>
        <v>2</v>
      </c>
      <c r="V425" s="131" t="str">
        <f t="shared" si="71"/>
        <v/>
      </c>
      <c r="W425" s="17"/>
      <c r="X425" s="7"/>
      <c r="Y425" s="161"/>
      <c r="Z425" s="7"/>
      <c r="AA425" s="117"/>
      <c r="AB425" s="117"/>
      <c r="AC425" s="117"/>
      <c r="CH425">
        <v>2</v>
      </c>
      <c r="CI425">
        <v>49</v>
      </c>
    </row>
    <row r="426" spans="1:87" x14ac:dyDescent="0.3">
      <c r="A426" s="2">
        <v>390</v>
      </c>
      <c r="B426" s="2" t="s">
        <v>84</v>
      </c>
      <c r="C426" s="2" t="s">
        <v>1</v>
      </c>
      <c r="D426" s="2" t="s">
        <v>813</v>
      </c>
      <c r="E426" s="2">
        <v>280</v>
      </c>
      <c r="F426" s="2">
        <v>2.5999999999999999E-2</v>
      </c>
      <c r="G426" s="2"/>
      <c r="H426" s="4">
        <f t="shared" si="67"/>
        <v>1</v>
      </c>
      <c r="I426" s="2" t="s">
        <v>82</v>
      </c>
      <c r="J426" s="2" t="s">
        <v>645</v>
      </c>
      <c r="K426" s="2"/>
      <c r="L426" s="2"/>
      <c r="M426" s="155"/>
      <c r="N426" s="155"/>
      <c r="O426" s="2">
        <v>6</v>
      </c>
      <c r="P426" s="6">
        <v>10</v>
      </c>
      <c r="Q426" s="131">
        <f t="shared" si="68"/>
        <v>61.714285714285708</v>
      </c>
      <c r="R426" s="33">
        <f t="shared" si="66"/>
        <v>10</v>
      </c>
      <c r="S426" s="132">
        <f t="shared" si="69"/>
        <v>1.25</v>
      </c>
      <c r="T426" s="132">
        <f t="shared" si="70"/>
        <v>1.25</v>
      </c>
      <c r="V426" s="131" t="str">
        <f t="shared" si="71"/>
        <v/>
      </c>
      <c r="W426" s="17"/>
      <c r="X426" s="7"/>
      <c r="Y426" s="161"/>
      <c r="Z426" s="7"/>
      <c r="AA426" s="117"/>
      <c r="AB426" s="117"/>
      <c r="AC426" s="117"/>
      <c r="CH426">
        <v>3</v>
      </c>
      <c r="CI426">
        <v>58</v>
      </c>
    </row>
    <row r="427" spans="1:87" x14ac:dyDescent="0.3">
      <c r="A427" s="2">
        <v>391</v>
      </c>
      <c r="B427" s="2" t="s">
        <v>84</v>
      </c>
      <c r="C427" s="2" t="s">
        <v>1</v>
      </c>
      <c r="D427" s="2" t="s">
        <v>814</v>
      </c>
      <c r="E427" s="2">
        <v>2800</v>
      </c>
      <c r="F427" s="2">
        <v>4.7000000000000002E-3</v>
      </c>
      <c r="G427" s="2"/>
      <c r="H427" s="4">
        <f t="shared" si="67"/>
        <v>1</v>
      </c>
      <c r="I427" s="2" t="s">
        <v>82</v>
      </c>
      <c r="J427" s="2" t="s">
        <v>645</v>
      </c>
      <c r="K427" s="2" t="s">
        <v>5</v>
      </c>
      <c r="L427" s="2" t="s">
        <v>6</v>
      </c>
      <c r="M427" s="155"/>
      <c r="N427" s="155"/>
      <c r="O427" s="2">
        <v>40</v>
      </c>
      <c r="P427" s="6"/>
      <c r="Q427" s="131" t="str">
        <f t="shared" si="68"/>
        <v/>
      </c>
      <c r="R427" s="33" t="str">
        <f t="shared" si="66"/>
        <v/>
      </c>
      <c r="S427" s="132" t="str">
        <f t="shared" si="69"/>
        <v/>
      </c>
      <c r="T427" s="132" t="str">
        <f t="shared" si="70"/>
        <v/>
      </c>
      <c r="V427" s="131" t="str">
        <f t="shared" si="71"/>
        <v/>
      </c>
      <c r="W427" s="17"/>
      <c r="X427" s="7"/>
      <c r="Y427" s="161"/>
      <c r="Z427" s="7"/>
      <c r="AA427" s="117"/>
      <c r="AB427" s="117"/>
      <c r="AC427" s="117"/>
      <c r="CH427">
        <v>6</v>
      </c>
      <c r="CI427">
        <v>58</v>
      </c>
    </row>
    <row r="428" spans="1:87" x14ac:dyDescent="0.3">
      <c r="A428" s="2">
        <v>392</v>
      </c>
      <c r="B428" s="2" t="s">
        <v>84</v>
      </c>
      <c r="C428" s="2" t="s">
        <v>1</v>
      </c>
      <c r="D428" s="2" t="s">
        <v>815</v>
      </c>
      <c r="E428" s="2">
        <v>3200</v>
      </c>
      <c r="F428" s="2">
        <v>3.8999999999999998E-3</v>
      </c>
      <c r="G428" s="2"/>
      <c r="H428" s="4">
        <f t="shared" si="67"/>
        <v>1</v>
      </c>
      <c r="I428" s="2" t="s">
        <v>82</v>
      </c>
      <c r="J428" s="2" t="s">
        <v>645</v>
      </c>
      <c r="K428" s="2" t="s">
        <v>5</v>
      </c>
      <c r="L428" s="2" t="s">
        <v>6</v>
      </c>
      <c r="M428" s="155"/>
      <c r="N428" s="155"/>
      <c r="O428" s="2">
        <v>44</v>
      </c>
      <c r="P428" s="6"/>
      <c r="Q428" s="131" t="str">
        <f t="shared" si="68"/>
        <v/>
      </c>
      <c r="R428" s="33" t="str">
        <f t="shared" si="66"/>
        <v/>
      </c>
      <c r="S428" s="132" t="str">
        <f t="shared" si="69"/>
        <v/>
      </c>
      <c r="T428" s="132" t="str">
        <f t="shared" si="70"/>
        <v/>
      </c>
      <c r="V428" s="131" t="str">
        <f t="shared" si="71"/>
        <v/>
      </c>
      <c r="W428" s="17"/>
      <c r="X428" s="7"/>
      <c r="Y428" s="161"/>
      <c r="Z428" s="7"/>
      <c r="AA428" s="117"/>
      <c r="AB428" s="117"/>
      <c r="AC428" s="117"/>
      <c r="CH428">
        <v>1</v>
      </c>
      <c r="CI428">
        <v>90</v>
      </c>
    </row>
    <row r="429" spans="1:87" x14ac:dyDescent="0.3">
      <c r="A429" s="2">
        <v>393</v>
      </c>
      <c r="B429" s="2" t="s">
        <v>84</v>
      </c>
      <c r="C429" s="2" t="s">
        <v>1</v>
      </c>
      <c r="D429" s="2" t="s">
        <v>816</v>
      </c>
      <c r="E429" s="2">
        <v>2650</v>
      </c>
      <c r="F429" s="2">
        <v>4.1999999999999997E-3</v>
      </c>
      <c r="G429" s="2">
        <v>3.0999999999999999E-3</v>
      </c>
      <c r="H429" s="4">
        <f t="shared" si="67"/>
        <v>0.26190476190476186</v>
      </c>
      <c r="I429" s="2" t="s">
        <v>82</v>
      </c>
      <c r="J429" s="2" t="s">
        <v>645</v>
      </c>
      <c r="K429" s="2" t="s">
        <v>357</v>
      </c>
      <c r="L429" s="2" t="s">
        <v>6</v>
      </c>
      <c r="M429" s="155"/>
      <c r="N429" s="155"/>
      <c r="O429" s="2">
        <v>22</v>
      </c>
      <c r="P429" s="6"/>
      <c r="Q429" s="131" t="str">
        <f t="shared" si="68"/>
        <v/>
      </c>
      <c r="R429" s="33" t="str">
        <f t="shared" si="66"/>
        <v/>
      </c>
      <c r="S429" s="132" t="str">
        <f t="shared" si="69"/>
        <v/>
      </c>
      <c r="T429" s="132" t="str">
        <f t="shared" si="70"/>
        <v/>
      </c>
      <c r="V429" s="131" t="str">
        <f t="shared" si="71"/>
        <v/>
      </c>
      <c r="W429" s="17"/>
      <c r="X429" s="7"/>
      <c r="Y429" s="161"/>
      <c r="Z429" s="7"/>
      <c r="AA429" s="117"/>
      <c r="AB429" s="117"/>
      <c r="AC429" s="117"/>
      <c r="CH429">
        <v>2</v>
      </c>
      <c r="CI429">
        <v>70</v>
      </c>
    </row>
    <row r="430" spans="1:87" x14ac:dyDescent="0.3">
      <c r="A430" s="2">
        <v>394</v>
      </c>
      <c r="B430" s="2" t="s">
        <v>84</v>
      </c>
      <c r="C430" s="2" t="s">
        <v>1</v>
      </c>
      <c r="D430" s="2" t="s">
        <v>817</v>
      </c>
      <c r="E430" s="2">
        <v>2600</v>
      </c>
      <c r="F430" s="2">
        <v>7.9000000000000008E-3</v>
      </c>
      <c r="G430" s="2"/>
      <c r="H430" s="4">
        <f t="shared" si="67"/>
        <v>1</v>
      </c>
      <c r="I430" s="2" t="s">
        <v>82</v>
      </c>
      <c r="J430" s="2" t="s">
        <v>743</v>
      </c>
      <c r="K430" s="2" t="s">
        <v>105</v>
      </c>
      <c r="L430" s="2" t="s">
        <v>76</v>
      </c>
      <c r="M430" s="155"/>
      <c r="N430" s="155"/>
      <c r="O430" s="2">
        <v>20</v>
      </c>
      <c r="P430" s="6"/>
      <c r="Q430" s="131" t="str">
        <f t="shared" si="68"/>
        <v/>
      </c>
      <c r="R430" s="33" t="str">
        <f t="shared" si="66"/>
        <v/>
      </c>
      <c r="S430" s="132" t="str">
        <f t="shared" si="69"/>
        <v/>
      </c>
      <c r="T430" s="132" t="str">
        <f t="shared" si="70"/>
        <v/>
      </c>
      <c r="V430" s="131" t="str">
        <f t="shared" si="71"/>
        <v/>
      </c>
      <c r="W430" s="17"/>
      <c r="X430" s="7"/>
      <c r="Y430" s="161"/>
      <c r="Z430" s="7"/>
      <c r="AA430" s="117"/>
      <c r="AB430" s="117"/>
      <c r="AC430" s="117"/>
      <c r="CH430">
        <v>5</v>
      </c>
      <c r="CI430">
        <v>59</v>
      </c>
    </row>
    <row r="431" spans="1:87" x14ac:dyDescent="0.3">
      <c r="A431" s="2">
        <v>395</v>
      </c>
      <c r="B431" s="2" t="s">
        <v>0</v>
      </c>
      <c r="C431" s="2" t="s">
        <v>1</v>
      </c>
      <c r="D431" s="2" t="s">
        <v>818</v>
      </c>
      <c r="E431" s="2">
        <v>130</v>
      </c>
      <c r="F431" s="2">
        <v>3.6299999999999999E-2</v>
      </c>
      <c r="G431" s="2">
        <v>2.7E-2</v>
      </c>
      <c r="H431" s="4">
        <f t="shared" si="67"/>
        <v>0.256198347107438</v>
      </c>
      <c r="I431" s="2" t="s">
        <v>98</v>
      </c>
      <c r="J431" s="2" t="s">
        <v>570</v>
      </c>
      <c r="K431" s="2" t="s">
        <v>90</v>
      </c>
      <c r="L431" s="2" t="s">
        <v>6</v>
      </c>
      <c r="M431" s="155"/>
      <c r="N431" s="155"/>
      <c r="O431" s="2">
        <v>2</v>
      </c>
      <c r="P431" s="6">
        <v>35</v>
      </c>
      <c r="Q431" s="131">
        <f t="shared" si="68"/>
        <v>12.659340659340661</v>
      </c>
      <c r="R431" s="33">
        <f t="shared" si="66"/>
        <v>35</v>
      </c>
      <c r="S431" s="132">
        <f t="shared" si="69"/>
        <v>4.375</v>
      </c>
      <c r="T431" s="132">
        <f t="shared" si="70"/>
        <v>4.375</v>
      </c>
      <c r="V431" s="131" t="str">
        <f t="shared" si="71"/>
        <v/>
      </c>
      <c r="W431" s="17"/>
      <c r="X431" s="7"/>
      <c r="Y431" s="161"/>
      <c r="Z431" s="7"/>
      <c r="AA431" s="117"/>
      <c r="AB431" s="117"/>
      <c r="AC431" s="117"/>
      <c r="CH431">
        <v>3</v>
      </c>
      <c r="CI431">
        <v>42</v>
      </c>
    </row>
    <row r="432" spans="1:87" x14ac:dyDescent="0.3">
      <c r="A432" s="23">
        <v>397</v>
      </c>
      <c r="B432" s="2" t="s">
        <v>0</v>
      </c>
      <c r="C432" s="2" t="s">
        <v>1</v>
      </c>
      <c r="D432" s="2" t="s">
        <v>819</v>
      </c>
      <c r="E432" s="2">
        <v>5200</v>
      </c>
      <c r="F432" s="2">
        <v>1.6999999999999999E-3</v>
      </c>
      <c r="G432" s="2">
        <v>1.1000000000000001E-3</v>
      </c>
      <c r="H432" s="4">
        <f t="shared" si="67"/>
        <v>0.35294117647058815</v>
      </c>
      <c r="I432" s="2" t="s">
        <v>82</v>
      </c>
      <c r="J432" s="2" t="s">
        <v>645</v>
      </c>
      <c r="K432" s="2" t="s">
        <v>820</v>
      </c>
      <c r="L432" s="2" t="s">
        <v>6</v>
      </c>
      <c r="M432" s="155"/>
      <c r="N432" s="155"/>
      <c r="O432" s="2">
        <v>100</v>
      </c>
      <c r="P432" s="6">
        <v>10</v>
      </c>
      <c r="Q432" s="131">
        <f t="shared" si="68"/>
        <v>55.38461538461538</v>
      </c>
      <c r="R432" s="33">
        <f t="shared" si="66"/>
        <v>10</v>
      </c>
      <c r="S432" s="132">
        <f t="shared" si="69"/>
        <v>1.25</v>
      </c>
      <c r="T432" s="132">
        <f t="shared" si="70"/>
        <v>1.25</v>
      </c>
      <c r="V432" s="131">
        <f t="shared" si="71"/>
        <v>13.722649996188153</v>
      </c>
      <c r="W432" s="17">
        <v>40.36</v>
      </c>
      <c r="X432" s="8">
        <f>60*60*8/W432</f>
        <v>713.57779980178395</v>
      </c>
      <c r="Y432" s="161">
        <v>45338</v>
      </c>
      <c r="Z432" s="7" t="s">
        <v>821</v>
      </c>
      <c r="AA432" s="117"/>
      <c r="AB432" s="117"/>
      <c r="AC432" s="117"/>
      <c r="CH432">
        <v>6</v>
      </c>
      <c r="CI432">
        <v>73</v>
      </c>
    </row>
    <row r="433" spans="1:87" x14ac:dyDescent="0.3">
      <c r="A433" s="2">
        <v>399</v>
      </c>
      <c r="B433" s="2" t="s">
        <v>0</v>
      </c>
      <c r="C433" s="2" t="s">
        <v>1</v>
      </c>
      <c r="D433" s="2" t="s">
        <v>822</v>
      </c>
      <c r="E433" s="2">
        <v>2400</v>
      </c>
      <c r="F433" s="2">
        <v>1.41E-2</v>
      </c>
      <c r="G433" s="2">
        <v>1.0500000000000001E-2</v>
      </c>
      <c r="H433" s="4">
        <f t="shared" si="67"/>
        <v>0.25531914893617014</v>
      </c>
      <c r="I433" s="2" t="s">
        <v>82</v>
      </c>
      <c r="J433" s="2" t="s">
        <v>658</v>
      </c>
      <c r="K433" s="2" t="s">
        <v>105</v>
      </c>
      <c r="L433" s="2" t="s">
        <v>76</v>
      </c>
      <c r="M433" s="155"/>
      <c r="N433" s="155"/>
      <c r="O433" s="2">
        <v>16</v>
      </c>
      <c r="P433" s="6">
        <v>6</v>
      </c>
      <c r="Q433" s="131">
        <f t="shared" si="68"/>
        <v>32</v>
      </c>
      <c r="R433" s="33">
        <f t="shared" si="66"/>
        <v>6</v>
      </c>
      <c r="S433" s="132">
        <f t="shared" si="69"/>
        <v>0.75</v>
      </c>
      <c r="T433" s="132">
        <f t="shared" si="70"/>
        <v>0.75</v>
      </c>
      <c r="V433" s="131" t="str">
        <f t="shared" si="71"/>
        <v/>
      </c>
      <c r="W433" s="17"/>
      <c r="X433" s="7"/>
      <c r="Y433" s="161"/>
      <c r="Z433" s="7"/>
      <c r="AA433" s="117"/>
      <c r="AB433" s="117"/>
      <c r="AC433" s="117"/>
      <c r="CH433">
        <v>3</v>
      </c>
      <c r="CI433">
        <v>85</v>
      </c>
    </row>
    <row r="434" spans="1:87" x14ac:dyDescent="0.3">
      <c r="A434" s="2">
        <v>400</v>
      </c>
      <c r="B434" s="2" t="s">
        <v>0</v>
      </c>
      <c r="C434" s="2" t="s">
        <v>1</v>
      </c>
      <c r="D434" s="2" t="s">
        <v>823</v>
      </c>
      <c r="E434" s="2">
        <v>2700</v>
      </c>
      <c r="F434" s="2">
        <v>1.1599999999999999E-2</v>
      </c>
      <c r="G434" s="2">
        <v>9.4999999999999998E-3</v>
      </c>
      <c r="H434" s="4">
        <f t="shared" si="67"/>
        <v>0.18103448275862066</v>
      </c>
      <c r="I434" s="2" t="s">
        <v>82</v>
      </c>
      <c r="J434" s="2" t="s">
        <v>824</v>
      </c>
      <c r="K434" s="2" t="s">
        <v>222</v>
      </c>
      <c r="L434" s="2" t="s">
        <v>76</v>
      </c>
      <c r="M434" s="155"/>
      <c r="N434" s="155"/>
      <c r="O434" s="2">
        <v>15</v>
      </c>
      <c r="P434" s="6">
        <v>14</v>
      </c>
      <c r="Q434" s="131">
        <f t="shared" si="68"/>
        <v>11.428571428571429</v>
      </c>
      <c r="R434" s="33">
        <f t="shared" si="66"/>
        <v>14</v>
      </c>
      <c r="S434" s="132">
        <f t="shared" si="69"/>
        <v>1.75</v>
      </c>
      <c r="T434" s="132">
        <f t="shared" si="70"/>
        <v>1.75</v>
      </c>
      <c r="V434" s="131" t="str">
        <f t="shared" si="71"/>
        <v/>
      </c>
      <c r="W434" s="17"/>
      <c r="X434" s="7"/>
      <c r="Y434" s="161"/>
      <c r="Z434" s="7"/>
      <c r="AA434" s="117"/>
      <c r="AB434" s="117"/>
      <c r="AC434" s="117"/>
      <c r="CH434">
        <v>3</v>
      </c>
      <c r="CI434">
        <v>64</v>
      </c>
    </row>
    <row r="435" spans="1:87" x14ac:dyDescent="0.3">
      <c r="A435" s="2">
        <v>401</v>
      </c>
      <c r="B435" s="2" t="s">
        <v>0</v>
      </c>
      <c r="C435" s="2" t="s">
        <v>1</v>
      </c>
      <c r="D435" s="2" t="s">
        <v>825</v>
      </c>
      <c r="E435" s="2">
        <v>3000</v>
      </c>
      <c r="F435" s="2">
        <v>1.03E-2</v>
      </c>
      <c r="G435" s="2">
        <v>8.0000000000000002E-3</v>
      </c>
      <c r="H435" s="4">
        <f t="shared" si="67"/>
        <v>0.22330097087378639</v>
      </c>
      <c r="I435" s="2" t="s">
        <v>82</v>
      </c>
      <c r="J435" s="2" t="s">
        <v>743</v>
      </c>
      <c r="K435" s="2" t="s">
        <v>105</v>
      </c>
      <c r="L435" s="2" t="s">
        <v>76</v>
      </c>
      <c r="M435" s="155"/>
      <c r="N435" s="155"/>
      <c r="O435" s="2">
        <v>15</v>
      </c>
      <c r="P435" s="6">
        <v>12</v>
      </c>
      <c r="Q435" s="131">
        <f t="shared" si="68"/>
        <v>12</v>
      </c>
      <c r="R435" s="33">
        <f t="shared" si="66"/>
        <v>12</v>
      </c>
      <c r="S435" s="132">
        <f t="shared" si="69"/>
        <v>1.5</v>
      </c>
      <c r="T435" s="132">
        <f t="shared" si="70"/>
        <v>1.5</v>
      </c>
      <c r="V435" s="131" t="str">
        <f t="shared" si="71"/>
        <v/>
      </c>
      <c r="W435" s="17"/>
      <c r="X435" s="7"/>
      <c r="Y435" s="161"/>
      <c r="Z435" s="7"/>
      <c r="AA435" s="117"/>
      <c r="AB435" s="117"/>
      <c r="AC435" s="117"/>
      <c r="CH435">
        <v>4</v>
      </c>
      <c r="CI435">
        <v>63</v>
      </c>
    </row>
    <row r="436" spans="1:87" x14ac:dyDescent="0.3">
      <c r="A436" s="2">
        <v>402</v>
      </c>
      <c r="B436" s="2" t="s">
        <v>0</v>
      </c>
      <c r="C436" s="2" t="s">
        <v>1</v>
      </c>
      <c r="D436" s="2" t="s">
        <v>826</v>
      </c>
      <c r="E436" s="2">
        <v>1350</v>
      </c>
      <c r="F436" s="2">
        <v>2.3199999999999998E-2</v>
      </c>
      <c r="G436" s="2">
        <v>1.9099999999999999E-2</v>
      </c>
      <c r="H436" s="4">
        <f t="shared" si="67"/>
        <v>0.17672413793103448</v>
      </c>
      <c r="I436" s="2" t="s">
        <v>82</v>
      </c>
      <c r="J436" s="2" t="s">
        <v>626</v>
      </c>
      <c r="K436" s="2" t="s">
        <v>261</v>
      </c>
      <c r="L436" s="2" t="s">
        <v>76</v>
      </c>
      <c r="M436" s="155"/>
      <c r="N436" s="155"/>
      <c r="O436" s="2">
        <v>15</v>
      </c>
      <c r="P436" s="6">
        <v>12</v>
      </c>
      <c r="Q436" s="131">
        <f t="shared" si="68"/>
        <v>26.666666666666668</v>
      </c>
      <c r="R436" s="33">
        <f t="shared" si="66"/>
        <v>12</v>
      </c>
      <c r="S436" s="132">
        <f t="shared" si="69"/>
        <v>1.5</v>
      </c>
      <c r="T436" s="132">
        <f t="shared" si="70"/>
        <v>1.5</v>
      </c>
      <c r="V436" s="131" t="str">
        <f t="shared" si="71"/>
        <v/>
      </c>
      <c r="W436" s="17"/>
      <c r="X436" s="7"/>
      <c r="Y436" s="161"/>
      <c r="Z436" s="7"/>
      <c r="AA436" s="117"/>
      <c r="AB436" s="117"/>
      <c r="AC436" s="117"/>
      <c r="CH436">
        <v>1</v>
      </c>
      <c r="CI436">
        <v>54</v>
      </c>
    </row>
    <row r="437" spans="1:87" x14ac:dyDescent="0.3">
      <c r="A437" s="2">
        <v>403</v>
      </c>
      <c r="B437" s="2" t="s">
        <v>0</v>
      </c>
      <c r="C437" s="2" t="s">
        <v>1</v>
      </c>
      <c r="D437" s="2" t="s">
        <v>827</v>
      </c>
      <c r="E437" s="2">
        <v>1150</v>
      </c>
      <c r="F437" s="2">
        <v>2.7E-2</v>
      </c>
      <c r="G437" s="2">
        <v>1.9599999999999999E-2</v>
      </c>
      <c r="H437" s="4">
        <f t="shared" si="67"/>
        <v>0.27407407407407408</v>
      </c>
      <c r="I437" s="2" t="s">
        <v>82</v>
      </c>
      <c r="J437" s="2" t="s">
        <v>598</v>
      </c>
      <c r="K437" s="2" t="s">
        <v>230</v>
      </c>
      <c r="L437" s="2" t="s">
        <v>76</v>
      </c>
      <c r="M437" s="155"/>
      <c r="N437" s="155"/>
      <c r="O437" s="2">
        <v>7</v>
      </c>
      <c r="P437" s="6">
        <v>15</v>
      </c>
      <c r="Q437" s="131">
        <f t="shared" si="68"/>
        <v>11.68695652173913</v>
      </c>
      <c r="R437" s="33">
        <f t="shared" si="66"/>
        <v>15.000000000000002</v>
      </c>
      <c r="S437" s="132">
        <f t="shared" si="69"/>
        <v>1.8750000000000002</v>
      </c>
      <c r="T437" s="132">
        <f t="shared" si="70"/>
        <v>1.8750000000000002</v>
      </c>
      <c r="V437" s="131" t="str">
        <f t="shared" si="71"/>
        <v/>
      </c>
      <c r="W437" s="17"/>
      <c r="X437" s="7"/>
      <c r="Y437" s="161"/>
      <c r="Z437" s="7"/>
      <c r="AA437" s="117"/>
      <c r="AB437" s="117"/>
      <c r="AC437" s="117"/>
      <c r="CH437">
        <v>3</v>
      </c>
      <c r="CI437">
        <v>71</v>
      </c>
    </row>
    <row r="438" spans="1:87" x14ac:dyDescent="0.3">
      <c r="A438" s="2">
        <v>404</v>
      </c>
      <c r="B438" s="2" t="s">
        <v>0</v>
      </c>
      <c r="C438" s="2" t="s">
        <v>1</v>
      </c>
      <c r="D438" s="2" t="s">
        <v>828</v>
      </c>
      <c r="E438" s="2">
        <v>1080</v>
      </c>
      <c r="F438" s="2">
        <v>3.2300000000000002E-2</v>
      </c>
      <c r="G438" s="2">
        <v>2.2100000000000002E-2</v>
      </c>
      <c r="H438" s="4">
        <f t="shared" si="67"/>
        <v>0.31578947368421051</v>
      </c>
      <c r="I438" s="2" t="s">
        <v>82</v>
      </c>
      <c r="J438" s="2" t="s">
        <v>598</v>
      </c>
      <c r="K438" s="2" t="s">
        <v>230</v>
      </c>
      <c r="L438" s="2" t="s">
        <v>76</v>
      </c>
      <c r="M438" s="155"/>
      <c r="N438" s="155"/>
      <c r="O438" s="2">
        <v>6</v>
      </c>
      <c r="P438" s="6">
        <v>8</v>
      </c>
      <c r="Q438" s="131">
        <f t="shared" si="68"/>
        <v>20</v>
      </c>
      <c r="R438" s="33">
        <f t="shared" ref="R438:R501" si="72">IFERROR(60*60*8*O438/E438/Q438,"")</f>
        <v>8</v>
      </c>
      <c r="S438" s="132">
        <f t="shared" si="69"/>
        <v>1</v>
      </c>
      <c r="T438" s="132">
        <f t="shared" si="70"/>
        <v>1</v>
      </c>
      <c r="V438" s="131" t="str">
        <f t="shared" si="71"/>
        <v/>
      </c>
      <c r="W438" s="17"/>
      <c r="X438" s="7"/>
      <c r="Y438" s="161"/>
      <c r="Z438" s="7"/>
      <c r="AA438" s="117"/>
      <c r="AB438" s="117"/>
      <c r="AC438" s="117"/>
      <c r="CH438">
        <v>3</v>
      </c>
      <c r="CI438">
        <v>45</v>
      </c>
    </row>
    <row r="439" spans="1:87" x14ac:dyDescent="0.3">
      <c r="A439" s="2">
        <v>405</v>
      </c>
      <c r="B439" s="2" t="s">
        <v>0</v>
      </c>
      <c r="C439" s="2" t="s">
        <v>1</v>
      </c>
      <c r="D439" s="2" t="s">
        <v>829</v>
      </c>
      <c r="E439" s="2">
        <v>1400</v>
      </c>
      <c r="F439" s="2">
        <v>2.1899999999999999E-2</v>
      </c>
      <c r="G439" s="2">
        <v>1.44E-2</v>
      </c>
      <c r="H439" s="4">
        <f t="shared" ref="H439:H502" si="73">(F439-G439)/F439</f>
        <v>0.34246575342465752</v>
      </c>
      <c r="I439" s="2" t="s">
        <v>82</v>
      </c>
      <c r="J439" s="2" t="s">
        <v>739</v>
      </c>
      <c r="K439" s="2" t="s">
        <v>105</v>
      </c>
      <c r="L439" s="2" t="s">
        <v>76</v>
      </c>
      <c r="M439" s="155"/>
      <c r="N439" s="155"/>
      <c r="O439" s="2">
        <v>13</v>
      </c>
      <c r="P439" s="6">
        <v>7</v>
      </c>
      <c r="Q439" s="131">
        <f t="shared" ref="Q439:Q502" si="74">IFERROR(60*60*8*O439/E439/P439,"")</f>
        <v>38.204081632653065</v>
      </c>
      <c r="R439" s="33">
        <f t="shared" si="72"/>
        <v>7</v>
      </c>
      <c r="S439" s="132">
        <f t="shared" ref="S439:S502" si="75">IFERROR(R439/8,"")</f>
        <v>0.875</v>
      </c>
      <c r="T439" s="132">
        <f t="shared" ref="T439:T502" si="76">IFERROR(IF(R439&gt;2,S439,""),"")</f>
        <v>0.875</v>
      </c>
      <c r="V439" s="131" t="str">
        <f t="shared" ref="V439:V502" si="77">IF(X439&gt;10,X439*O439/E439,"")</f>
        <v/>
      </c>
      <c r="W439" s="17"/>
      <c r="X439" s="7"/>
      <c r="Y439" s="161"/>
      <c r="Z439" s="7"/>
      <c r="AA439" s="117"/>
      <c r="AB439" s="117"/>
      <c r="AC439" s="117"/>
      <c r="CH439">
        <v>6</v>
      </c>
      <c r="CI439">
        <v>36</v>
      </c>
    </row>
    <row r="440" spans="1:87" x14ac:dyDescent="0.3">
      <c r="A440" s="2">
        <v>406</v>
      </c>
      <c r="B440" s="2" t="s">
        <v>0</v>
      </c>
      <c r="C440" s="2" t="s">
        <v>1</v>
      </c>
      <c r="D440" s="2" t="s">
        <v>830</v>
      </c>
      <c r="E440" s="2">
        <v>1300</v>
      </c>
      <c r="F440" s="2">
        <v>2.46E-2</v>
      </c>
      <c r="G440" s="2">
        <v>1.7299999999999999E-2</v>
      </c>
      <c r="H440" s="4">
        <f t="shared" si="73"/>
        <v>0.29674796747967486</v>
      </c>
      <c r="I440" s="2" t="s">
        <v>82</v>
      </c>
      <c r="J440" s="2" t="s">
        <v>795</v>
      </c>
      <c r="K440" s="2" t="s">
        <v>222</v>
      </c>
      <c r="L440" s="2" t="s">
        <v>76</v>
      </c>
      <c r="M440" s="155"/>
      <c r="N440" s="155"/>
      <c r="O440" s="2">
        <v>12</v>
      </c>
      <c r="P440" s="6">
        <v>12</v>
      </c>
      <c r="Q440" s="131">
        <f t="shared" si="74"/>
        <v>22.153846153846157</v>
      </c>
      <c r="R440" s="33">
        <f t="shared" si="72"/>
        <v>12</v>
      </c>
      <c r="S440" s="132">
        <f t="shared" si="75"/>
        <v>1.5</v>
      </c>
      <c r="T440" s="132">
        <f t="shared" si="76"/>
        <v>1.5</v>
      </c>
      <c r="V440" s="131" t="str">
        <f t="shared" si="77"/>
        <v/>
      </c>
      <c r="W440" s="17"/>
      <c r="X440" s="7"/>
      <c r="Y440" s="161"/>
      <c r="Z440" s="7"/>
      <c r="AA440" s="117"/>
      <c r="AB440" s="117"/>
      <c r="AC440" s="117"/>
      <c r="CH440">
        <v>4</v>
      </c>
      <c r="CI440">
        <v>52</v>
      </c>
    </row>
    <row r="441" spans="1:87" x14ac:dyDescent="0.3">
      <c r="A441" s="2">
        <v>434</v>
      </c>
      <c r="B441" s="2" t="s">
        <v>0</v>
      </c>
      <c r="C441" s="2" t="s">
        <v>1</v>
      </c>
      <c r="D441" s="2" t="s">
        <v>831</v>
      </c>
      <c r="E441" s="2">
        <v>960</v>
      </c>
      <c r="F441" s="2">
        <v>1.2699999999999999E-2</v>
      </c>
      <c r="G441" s="2">
        <v>9.1000000000000004E-3</v>
      </c>
      <c r="H441" s="4">
        <f t="shared" si="73"/>
        <v>0.2834645669291338</v>
      </c>
      <c r="I441" s="2" t="s">
        <v>98</v>
      </c>
      <c r="J441" s="2" t="s">
        <v>495</v>
      </c>
      <c r="K441" s="2" t="s">
        <v>105</v>
      </c>
      <c r="L441" s="2" t="s">
        <v>76</v>
      </c>
      <c r="M441" s="155"/>
      <c r="N441" s="155"/>
      <c r="O441" s="2">
        <v>16</v>
      </c>
      <c r="P441" s="6">
        <v>24</v>
      </c>
      <c r="Q441" s="131">
        <f t="shared" si="74"/>
        <v>20</v>
      </c>
      <c r="R441" s="33">
        <f t="shared" si="72"/>
        <v>24</v>
      </c>
      <c r="S441" s="132">
        <f t="shared" si="75"/>
        <v>3</v>
      </c>
      <c r="T441" s="132">
        <f t="shared" si="76"/>
        <v>3</v>
      </c>
      <c r="V441" s="131" t="str">
        <f t="shared" si="77"/>
        <v/>
      </c>
      <c r="W441" s="17"/>
      <c r="X441" s="7"/>
      <c r="Y441" s="161"/>
      <c r="Z441" s="7"/>
      <c r="AA441" s="117"/>
      <c r="AB441" s="117"/>
      <c r="AC441" s="117"/>
      <c r="CH441">
        <v>4</v>
      </c>
      <c r="CI441">
        <v>49</v>
      </c>
    </row>
    <row r="442" spans="1:87" x14ac:dyDescent="0.3">
      <c r="A442" s="2">
        <v>435</v>
      </c>
      <c r="B442" s="2" t="s">
        <v>0</v>
      </c>
      <c r="C442" s="2" t="s">
        <v>1</v>
      </c>
      <c r="D442" s="2" t="s">
        <v>832</v>
      </c>
      <c r="E442" s="2">
        <v>650</v>
      </c>
      <c r="F442" s="2">
        <v>1.49E-2</v>
      </c>
      <c r="G442" s="2">
        <v>1.0699999999999999E-2</v>
      </c>
      <c r="H442" s="4">
        <f t="shared" si="73"/>
        <v>0.28187919463087252</v>
      </c>
      <c r="I442" s="2" t="s">
        <v>98</v>
      </c>
      <c r="J442" s="2" t="s">
        <v>99</v>
      </c>
      <c r="K442" s="2" t="s">
        <v>105</v>
      </c>
      <c r="L442" s="2" t="s">
        <v>76</v>
      </c>
      <c r="M442" s="155"/>
      <c r="N442" s="155"/>
      <c r="O442" s="2">
        <v>16</v>
      </c>
      <c r="P442" s="6">
        <v>24</v>
      </c>
      <c r="Q442" s="131">
        <f t="shared" si="74"/>
        <v>29.538461538461537</v>
      </c>
      <c r="R442" s="33">
        <f t="shared" si="72"/>
        <v>24</v>
      </c>
      <c r="S442" s="132">
        <f t="shared" si="75"/>
        <v>3</v>
      </c>
      <c r="T442" s="132">
        <f t="shared" si="76"/>
        <v>3</v>
      </c>
      <c r="V442" s="131" t="str">
        <f t="shared" si="77"/>
        <v/>
      </c>
      <c r="W442" s="17"/>
      <c r="X442" s="7"/>
      <c r="Y442" s="161"/>
      <c r="Z442" s="7"/>
      <c r="AA442" s="117"/>
      <c r="AB442" s="117"/>
      <c r="AC442" s="117"/>
      <c r="CH442">
        <v>3</v>
      </c>
      <c r="CI442">
        <v>76</v>
      </c>
    </row>
    <row r="443" spans="1:87" x14ac:dyDescent="0.3">
      <c r="A443" s="2">
        <v>437</v>
      </c>
      <c r="B443" s="2" t="s">
        <v>84</v>
      </c>
      <c r="C443" s="2" t="s">
        <v>1</v>
      </c>
      <c r="D443" s="2" t="s">
        <v>833</v>
      </c>
      <c r="E443" s="2">
        <v>5900</v>
      </c>
      <c r="F443" s="2">
        <v>2.5999999999999999E-3</v>
      </c>
      <c r="G443" s="2">
        <v>1.9E-3</v>
      </c>
      <c r="H443" s="4">
        <f t="shared" si="73"/>
        <v>0.26923076923076922</v>
      </c>
      <c r="I443" s="2" t="s">
        <v>82</v>
      </c>
      <c r="J443" s="2" t="s">
        <v>645</v>
      </c>
      <c r="K443" s="2" t="s">
        <v>90</v>
      </c>
      <c r="L443" s="2" t="s">
        <v>6</v>
      </c>
      <c r="M443" s="155"/>
      <c r="N443" s="155"/>
      <c r="O443" s="2">
        <v>56</v>
      </c>
      <c r="P443" s="6"/>
      <c r="Q443" s="131" t="str">
        <f t="shared" si="74"/>
        <v/>
      </c>
      <c r="R443" s="33" t="str">
        <f t="shared" si="72"/>
        <v/>
      </c>
      <c r="S443" s="132" t="str">
        <f t="shared" si="75"/>
        <v/>
      </c>
      <c r="T443" s="132" t="str">
        <f t="shared" si="76"/>
        <v/>
      </c>
      <c r="V443" s="131" t="str">
        <f t="shared" si="77"/>
        <v/>
      </c>
      <c r="W443" s="17"/>
      <c r="X443" s="7"/>
      <c r="Y443" s="161"/>
      <c r="Z443" s="7"/>
      <c r="AA443" s="117"/>
      <c r="AB443" s="117"/>
      <c r="AC443" s="117"/>
      <c r="CH443">
        <v>6</v>
      </c>
      <c r="CI443">
        <v>58</v>
      </c>
    </row>
    <row r="444" spans="1:87" x14ac:dyDescent="0.3">
      <c r="A444" s="2">
        <v>438</v>
      </c>
      <c r="B444" s="2" t="s">
        <v>84</v>
      </c>
      <c r="C444" s="2" t="s">
        <v>1</v>
      </c>
      <c r="D444" s="2" t="s">
        <v>834</v>
      </c>
      <c r="E444" s="2">
        <v>2300</v>
      </c>
      <c r="F444" s="2">
        <v>6.4000000000000003E-3</v>
      </c>
      <c r="G444" s="2"/>
      <c r="H444" s="4">
        <f t="shared" si="73"/>
        <v>1</v>
      </c>
      <c r="I444" s="2" t="s">
        <v>82</v>
      </c>
      <c r="J444" s="2" t="s">
        <v>645</v>
      </c>
      <c r="K444" s="2"/>
      <c r="L444" s="2"/>
      <c r="M444" s="155"/>
      <c r="N444" s="155"/>
      <c r="O444" s="2">
        <v>14</v>
      </c>
      <c r="P444" s="6"/>
      <c r="Q444" s="131" t="str">
        <f t="shared" si="74"/>
        <v/>
      </c>
      <c r="R444" s="33" t="str">
        <f t="shared" si="72"/>
        <v/>
      </c>
      <c r="S444" s="132" t="str">
        <f t="shared" si="75"/>
        <v/>
      </c>
      <c r="T444" s="132" t="str">
        <f t="shared" si="76"/>
        <v/>
      </c>
      <c r="V444" s="131" t="str">
        <f t="shared" si="77"/>
        <v/>
      </c>
      <c r="W444" s="17"/>
      <c r="X444" s="7"/>
      <c r="Y444" s="161"/>
      <c r="Z444" s="7"/>
      <c r="AA444" s="117"/>
      <c r="AB444" s="117"/>
      <c r="AC444" s="117"/>
      <c r="CH444">
        <v>2</v>
      </c>
      <c r="CI444">
        <v>38</v>
      </c>
    </row>
    <row r="445" spans="1:87" x14ac:dyDescent="0.3">
      <c r="A445" s="2">
        <v>440</v>
      </c>
      <c r="B445" s="2" t="s">
        <v>84</v>
      </c>
      <c r="C445" s="2" t="s">
        <v>1</v>
      </c>
      <c r="D445" s="2" t="s">
        <v>835</v>
      </c>
      <c r="E445" s="2">
        <v>3600</v>
      </c>
      <c r="F445" s="2">
        <v>4.8999999999999998E-3</v>
      </c>
      <c r="G445" s="2"/>
      <c r="H445" s="4">
        <f t="shared" si="73"/>
        <v>1</v>
      </c>
      <c r="I445" s="2" t="s">
        <v>82</v>
      </c>
      <c r="J445" s="2" t="s">
        <v>645</v>
      </c>
      <c r="K445" s="2" t="s">
        <v>5</v>
      </c>
      <c r="L445" s="2" t="s">
        <v>6</v>
      </c>
      <c r="M445" s="155"/>
      <c r="N445" s="155"/>
      <c r="O445" s="2">
        <v>36</v>
      </c>
      <c r="P445" s="6"/>
      <c r="Q445" s="131" t="str">
        <f t="shared" si="74"/>
        <v/>
      </c>
      <c r="R445" s="33" t="str">
        <f t="shared" si="72"/>
        <v/>
      </c>
      <c r="S445" s="132" t="str">
        <f t="shared" si="75"/>
        <v/>
      </c>
      <c r="T445" s="132" t="str">
        <f t="shared" si="76"/>
        <v/>
      </c>
      <c r="V445" s="131" t="str">
        <f t="shared" si="77"/>
        <v/>
      </c>
      <c r="W445" s="17"/>
      <c r="X445" s="7"/>
      <c r="Y445" s="161"/>
      <c r="Z445" s="7"/>
      <c r="AA445" s="117"/>
      <c r="AB445" s="117"/>
      <c r="AC445" s="117"/>
      <c r="CH445">
        <v>6</v>
      </c>
      <c r="CI445">
        <v>74</v>
      </c>
    </row>
    <row r="446" spans="1:87" x14ac:dyDescent="0.3">
      <c r="A446" s="2">
        <v>443</v>
      </c>
      <c r="B446" s="2" t="s">
        <v>84</v>
      </c>
      <c r="C446" s="2" t="s">
        <v>1</v>
      </c>
      <c r="D446" s="2" t="s">
        <v>836</v>
      </c>
      <c r="E446" s="2">
        <v>3200</v>
      </c>
      <c r="F446" s="2">
        <v>4.3E-3</v>
      </c>
      <c r="G446" s="2">
        <v>3.2000000000000002E-3</v>
      </c>
      <c r="H446" s="4">
        <f t="shared" si="73"/>
        <v>0.25581395348837205</v>
      </c>
      <c r="I446" s="2" t="s">
        <v>82</v>
      </c>
      <c r="J446" s="2" t="s">
        <v>645</v>
      </c>
      <c r="K446" s="2" t="s">
        <v>90</v>
      </c>
      <c r="L446" s="2" t="s">
        <v>6</v>
      </c>
      <c r="M446" s="155"/>
      <c r="N446" s="155"/>
      <c r="O446" s="2">
        <v>45</v>
      </c>
      <c r="P446" s="6"/>
      <c r="Q446" s="131" t="str">
        <f t="shared" si="74"/>
        <v/>
      </c>
      <c r="R446" s="33" t="str">
        <f t="shared" si="72"/>
        <v/>
      </c>
      <c r="S446" s="132" t="str">
        <f t="shared" si="75"/>
        <v/>
      </c>
      <c r="T446" s="132" t="str">
        <f t="shared" si="76"/>
        <v/>
      </c>
      <c r="V446" s="131" t="str">
        <f t="shared" si="77"/>
        <v/>
      </c>
      <c r="W446" s="17"/>
      <c r="X446" s="7"/>
      <c r="Y446" s="161"/>
      <c r="Z446" s="7"/>
      <c r="AA446" s="117"/>
      <c r="AB446" s="117"/>
      <c r="AC446" s="117"/>
      <c r="CH446">
        <v>1</v>
      </c>
      <c r="CI446">
        <v>34</v>
      </c>
    </row>
    <row r="447" spans="1:87" x14ac:dyDescent="0.3">
      <c r="A447" s="2">
        <v>444</v>
      </c>
      <c r="B447" s="23" t="s">
        <v>0</v>
      </c>
      <c r="C447" s="2" t="s">
        <v>1</v>
      </c>
      <c r="D447" s="2" t="s">
        <v>837</v>
      </c>
      <c r="E447" s="2">
        <v>1200</v>
      </c>
      <c r="F447" s="2">
        <v>1.1599999999999999E-2</v>
      </c>
      <c r="G447" s="2">
        <v>8.9999999999999993E-3</v>
      </c>
      <c r="H447" s="4">
        <f t="shared" si="73"/>
        <v>0.22413793103448276</v>
      </c>
      <c r="I447" s="2" t="s">
        <v>98</v>
      </c>
      <c r="J447" s="2" t="s">
        <v>838</v>
      </c>
      <c r="K447" s="2" t="s">
        <v>5</v>
      </c>
      <c r="L447" s="2" t="s">
        <v>6</v>
      </c>
      <c r="M447" s="155">
        <v>5</v>
      </c>
      <c r="N447" s="155">
        <v>240</v>
      </c>
      <c r="O447" s="2">
        <v>20</v>
      </c>
      <c r="P447" s="6">
        <v>10</v>
      </c>
      <c r="Q447" s="131">
        <f t="shared" si="74"/>
        <v>48</v>
      </c>
      <c r="R447" s="33">
        <f t="shared" si="72"/>
        <v>10</v>
      </c>
      <c r="S447" s="132">
        <f t="shared" si="75"/>
        <v>1.25</v>
      </c>
      <c r="T447" s="132">
        <f t="shared" si="76"/>
        <v>1.25</v>
      </c>
      <c r="V447" s="131" t="str">
        <f t="shared" si="77"/>
        <v/>
      </c>
      <c r="W447" s="17"/>
      <c r="X447" s="7"/>
      <c r="Y447" s="161"/>
      <c r="Z447" s="7"/>
      <c r="AA447" s="117"/>
      <c r="AB447" s="117"/>
      <c r="AC447" s="117"/>
      <c r="CH447">
        <v>5</v>
      </c>
      <c r="CI447">
        <v>69</v>
      </c>
    </row>
    <row r="448" spans="1:87" x14ac:dyDescent="0.3">
      <c r="A448" s="2">
        <v>445</v>
      </c>
      <c r="B448" s="23" t="s">
        <v>0</v>
      </c>
      <c r="C448" s="2" t="s">
        <v>1</v>
      </c>
      <c r="D448" s="2" t="s">
        <v>839</v>
      </c>
      <c r="E448" s="2">
        <v>2000</v>
      </c>
      <c r="F448" s="2">
        <v>8.2000000000000007E-3</v>
      </c>
      <c r="G448" s="2">
        <v>6.1000000000000004E-3</v>
      </c>
      <c r="H448" s="4">
        <f t="shared" si="73"/>
        <v>0.25609756097560976</v>
      </c>
      <c r="I448" s="2" t="s">
        <v>98</v>
      </c>
      <c r="J448" s="2" t="s">
        <v>418</v>
      </c>
      <c r="K448" s="2" t="s">
        <v>5</v>
      </c>
      <c r="L448" s="2" t="s">
        <v>6</v>
      </c>
      <c r="M448" s="155"/>
      <c r="N448" s="155"/>
      <c r="O448" s="2">
        <v>24</v>
      </c>
      <c r="P448" s="6">
        <v>14</v>
      </c>
      <c r="Q448" s="131">
        <f t="shared" si="74"/>
        <v>24.685714285714287</v>
      </c>
      <c r="R448" s="33">
        <f t="shared" si="72"/>
        <v>14</v>
      </c>
      <c r="S448" s="132">
        <f t="shared" si="75"/>
        <v>1.75</v>
      </c>
      <c r="T448" s="132">
        <f t="shared" si="76"/>
        <v>1.75</v>
      </c>
      <c r="V448" s="131" t="str">
        <f t="shared" si="77"/>
        <v/>
      </c>
      <c r="W448" s="17"/>
      <c r="X448" s="7"/>
      <c r="Y448" s="161"/>
      <c r="Z448" s="7"/>
      <c r="AA448" s="117"/>
      <c r="AB448" s="117"/>
      <c r="AC448" s="117"/>
      <c r="CH448">
        <v>3</v>
      </c>
      <c r="CI448">
        <v>68</v>
      </c>
    </row>
    <row r="449" spans="1:87" x14ac:dyDescent="0.3">
      <c r="A449" s="2">
        <v>446</v>
      </c>
      <c r="B449" s="2" t="s">
        <v>84</v>
      </c>
      <c r="C449" s="2" t="s">
        <v>1</v>
      </c>
      <c r="D449" s="2" t="s">
        <v>840</v>
      </c>
      <c r="E449" s="2">
        <v>300</v>
      </c>
      <c r="F449" s="2">
        <v>7.2499999999999995E-2</v>
      </c>
      <c r="G449" s="2"/>
      <c r="H449" s="4">
        <f t="shared" si="73"/>
        <v>1</v>
      </c>
      <c r="I449" s="2" t="s">
        <v>82</v>
      </c>
      <c r="J449" s="2" t="s">
        <v>610</v>
      </c>
      <c r="K449" s="2"/>
      <c r="L449" s="2"/>
      <c r="M449" s="155"/>
      <c r="N449" s="155"/>
      <c r="O449" s="2">
        <v>3</v>
      </c>
      <c r="P449" s="6"/>
      <c r="Q449" s="131" t="str">
        <f t="shared" si="74"/>
        <v/>
      </c>
      <c r="R449" s="33" t="str">
        <f t="shared" si="72"/>
        <v/>
      </c>
      <c r="S449" s="132" t="str">
        <f t="shared" si="75"/>
        <v/>
      </c>
      <c r="T449" s="132" t="str">
        <f t="shared" si="76"/>
        <v/>
      </c>
      <c r="V449" s="131" t="str">
        <f t="shared" si="77"/>
        <v/>
      </c>
      <c r="W449" s="17"/>
      <c r="X449" s="7"/>
      <c r="Y449" s="161"/>
      <c r="Z449" s="7"/>
      <c r="AA449" s="117"/>
      <c r="AB449" s="117"/>
      <c r="AC449" s="117"/>
      <c r="CH449">
        <v>4</v>
      </c>
      <c r="CI449">
        <v>81</v>
      </c>
    </row>
    <row r="450" spans="1:87" x14ac:dyDescent="0.3">
      <c r="A450" s="2">
        <v>451</v>
      </c>
      <c r="B450" s="2" t="s">
        <v>0</v>
      </c>
      <c r="C450" s="2" t="s">
        <v>1</v>
      </c>
      <c r="D450" s="2" t="s">
        <v>841</v>
      </c>
      <c r="E450" s="2">
        <v>1300</v>
      </c>
      <c r="F450" s="2">
        <v>1.3599999999999999E-2</v>
      </c>
      <c r="G450" s="2">
        <v>1.0999999999999999E-2</v>
      </c>
      <c r="H450" s="4">
        <f t="shared" si="73"/>
        <v>0.19117647058823531</v>
      </c>
      <c r="I450" s="2" t="s">
        <v>98</v>
      </c>
      <c r="J450" s="2" t="s">
        <v>842</v>
      </c>
      <c r="K450" s="2" t="s">
        <v>222</v>
      </c>
      <c r="L450" s="2" t="s">
        <v>76</v>
      </c>
      <c r="M450" s="155"/>
      <c r="N450" s="155"/>
      <c r="O450" s="2">
        <v>25</v>
      </c>
      <c r="P450" s="6">
        <v>21</v>
      </c>
      <c r="Q450" s="131">
        <f t="shared" si="74"/>
        <v>26.373626373626372</v>
      </c>
      <c r="R450" s="33">
        <f t="shared" si="72"/>
        <v>21</v>
      </c>
      <c r="S450" s="132">
        <f t="shared" si="75"/>
        <v>2.625</v>
      </c>
      <c r="T450" s="132">
        <f t="shared" si="76"/>
        <v>2.625</v>
      </c>
      <c r="V450" s="131" t="str">
        <f t="shared" si="77"/>
        <v/>
      </c>
      <c r="W450" s="17"/>
      <c r="X450" s="7"/>
      <c r="Y450" s="161"/>
      <c r="Z450" s="7"/>
      <c r="AA450" s="117"/>
      <c r="AB450" s="117"/>
      <c r="AC450" s="117"/>
      <c r="CH450">
        <v>2</v>
      </c>
      <c r="CI450">
        <v>66</v>
      </c>
    </row>
    <row r="451" spans="1:87" x14ac:dyDescent="0.3">
      <c r="A451" s="2">
        <v>453</v>
      </c>
      <c r="B451" s="2" t="s">
        <v>0</v>
      </c>
      <c r="C451" s="2" t="s">
        <v>1</v>
      </c>
      <c r="D451" s="2" t="s">
        <v>843</v>
      </c>
      <c r="E451" s="2">
        <v>500</v>
      </c>
      <c r="F451" s="2">
        <v>3.5499999999999997E-2</v>
      </c>
      <c r="G451" s="2">
        <v>2.9100000000000001E-2</v>
      </c>
      <c r="H451" s="4">
        <f t="shared" si="73"/>
        <v>0.18028169014084497</v>
      </c>
      <c r="I451" s="2" t="s">
        <v>82</v>
      </c>
      <c r="J451" s="2" t="s">
        <v>658</v>
      </c>
      <c r="K451" s="2" t="s">
        <v>105</v>
      </c>
      <c r="L451" s="2" t="s">
        <v>76</v>
      </c>
      <c r="M451" s="155"/>
      <c r="N451" s="155"/>
      <c r="O451" s="2">
        <v>6</v>
      </c>
      <c r="P451" s="6">
        <v>18</v>
      </c>
      <c r="Q451" s="131">
        <f t="shared" si="74"/>
        <v>19.200000000000003</v>
      </c>
      <c r="R451" s="33">
        <f t="shared" si="72"/>
        <v>18</v>
      </c>
      <c r="S451" s="132">
        <f t="shared" si="75"/>
        <v>2.25</v>
      </c>
      <c r="T451" s="132">
        <f t="shared" si="76"/>
        <v>2.25</v>
      </c>
      <c r="V451" s="131" t="str">
        <f t="shared" si="77"/>
        <v/>
      </c>
      <c r="W451" s="17"/>
      <c r="X451" s="7"/>
      <c r="Y451" s="161"/>
      <c r="Z451" s="7"/>
      <c r="AA451" s="117"/>
      <c r="AB451" s="117"/>
      <c r="AC451" s="117"/>
      <c r="CH451">
        <v>1</v>
      </c>
      <c r="CI451">
        <v>62</v>
      </c>
    </row>
    <row r="452" spans="1:87" x14ac:dyDescent="0.3">
      <c r="A452" s="2">
        <v>464</v>
      </c>
      <c r="B452" s="2" t="s">
        <v>84</v>
      </c>
      <c r="C452" s="2" t="s">
        <v>1</v>
      </c>
      <c r="D452" s="2" t="s">
        <v>844</v>
      </c>
      <c r="E452" s="2">
        <v>3300</v>
      </c>
      <c r="F452" s="2">
        <v>2.0999999999999999E-3</v>
      </c>
      <c r="G452" s="2"/>
      <c r="H452" s="4">
        <f t="shared" si="73"/>
        <v>1</v>
      </c>
      <c r="I452" s="2" t="s">
        <v>98</v>
      </c>
      <c r="J452" s="2" t="s">
        <v>689</v>
      </c>
      <c r="K452" s="2"/>
      <c r="L452" s="2"/>
      <c r="M452" s="155"/>
      <c r="N452" s="155"/>
      <c r="O452" s="2">
        <v>72</v>
      </c>
      <c r="P452" s="6"/>
      <c r="Q452" s="131" t="str">
        <f t="shared" si="74"/>
        <v/>
      </c>
      <c r="R452" s="33" t="str">
        <f t="shared" si="72"/>
        <v/>
      </c>
      <c r="S452" s="132" t="str">
        <f t="shared" si="75"/>
        <v/>
      </c>
      <c r="T452" s="132" t="str">
        <f t="shared" si="76"/>
        <v/>
      </c>
      <c r="V452" s="131" t="str">
        <f t="shared" si="77"/>
        <v/>
      </c>
      <c r="W452" s="17"/>
      <c r="X452" s="7"/>
      <c r="Y452" s="161"/>
      <c r="Z452" s="7"/>
      <c r="AA452" s="117"/>
      <c r="AB452" s="117"/>
      <c r="AC452" s="117"/>
      <c r="CH452">
        <v>2</v>
      </c>
      <c r="CI452">
        <v>37</v>
      </c>
    </row>
    <row r="453" spans="1:87" x14ac:dyDescent="0.3">
      <c r="A453" s="2">
        <v>465</v>
      </c>
      <c r="B453" s="2" t="s">
        <v>84</v>
      </c>
      <c r="C453" s="2" t="s">
        <v>1</v>
      </c>
      <c r="D453" s="2" t="s">
        <v>845</v>
      </c>
      <c r="E453" s="2">
        <v>6600</v>
      </c>
      <c r="F453" s="2">
        <v>2.2000000000000001E-3</v>
      </c>
      <c r="G453" s="2"/>
      <c r="H453" s="4">
        <f t="shared" si="73"/>
        <v>1</v>
      </c>
      <c r="I453" s="2" t="s">
        <v>82</v>
      </c>
      <c r="J453" s="2" t="s">
        <v>770</v>
      </c>
      <c r="K453" s="2"/>
      <c r="L453" s="2"/>
      <c r="M453" s="155"/>
      <c r="N453" s="155"/>
      <c r="O453" s="2">
        <v>64</v>
      </c>
      <c r="P453" s="6"/>
      <c r="Q453" s="131" t="str">
        <f t="shared" si="74"/>
        <v/>
      </c>
      <c r="R453" s="33" t="str">
        <f t="shared" si="72"/>
        <v/>
      </c>
      <c r="S453" s="132" t="str">
        <f t="shared" si="75"/>
        <v/>
      </c>
      <c r="T453" s="132" t="str">
        <f t="shared" si="76"/>
        <v/>
      </c>
      <c r="V453" s="131" t="str">
        <f t="shared" si="77"/>
        <v/>
      </c>
      <c r="W453" s="17"/>
      <c r="X453" s="7"/>
      <c r="Y453" s="161"/>
      <c r="Z453" s="7"/>
      <c r="AA453" s="117"/>
      <c r="AB453" s="117"/>
      <c r="AC453" s="117"/>
      <c r="CH453">
        <v>4</v>
      </c>
      <c r="CI453">
        <v>82</v>
      </c>
    </row>
    <row r="454" spans="1:87" x14ac:dyDescent="0.3">
      <c r="A454" s="23">
        <v>468</v>
      </c>
      <c r="B454" s="2" t="s">
        <v>0</v>
      </c>
      <c r="C454" s="2" t="s">
        <v>1</v>
      </c>
      <c r="D454" s="2" t="s">
        <v>846</v>
      </c>
      <c r="E454" s="2">
        <v>4000</v>
      </c>
      <c r="F454" s="2">
        <v>5.1000000000000004E-3</v>
      </c>
      <c r="G454" s="2">
        <v>3.8999999999999998E-3</v>
      </c>
      <c r="H454" s="4">
        <f t="shared" si="73"/>
        <v>0.2352941176470589</v>
      </c>
      <c r="I454" s="2" t="s">
        <v>98</v>
      </c>
      <c r="J454" s="2" t="s">
        <v>692</v>
      </c>
      <c r="K454" s="2" t="s">
        <v>222</v>
      </c>
      <c r="L454" s="2" t="s">
        <v>76</v>
      </c>
      <c r="M454" s="155"/>
      <c r="N454" s="155"/>
      <c r="O454" s="2">
        <v>42</v>
      </c>
      <c r="P454" s="6">
        <v>6</v>
      </c>
      <c r="Q454" s="131">
        <f t="shared" si="74"/>
        <v>50.4</v>
      </c>
      <c r="R454" s="33">
        <f t="shared" si="72"/>
        <v>6</v>
      </c>
      <c r="S454" s="132">
        <f t="shared" si="75"/>
        <v>0.75</v>
      </c>
      <c r="T454" s="132">
        <f t="shared" si="76"/>
        <v>0.75</v>
      </c>
      <c r="V454" s="131">
        <f t="shared" si="77"/>
        <v>9.2760736196319016</v>
      </c>
      <c r="W454" s="17">
        <v>32.6</v>
      </c>
      <c r="X454" s="8">
        <f>60*60*8/W454</f>
        <v>883.43558282208585</v>
      </c>
      <c r="Y454" s="161">
        <v>45525</v>
      </c>
      <c r="Z454" s="7" t="s">
        <v>7</v>
      </c>
      <c r="AA454" s="117"/>
      <c r="AB454" s="117"/>
      <c r="AC454" s="117"/>
      <c r="AD454" s="22">
        <v>45525</v>
      </c>
      <c r="AE454">
        <v>3</v>
      </c>
      <c r="AF454">
        <v>4.7</v>
      </c>
      <c r="AG454">
        <v>1.8</v>
      </c>
      <c r="AJ454">
        <v>0.2</v>
      </c>
      <c r="AK454">
        <v>5</v>
      </c>
      <c r="AM454">
        <v>8</v>
      </c>
      <c r="AN454">
        <v>7.5</v>
      </c>
      <c r="AS454">
        <v>32.6</v>
      </c>
      <c r="AT454">
        <v>6.5</v>
      </c>
      <c r="AU454">
        <v>17.5</v>
      </c>
      <c r="AV454">
        <v>131</v>
      </c>
      <c r="AW454">
        <v>1410</v>
      </c>
      <c r="AX454">
        <v>20</v>
      </c>
      <c r="AY454">
        <v>52</v>
      </c>
      <c r="AZ454">
        <v>95</v>
      </c>
      <c r="BA454">
        <v>115</v>
      </c>
      <c r="BB454">
        <v>430</v>
      </c>
      <c r="CH454">
        <v>4</v>
      </c>
      <c r="CI454">
        <v>72</v>
      </c>
    </row>
    <row r="455" spans="1:87" x14ac:dyDescent="0.3">
      <c r="A455" s="2">
        <v>471</v>
      </c>
      <c r="B455" s="2" t="s">
        <v>84</v>
      </c>
      <c r="C455" s="2" t="s">
        <v>1</v>
      </c>
      <c r="D455" s="2" t="s">
        <v>847</v>
      </c>
      <c r="E455" s="2">
        <v>240</v>
      </c>
      <c r="F455" s="2">
        <v>6.7699999999999996E-2</v>
      </c>
      <c r="G455" s="2">
        <v>4.3499999999999997E-2</v>
      </c>
      <c r="H455" s="4">
        <f t="shared" si="73"/>
        <v>0.35745937961595275</v>
      </c>
      <c r="I455" s="2" t="s">
        <v>98</v>
      </c>
      <c r="J455" s="2" t="s">
        <v>594</v>
      </c>
      <c r="K455" s="2" t="s">
        <v>105</v>
      </c>
      <c r="L455" s="2" t="s">
        <v>76</v>
      </c>
      <c r="M455" s="155"/>
      <c r="N455" s="155"/>
      <c r="O455" s="2">
        <v>6</v>
      </c>
      <c r="P455" s="6">
        <v>25</v>
      </c>
      <c r="Q455" s="131">
        <f t="shared" si="74"/>
        <v>28.8</v>
      </c>
      <c r="R455" s="33">
        <f t="shared" si="72"/>
        <v>25</v>
      </c>
      <c r="S455" s="132">
        <f t="shared" si="75"/>
        <v>3.125</v>
      </c>
      <c r="T455" s="132">
        <f t="shared" si="76"/>
        <v>3.125</v>
      </c>
      <c r="V455" s="131" t="str">
        <f t="shared" si="77"/>
        <v/>
      </c>
      <c r="W455" s="17"/>
      <c r="X455" s="7"/>
      <c r="Y455" s="161"/>
      <c r="Z455" s="7"/>
      <c r="AA455" s="117"/>
      <c r="AB455" s="117"/>
      <c r="AC455" s="117"/>
      <c r="CH455">
        <v>2</v>
      </c>
      <c r="CI455">
        <v>89</v>
      </c>
    </row>
    <row r="456" spans="1:87" x14ac:dyDescent="0.3">
      <c r="A456" s="2">
        <v>472</v>
      </c>
      <c r="B456" s="2" t="s">
        <v>0</v>
      </c>
      <c r="C456" s="2" t="s">
        <v>1</v>
      </c>
      <c r="D456" s="2" t="s">
        <v>848</v>
      </c>
      <c r="E456" s="2">
        <v>2800</v>
      </c>
      <c r="F456" s="2">
        <v>5.4000000000000003E-3</v>
      </c>
      <c r="G456" s="2">
        <v>4.1000000000000003E-3</v>
      </c>
      <c r="H456" s="4">
        <f t="shared" si="73"/>
        <v>0.24074074074074073</v>
      </c>
      <c r="I456" s="2" t="s">
        <v>98</v>
      </c>
      <c r="J456" s="2" t="s">
        <v>689</v>
      </c>
      <c r="K456" s="2" t="s">
        <v>5</v>
      </c>
      <c r="L456" s="2" t="s">
        <v>6</v>
      </c>
      <c r="M456" s="155"/>
      <c r="N456" s="155"/>
      <c r="O456" s="2">
        <v>35</v>
      </c>
      <c r="P456" s="6">
        <v>16</v>
      </c>
      <c r="Q456" s="131">
        <f t="shared" si="74"/>
        <v>22.5</v>
      </c>
      <c r="R456" s="33">
        <f t="shared" si="72"/>
        <v>16</v>
      </c>
      <c r="S456" s="132">
        <f t="shared" si="75"/>
        <v>2</v>
      </c>
      <c r="T456" s="132">
        <f t="shared" si="76"/>
        <v>2</v>
      </c>
      <c r="V456" s="131" t="str">
        <f t="shared" si="77"/>
        <v/>
      </c>
      <c r="W456" s="17"/>
      <c r="X456" s="7"/>
      <c r="Y456" s="161"/>
      <c r="Z456" s="7"/>
      <c r="AA456" s="117"/>
      <c r="AB456" s="117"/>
      <c r="AC456" s="117"/>
      <c r="CH456">
        <v>5</v>
      </c>
      <c r="CI456">
        <v>78</v>
      </c>
    </row>
    <row r="457" spans="1:87" x14ac:dyDescent="0.3">
      <c r="A457" s="2">
        <v>475</v>
      </c>
      <c r="B457" s="2" t="s">
        <v>0</v>
      </c>
      <c r="C457" s="2" t="s">
        <v>1</v>
      </c>
      <c r="D457" s="2" t="s">
        <v>849</v>
      </c>
      <c r="E457" s="2">
        <v>3500</v>
      </c>
      <c r="F457" s="2">
        <v>2E-3</v>
      </c>
      <c r="G457" s="2">
        <v>1.6999999999999999E-3</v>
      </c>
      <c r="H457" s="4">
        <f t="shared" si="73"/>
        <v>0.15000000000000008</v>
      </c>
      <c r="I457" s="2" t="s">
        <v>98</v>
      </c>
      <c r="J457" s="2" t="s">
        <v>393</v>
      </c>
      <c r="K457" s="2" t="s">
        <v>5</v>
      </c>
      <c r="L457" s="2" t="s">
        <v>6</v>
      </c>
      <c r="M457" s="155"/>
      <c r="N457" s="155"/>
      <c r="O457" s="2">
        <v>72</v>
      </c>
      <c r="P457" s="6">
        <v>16</v>
      </c>
      <c r="Q457" s="131">
        <f t="shared" si="74"/>
        <v>37.028571428571432</v>
      </c>
      <c r="R457" s="33">
        <f t="shared" si="72"/>
        <v>16</v>
      </c>
      <c r="S457" s="132">
        <f t="shared" si="75"/>
        <v>2</v>
      </c>
      <c r="T457" s="132">
        <f t="shared" si="76"/>
        <v>2</v>
      </c>
      <c r="V457" s="131" t="str">
        <f t="shared" si="77"/>
        <v/>
      </c>
      <c r="W457" s="17"/>
      <c r="X457" s="7"/>
      <c r="Y457" s="161"/>
      <c r="Z457" s="7"/>
      <c r="AA457" s="117"/>
      <c r="AB457" s="117"/>
      <c r="AC457" s="117"/>
      <c r="CH457">
        <v>4</v>
      </c>
      <c r="CI457">
        <v>68</v>
      </c>
    </row>
    <row r="458" spans="1:87" x14ac:dyDescent="0.3">
      <c r="A458" s="23">
        <v>476</v>
      </c>
      <c r="B458" s="2" t="s">
        <v>0</v>
      </c>
      <c r="C458" s="2" t="s">
        <v>1</v>
      </c>
      <c r="D458" s="2" t="s">
        <v>850</v>
      </c>
      <c r="E458" s="2">
        <v>3100</v>
      </c>
      <c r="F458" s="2">
        <v>2.7000000000000001E-3</v>
      </c>
      <c r="G458" s="2">
        <v>2.3E-3</v>
      </c>
      <c r="H458" s="4">
        <f t="shared" si="73"/>
        <v>0.1481481481481482</v>
      </c>
      <c r="I458" s="2" t="s">
        <v>98</v>
      </c>
      <c r="J458" s="2" t="s">
        <v>393</v>
      </c>
      <c r="K458" s="2" t="s">
        <v>95</v>
      </c>
      <c r="L458" s="2" t="s">
        <v>96</v>
      </c>
      <c r="M458" s="155"/>
      <c r="N458" s="155"/>
      <c r="O458" s="2">
        <v>48</v>
      </c>
      <c r="P458" s="6">
        <v>14</v>
      </c>
      <c r="Q458" s="131">
        <f t="shared" si="74"/>
        <v>31.852534562211982</v>
      </c>
      <c r="R458" s="33">
        <f t="shared" si="72"/>
        <v>14</v>
      </c>
      <c r="S458" s="132">
        <f t="shared" si="75"/>
        <v>1.75</v>
      </c>
      <c r="T458" s="132">
        <f t="shared" si="76"/>
        <v>1.75</v>
      </c>
      <c r="V458" s="131">
        <f t="shared" si="77"/>
        <v>17.284321080270068</v>
      </c>
      <c r="W458" s="17">
        <v>25.8</v>
      </c>
      <c r="X458" s="8">
        <f>60*60*8/W458</f>
        <v>1116.2790697674418</v>
      </c>
      <c r="Y458" s="161">
        <v>45547</v>
      </c>
      <c r="Z458" s="7" t="s">
        <v>7</v>
      </c>
      <c r="AA458" s="117"/>
      <c r="AB458" s="117"/>
      <c r="AC458" s="117"/>
      <c r="AD458" s="24">
        <v>45547</v>
      </c>
      <c r="AE458">
        <v>8</v>
      </c>
      <c r="AF458">
        <v>3</v>
      </c>
      <c r="AG458">
        <v>1.6</v>
      </c>
      <c r="AI458">
        <v>0.2</v>
      </c>
      <c r="AJ458">
        <v>0.2</v>
      </c>
      <c r="AK458">
        <v>5</v>
      </c>
      <c r="AL458">
        <v>4.5</v>
      </c>
      <c r="AO458">
        <v>0.5</v>
      </c>
      <c r="AS458">
        <v>25.8</v>
      </c>
      <c r="AT458">
        <v>6.5</v>
      </c>
      <c r="AU458">
        <v>16</v>
      </c>
      <c r="AV458">
        <v>123</v>
      </c>
      <c r="AW458">
        <v>133</v>
      </c>
      <c r="AX458">
        <v>12</v>
      </c>
      <c r="AY458">
        <v>23.5</v>
      </c>
      <c r="AZ458">
        <v>101</v>
      </c>
      <c r="BA458">
        <v>112</v>
      </c>
      <c r="BB458">
        <v>420</v>
      </c>
      <c r="CH458">
        <v>2</v>
      </c>
      <c r="CI458">
        <v>68</v>
      </c>
    </row>
    <row r="459" spans="1:87" x14ac:dyDescent="0.3">
      <c r="A459" s="2">
        <v>486</v>
      </c>
      <c r="B459" s="2" t="s">
        <v>0</v>
      </c>
      <c r="C459" s="2" t="s">
        <v>1</v>
      </c>
      <c r="D459" s="2" t="s">
        <v>851</v>
      </c>
      <c r="E459" s="2">
        <v>200</v>
      </c>
      <c r="F459" s="2">
        <v>9.6000000000000002E-2</v>
      </c>
      <c r="G459" s="2">
        <v>6.88E-2</v>
      </c>
      <c r="H459" s="4">
        <f t="shared" si="73"/>
        <v>0.28333333333333333</v>
      </c>
      <c r="I459" s="2" t="s">
        <v>98</v>
      </c>
      <c r="J459" s="2" t="s">
        <v>636</v>
      </c>
      <c r="K459" s="2" t="s">
        <v>413</v>
      </c>
      <c r="L459" s="2" t="s">
        <v>76</v>
      </c>
      <c r="M459" s="155"/>
      <c r="N459" s="155"/>
      <c r="O459" s="2">
        <v>6</v>
      </c>
      <c r="P459" s="6">
        <v>28</v>
      </c>
      <c r="Q459" s="131">
        <f t="shared" si="74"/>
        <v>30.857142857142858</v>
      </c>
      <c r="R459" s="33">
        <f t="shared" si="72"/>
        <v>28</v>
      </c>
      <c r="S459" s="132">
        <f t="shared" si="75"/>
        <v>3.5</v>
      </c>
      <c r="T459" s="132">
        <f t="shared" si="76"/>
        <v>3.5</v>
      </c>
      <c r="V459" s="131" t="str">
        <f t="shared" si="77"/>
        <v/>
      </c>
      <c r="W459" s="17"/>
      <c r="X459" s="7"/>
      <c r="Y459" s="161"/>
      <c r="Z459" s="7"/>
      <c r="AA459" s="117"/>
      <c r="AB459" s="117"/>
      <c r="AC459" s="117"/>
      <c r="CH459">
        <v>4</v>
      </c>
      <c r="CI459">
        <v>58</v>
      </c>
    </row>
    <row r="460" spans="1:87" x14ac:dyDescent="0.3">
      <c r="A460" s="2">
        <v>507</v>
      </c>
      <c r="B460" s="2" t="s">
        <v>0</v>
      </c>
      <c r="C460" s="2" t="s">
        <v>1</v>
      </c>
      <c r="D460" s="2" t="s">
        <v>852</v>
      </c>
      <c r="E460" s="2">
        <v>670</v>
      </c>
      <c r="F460" s="2">
        <v>3.9600000000000003E-2</v>
      </c>
      <c r="G460" s="2">
        <v>0.03</v>
      </c>
      <c r="H460" s="4">
        <f t="shared" si="73"/>
        <v>0.24242424242424251</v>
      </c>
      <c r="I460" s="2" t="s">
        <v>98</v>
      </c>
      <c r="J460" s="2" t="s">
        <v>853</v>
      </c>
      <c r="K460" s="2" t="s">
        <v>413</v>
      </c>
      <c r="L460" s="2" t="s">
        <v>76</v>
      </c>
      <c r="M460" s="155"/>
      <c r="N460" s="155"/>
      <c r="O460" s="2">
        <v>21</v>
      </c>
      <c r="P460" s="6">
        <v>12</v>
      </c>
      <c r="Q460" s="131">
        <f t="shared" si="74"/>
        <v>75.223880597014926</v>
      </c>
      <c r="R460" s="33">
        <f t="shared" si="72"/>
        <v>12</v>
      </c>
      <c r="S460" s="132">
        <f t="shared" si="75"/>
        <v>1.5</v>
      </c>
      <c r="T460" s="132">
        <f t="shared" si="76"/>
        <v>1.5</v>
      </c>
      <c r="V460" s="131" t="str">
        <f t="shared" si="77"/>
        <v/>
      </c>
      <c r="W460" s="17"/>
      <c r="X460" s="7"/>
      <c r="Y460" s="161"/>
      <c r="Z460" s="7"/>
      <c r="AA460" s="117"/>
      <c r="AB460" s="117"/>
      <c r="AC460" s="117"/>
      <c r="CH460">
        <v>2</v>
      </c>
      <c r="CI460">
        <v>38</v>
      </c>
    </row>
    <row r="461" spans="1:87" x14ac:dyDescent="0.3">
      <c r="A461" s="2">
        <v>514</v>
      </c>
      <c r="B461" s="2" t="s">
        <v>0</v>
      </c>
      <c r="C461" s="2" t="s">
        <v>1</v>
      </c>
      <c r="D461" s="2" t="s">
        <v>854</v>
      </c>
      <c r="E461" s="2">
        <v>2800</v>
      </c>
      <c r="F461" s="2">
        <v>1.2E-2</v>
      </c>
      <c r="G461" s="2">
        <v>9.5999999999999992E-3</v>
      </c>
      <c r="H461" s="4">
        <f t="shared" si="73"/>
        <v>0.20000000000000009</v>
      </c>
      <c r="I461" s="2" t="s">
        <v>82</v>
      </c>
      <c r="J461" s="2" t="s">
        <v>855</v>
      </c>
      <c r="K461" s="2" t="s">
        <v>105</v>
      </c>
      <c r="L461" s="2" t="s">
        <v>76</v>
      </c>
      <c r="M461" s="155"/>
      <c r="N461" s="155"/>
      <c r="O461" s="2">
        <v>12</v>
      </c>
      <c r="P461" s="6">
        <v>12</v>
      </c>
      <c r="Q461" s="131">
        <f t="shared" si="74"/>
        <v>10.285714285714286</v>
      </c>
      <c r="R461" s="33">
        <f t="shared" si="72"/>
        <v>12</v>
      </c>
      <c r="S461" s="132">
        <f t="shared" si="75"/>
        <v>1.5</v>
      </c>
      <c r="T461" s="132">
        <f t="shared" si="76"/>
        <v>1.5</v>
      </c>
      <c r="V461" s="131" t="str">
        <f t="shared" si="77"/>
        <v/>
      </c>
      <c r="W461" s="17"/>
      <c r="X461" s="7"/>
      <c r="Y461" s="161"/>
      <c r="Z461" s="7"/>
      <c r="AA461" s="117"/>
      <c r="AB461" s="117"/>
      <c r="AC461" s="117"/>
      <c r="CH461">
        <v>3</v>
      </c>
      <c r="CI461">
        <v>86</v>
      </c>
    </row>
    <row r="462" spans="1:87" x14ac:dyDescent="0.3">
      <c r="A462" s="2">
        <v>515</v>
      </c>
      <c r="B462" s="2" t="s">
        <v>84</v>
      </c>
      <c r="C462" s="2" t="s">
        <v>1</v>
      </c>
      <c r="D462" s="2" t="s">
        <v>856</v>
      </c>
      <c r="E462" s="2">
        <v>2000</v>
      </c>
      <c r="F462" s="2">
        <v>1.2200000000000001E-2</v>
      </c>
      <c r="G462" s="2">
        <v>9.7999999999999997E-3</v>
      </c>
      <c r="H462" s="4">
        <f t="shared" si="73"/>
        <v>0.19672131147540992</v>
      </c>
      <c r="I462" s="2" t="s">
        <v>98</v>
      </c>
      <c r="J462" s="2" t="s">
        <v>838</v>
      </c>
      <c r="K462" s="2" t="s">
        <v>105</v>
      </c>
      <c r="L462" s="2" t="s">
        <v>76</v>
      </c>
      <c r="M462" s="155"/>
      <c r="N462" s="155"/>
      <c r="O462" s="2">
        <v>18</v>
      </c>
      <c r="P462" s="6">
        <v>22</v>
      </c>
      <c r="Q462" s="131">
        <f t="shared" si="74"/>
        <v>11.781818181818181</v>
      </c>
      <c r="R462" s="33">
        <f t="shared" si="72"/>
        <v>22</v>
      </c>
      <c r="S462" s="132">
        <f t="shared" si="75"/>
        <v>2.75</v>
      </c>
      <c r="T462" s="132">
        <f t="shared" si="76"/>
        <v>2.75</v>
      </c>
      <c r="V462" s="131" t="str">
        <f t="shared" si="77"/>
        <v/>
      </c>
      <c r="W462" s="17"/>
      <c r="X462" s="7"/>
      <c r="Y462" s="161"/>
      <c r="Z462" s="7"/>
      <c r="AA462" s="117"/>
      <c r="AB462" s="117"/>
      <c r="AC462" s="117"/>
      <c r="CH462">
        <v>3</v>
      </c>
      <c r="CI462">
        <v>81</v>
      </c>
    </row>
    <row r="463" spans="1:87" x14ac:dyDescent="0.3">
      <c r="A463" s="2">
        <v>518</v>
      </c>
      <c r="B463" s="2" t="s">
        <v>0</v>
      </c>
      <c r="C463" s="2" t="s">
        <v>1</v>
      </c>
      <c r="D463" s="2" t="s">
        <v>857</v>
      </c>
      <c r="E463" s="2">
        <v>3100</v>
      </c>
      <c r="F463" s="2">
        <v>3.8999999999999998E-3</v>
      </c>
      <c r="G463" s="2">
        <v>2.8999999999999998E-3</v>
      </c>
      <c r="H463" s="4">
        <f t="shared" si="73"/>
        <v>0.25641025641025644</v>
      </c>
      <c r="I463" s="2" t="s">
        <v>82</v>
      </c>
      <c r="J463" s="2" t="s">
        <v>645</v>
      </c>
      <c r="K463" s="2" t="s">
        <v>5</v>
      </c>
      <c r="L463" s="2" t="s">
        <v>6</v>
      </c>
      <c r="M463" s="155"/>
      <c r="N463" s="155"/>
      <c r="O463" s="2">
        <v>48</v>
      </c>
      <c r="P463" s="6">
        <v>14</v>
      </c>
      <c r="Q463" s="131">
        <f t="shared" si="74"/>
        <v>31.852534562211982</v>
      </c>
      <c r="R463" s="33">
        <f t="shared" si="72"/>
        <v>14</v>
      </c>
      <c r="S463" s="132">
        <f t="shared" si="75"/>
        <v>1.75</v>
      </c>
      <c r="T463" s="132">
        <f t="shared" si="76"/>
        <v>1.75</v>
      </c>
      <c r="V463" s="131" t="str">
        <f t="shared" si="77"/>
        <v/>
      </c>
      <c r="W463" s="17"/>
      <c r="X463" s="7"/>
      <c r="Y463" s="161"/>
      <c r="Z463" s="7"/>
      <c r="AA463" s="117"/>
      <c r="AB463" s="117"/>
      <c r="AC463" s="117"/>
      <c r="CH463">
        <v>2</v>
      </c>
      <c r="CI463">
        <v>51</v>
      </c>
    </row>
    <row r="464" spans="1:87" x14ac:dyDescent="0.3">
      <c r="A464" s="2">
        <v>519</v>
      </c>
      <c r="B464" s="2" t="s">
        <v>84</v>
      </c>
      <c r="C464" s="2" t="s">
        <v>1</v>
      </c>
      <c r="D464" s="2" t="s">
        <v>858</v>
      </c>
      <c r="E464" s="2">
        <v>2000</v>
      </c>
      <c r="F464" s="2">
        <v>1.43E-2</v>
      </c>
      <c r="G464" s="2"/>
      <c r="H464" s="4">
        <f t="shared" si="73"/>
        <v>1</v>
      </c>
      <c r="I464" s="2" t="s">
        <v>98</v>
      </c>
      <c r="J464" s="2" t="s">
        <v>393</v>
      </c>
      <c r="K464" s="2" t="s">
        <v>222</v>
      </c>
      <c r="L464" s="2" t="s">
        <v>76</v>
      </c>
      <c r="M464" s="155"/>
      <c r="N464" s="155"/>
      <c r="O464" s="2">
        <v>10</v>
      </c>
      <c r="P464" s="6">
        <v>20</v>
      </c>
      <c r="Q464" s="131">
        <f t="shared" si="74"/>
        <v>7.2</v>
      </c>
      <c r="R464" s="33">
        <f t="shared" si="72"/>
        <v>20</v>
      </c>
      <c r="S464" s="132">
        <f t="shared" si="75"/>
        <v>2.5</v>
      </c>
      <c r="T464" s="132">
        <f t="shared" si="76"/>
        <v>2.5</v>
      </c>
      <c r="V464" s="131" t="str">
        <f t="shared" si="77"/>
        <v/>
      </c>
      <c r="W464" s="17"/>
      <c r="X464" s="7"/>
      <c r="Y464" s="161"/>
      <c r="Z464" s="7"/>
      <c r="AA464" s="117"/>
      <c r="AB464" s="117"/>
      <c r="AC464" s="117"/>
      <c r="CH464">
        <v>5</v>
      </c>
      <c r="CI464">
        <v>66</v>
      </c>
    </row>
    <row r="465" spans="1:87" x14ac:dyDescent="0.3">
      <c r="A465" s="2">
        <v>521</v>
      </c>
      <c r="B465" s="2" t="s">
        <v>84</v>
      </c>
      <c r="C465" s="2" t="s">
        <v>1</v>
      </c>
      <c r="D465" s="2" t="s">
        <v>859</v>
      </c>
      <c r="E465" s="2">
        <v>8</v>
      </c>
      <c r="F465" s="2">
        <v>1.7000000000000001E-2</v>
      </c>
      <c r="G465" s="2">
        <v>1.7000000000000001E-2</v>
      </c>
      <c r="H465" s="4">
        <f t="shared" si="73"/>
        <v>0</v>
      </c>
      <c r="I465" s="2" t="s">
        <v>82</v>
      </c>
      <c r="J465" s="2" t="s">
        <v>658</v>
      </c>
      <c r="K465" s="2"/>
      <c r="L465" s="2"/>
      <c r="M465" s="155"/>
      <c r="N465" s="155"/>
      <c r="O465" s="2">
        <v>8</v>
      </c>
      <c r="P465" s="6"/>
      <c r="Q465" s="131" t="str">
        <f t="shared" si="74"/>
        <v/>
      </c>
      <c r="R465" s="33" t="str">
        <f t="shared" si="72"/>
        <v/>
      </c>
      <c r="S465" s="132" t="str">
        <f t="shared" si="75"/>
        <v/>
      </c>
      <c r="T465" s="132" t="str">
        <f t="shared" si="76"/>
        <v/>
      </c>
      <c r="V465" s="131" t="str">
        <f t="shared" si="77"/>
        <v/>
      </c>
      <c r="W465" s="17"/>
      <c r="X465" s="7"/>
      <c r="Y465" s="161"/>
      <c r="Z465" s="7"/>
      <c r="AA465" s="117"/>
      <c r="AB465" s="117"/>
      <c r="AC465" s="117"/>
      <c r="CH465">
        <v>2</v>
      </c>
      <c r="CI465">
        <v>65</v>
      </c>
    </row>
    <row r="466" spans="1:87" x14ac:dyDescent="0.3">
      <c r="A466" s="2">
        <v>522</v>
      </c>
      <c r="B466" s="2" t="s">
        <v>84</v>
      </c>
      <c r="C466" s="2" t="s">
        <v>1</v>
      </c>
      <c r="D466" s="2" t="s">
        <v>860</v>
      </c>
      <c r="E466" s="2">
        <v>2800</v>
      </c>
      <c r="F466" s="2">
        <v>3.0000000000000001E-3</v>
      </c>
      <c r="G466" s="2"/>
      <c r="H466" s="4">
        <f t="shared" si="73"/>
        <v>1</v>
      </c>
      <c r="I466" s="2" t="s">
        <v>82</v>
      </c>
      <c r="J466" s="2" t="s">
        <v>645</v>
      </c>
      <c r="K466" s="2"/>
      <c r="L466" s="2"/>
      <c r="M466" s="155"/>
      <c r="N466" s="155"/>
      <c r="O466" s="2">
        <v>48</v>
      </c>
      <c r="P466" s="6"/>
      <c r="Q466" s="131" t="str">
        <f t="shared" si="74"/>
        <v/>
      </c>
      <c r="R466" s="33" t="str">
        <f t="shared" si="72"/>
        <v/>
      </c>
      <c r="S466" s="132" t="str">
        <f t="shared" si="75"/>
        <v/>
      </c>
      <c r="T466" s="132" t="str">
        <f t="shared" si="76"/>
        <v/>
      </c>
      <c r="V466" s="131" t="str">
        <f t="shared" si="77"/>
        <v/>
      </c>
      <c r="W466" s="17"/>
      <c r="X466" s="7"/>
      <c r="Y466" s="161"/>
      <c r="Z466" s="7"/>
      <c r="AA466" s="117"/>
      <c r="AB466" s="117"/>
      <c r="AC466" s="117"/>
      <c r="CH466">
        <v>4</v>
      </c>
      <c r="CI466">
        <v>68</v>
      </c>
    </row>
    <row r="467" spans="1:87" x14ac:dyDescent="0.3">
      <c r="A467" s="2">
        <v>523</v>
      </c>
      <c r="B467" s="2" t="s">
        <v>84</v>
      </c>
      <c r="C467" s="2" t="s">
        <v>1</v>
      </c>
      <c r="D467" s="2" t="s">
        <v>861</v>
      </c>
      <c r="E467" s="2">
        <v>3500</v>
      </c>
      <c r="F467" s="2">
        <v>5.4999999999999997E-3</v>
      </c>
      <c r="G467" s="2">
        <v>4.4000000000000003E-3</v>
      </c>
      <c r="H467" s="4">
        <f t="shared" si="73"/>
        <v>0.1999999999999999</v>
      </c>
      <c r="I467" s="2" t="s">
        <v>82</v>
      </c>
      <c r="J467" s="2" t="s">
        <v>645</v>
      </c>
      <c r="K467" s="2" t="s">
        <v>90</v>
      </c>
      <c r="L467" s="2" t="s">
        <v>6</v>
      </c>
      <c r="M467" s="155"/>
      <c r="N467" s="155"/>
      <c r="O467" s="2">
        <v>32</v>
      </c>
      <c r="P467" s="6"/>
      <c r="Q467" s="131" t="str">
        <f t="shared" si="74"/>
        <v/>
      </c>
      <c r="R467" s="33" t="str">
        <f t="shared" si="72"/>
        <v/>
      </c>
      <c r="S467" s="132" t="str">
        <f t="shared" si="75"/>
        <v/>
      </c>
      <c r="T467" s="132" t="str">
        <f t="shared" si="76"/>
        <v/>
      </c>
      <c r="V467" s="131" t="str">
        <f t="shared" si="77"/>
        <v/>
      </c>
      <c r="W467" s="17"/>
      <c r="X467" s="7"/>
      <c r="Y467" s="161"/>
      <c r="Z467" s="7"/>
      <c r="AA467" s="117"/>
      <c r="AB467" s="117"/>
      <c r="AC467" s="117"/>
      <c r="CH467">
        <v>4</v>
      </c>
      <c r="CI467">
        <v>36</v>
      </c>
    </row>
    <row r="468" spans="1:87" x14ac:dyDescent="0.3">
      <c r="A468" s="2">
        <v>525</v>
      </c>
      <c r="B468" s="2" t="s">
        <v>84</v>
      </c>
      <c r="C468" s="2" t="s">
        <v>1</v>
      </c>
      <c r="D468" s="2" t="s">
        <v>862</v>
      </c>
      <c r="E468" s="2">
        <v>2000</v>
      </c>
      <c r="F468" s="2">
        <v>6.0000000000000001E-3</v>
      </c>
      <c r="G468" s="2"/>
      <c r="H468" s="4">
        <f t="shared" si="73"/>
        <v>1</v>
      </c>
      <c r="I468" s="2" t="s">
        <v>82</v>
      </c>
      <c r="J468" s="2" t="s">
        <v>645</v>
      </c>
      <c r="K468" s="2" t="s">
        <v>5</v>
      </c>
      <c r="L468" s="2" t="s">
        <v>6</v>
      </c>
      <c r="M468" s="155"/>
      <c r="N468" s="155"/>
      <c r="O468" s="2">
        <v>32</v>
      </c>
      <c r="P468" s="6">
        <v>11</v>
      </c>
      <c r="Q468" s="131">
        <f t="shared" si="74"/>
        <v>41.890909090909091</v>
      </c>
      <c r="R468" s="33">
        <f t="shared" si="72"/>
        <v>11</v>
      </c>
      <c r="S468" s="132">
        <f t="shared" si="75"/>
        <v>1.375</v>
      </c>
      <c r="T468" s="132">
        <f t="shared" si="76"/>
        <v>1.375</v>
      </c>
      <c r="V468" s="131" t="str">
        <f t="shared" si="77"/>
        <v/>
      </c>
      <c r="W468" s="17"/>
      <c r="X468" s="7"/>
      <c r="Y468" s="161"/>
      <c r="Z468" s="7"/>
      <c r="AA468" s="117"/>
      <c r="AB468" s="117"/>
      <c r="AC468" s="117"/>
      <c r="CH468">
        <v>4</v>
      </c>
      <c r="CI468">
        <v>34</v>
      </c>
    </row>
    <row r="469" spans="1:87" x14ac:dyDescent="0.3">
      <c r="A469" s="23">
        <v>527</v>
      </c>
      <c r="B469" s="2" t="s">
        <v>0</v>
      </c>
      <c r="C469" s="2" t="s">
        <v>1</v>
      </c>
      <c r="D469" s="2" t="s">
        <v>863</v>
      </c>
      <c r="E469" s="2">
        <v>700</v>
      </c>
      <c r="F469" s="2">
        <v>1.7000000000000001E-2</v>
      </c>
      <c r="G469" s="2">
        <v>1.4999999999999999E-2</v>
      </c>
      <c r="H469" s="4">
        <f t="shared" si="73"/>
        <v>0.11764705882352951</v>
      </c>
      <c r="I469" s="2" t="s">
        <v>98</v>
      </c>
      <c r="J469" s="2" t="s">
        <v>864</v>
      </c>
      <c r="K469" s="2" t="s">
        <v>105</v>
      </c>
      <c r="L469" s="2" t="s">
        <v>76</v>
      </c>
      <c r="M469" s="155"/>
      <c r="N469" s="155"/>
      <c r="O469" s="2">
        <v>16</v>
      </c>
      <c r="P469" s="6">
        <v>18</v>
      </c>
      <c r="Q469" s="131">
        <f t="shared" si="74"/>
        <v>36.571428571428577</v>
      </c>
      <c r="R469" s="33">
        <f t="shared" si="72"/>
        <v>18</v>
      </c>
      <c r="S469" s="132">
        <f t="shared" si="75"/>
        <v>2.25</v>
      </c>
      <c r="T469" s="132">
        <f t="shared" si="76"/>
        <v>2.25</v>
      </c>
      <c r="V469" s="131">
        <f t="shared" si="77"/>
        <v>19.966203041726246</v>
      </c>
      <c r="W469" s="17">
        <v>32.97</v>
      </c>
      <c r="X469" s="8">
        <f>60*60*8/W469</f>
        <v>873.5213830755232</v>
      </c>
      <c r="Y469" s="161">
        <v>45362</v>
      </c>
      <c r="Z469" s="7" t="s">
        <v>7</v>
      </c>
      <c r="AA469" s="117"/>
      <c r="AB469" s="117"/>
      <c r="AC469" s="117"/>
      <c r="CH469">
        <v>4</v>
      </c>
      <c r="CI469">
        <v>53</v>
      </c>
    </row>
    <row r="470" spans="1:87" x14ac:dyDescent="0.3">
      <c r="A470" s="2">
        <v>528</v>
      </c>
      <c r="B470" s="2" t="s">
        <v>84</v>
      </c>
      <c r="C470" s="2" t="s">
        <v>1</v>
      </c>
      <c r="D470" s="2" t="s">
        <v>865</v>
      </c>
      <c r="E470" s="2">
        <v>5000</v>
      </c>
      <c r="F470" s="2">
        <v>6.1000000000000004E-3</v>
      </c>
      <c r="G470" s="2"/>
      <c r="H470" s="4">
        <f t="shared" si="73"/>
        <v>1</v>
      </c>
      <c r="I470" s="2" t="s">
        <v>82</v>
      </c>
      <c r="J470" s="2" t="s">
        <v>645</v>
      </c>
      <c r="K470" s="2"/>
      <c r="L470" s="2"/>
      <c r="M470" s="155"/>
      <c r="N470" s="155"/>
      <c r="O470" s="2">
        <v>28</v>
      </c>
      <c r="P470" s="6">
        <v>4</v>
      </c>
      <c r="Q470" s="131">
        <f t="shared" si="74"/>
        <v>40.32</v>
      </c>
      <c r="R470" s="33">
        <f t="shared" si="72"/>
        <v>4</v>
      </c>
      <c r="S470" s="132">
        <f t="shared" si="75"/>
        <v>0.5</v>
      </c>
      <c r="T470" s="132">
        <f t="shared" si="76"/>
        <v>0.5</v>
      </c>
      <c r="V470" s="131" t="str">
        <f t="shared" si="77"/>
        <v/>
      </c>
      <c r="W470" s="17"/>
      <c r="X470" s="7"/>
      <c r="Y470" s="161"/>
      <c r="Z470" s="7"/>
      <c r="AA470" s="117"/>
      <c r="AB470" s="117"/>
      <c r="AC470" s="117"/>
      <c r="CH470">
        <v>4</v>
      </c>
      <c r="CI470">
        <v>78</v>
      </c>
    </row>
    <row r="471" spans="1:87" x14ac:dyDescent="0.3">
      <c r="A471" s="2">
        <v>531</v>
      </c>
      <c r="B471" s="2" t="s">
        <v>84</v>
      </c>
      <c r="C471" s="2" t="s">
        <v>1</v>
      </c>
      <c r="D471" s="2" t="s">
        <v>866</v>
      </c>
      <c r="E471" s="2">
        <v>600</v>
      </c>
      <c r="F471" s="2">
        <v>3.8600000000000002E-2</v>
      </c>
      <c r="G471" s="2">
        <v>2.1600000000000001E-2</v>
      </c>
      <c r="H471" s="4">
        <f t="shared" si="73"/>
        <v>0.44041450777202074</v>
      </c>
      <c r="I471" s="2" t="s">
        <v>455</v>
      </c>
      <c r="J471" s="2" t="s">
        <v>398</v>
      </c>
      <c r="K471" s="2" t="s">
        <v>305</v>
      </c>
      <c r="L471" s="2" t="s">
        <v>96</v>
      </c>
      <c r="M471" s="155"/>
      <c r="N471" s="155"/>
      <c r="O471" s="2">
        <v>8</v>
      </c>
      <c r="P471" s="6">
        <v>18</v>
      </c>
      <c r="Q471" s="131">
        <f t="shared" si="74"/>
        <v>21.333333333333332</v>
      </c>
      <c r="R471" s="33">
        <f t="shared" si="72"/>
        <v>18</v>
      </c>
      <c r="S471" s="132">
        <f t="shared" si="75"/>
        <v>2.25</v>
      </c>
      <c r="T471" s="132">
        <f t="shared" si="76"/>
        <v>2.25</v>
      </c>
      <c r="V471" s="131" t="str">
        <f t="shared" si="77"/>
        <v/>
      </c>
      <c r="W471" s="17"/>
      <c r="X471" s="7"/>
      <c r="Y471" s="161"/>
      <c r="Z471" s="7"/>
      <c r="AA471" s="117"/>
      <c r="AB471" s="117"/>
      <c r="AC471" s="117"/>
      <c r="CH471">
        <v>4</v>
      </c>
      <c r="CI471">
        <v>87</v>
      </c>
    </row>
    <row r="472" spans="1:87" x14ac:dyDescent="0.3">
      <c r="A472" s="2">
        <v>536</v>
      </c>
      <c r="B472" s="2" t="s">
        <v>0</v>
      </c>
      <c r="C472" s="2" t="s">
        <v>1</v>
      </c>
      <c r="D472" s="2" t="s">
        <v>867</v>
      </c>
      <c r="E472" s="2">
        <v>1440</v>
      </c>
      <c r="F472" s="2">
        <v>1.26E-2</v>
      </c>
      <c r="G472" s="2">
        <v>8.5000000000000006E-3</v>
      </c>
      <c r="H472" s="4">
        <f t="shared" si="73"/>
        <v>0.32539682539682535</v>
      </c>
      <c r="I472" s="2" t="s">
        <v>82</v>
      </c>
      <c r="J472" s="2" t="s">
        <v>658</v>
      </c>
      <c r="K472" s="2" t="s">
        <v>105</v>
      </c>
      <c r="L472" s="2" t="s">
        <v>76</v>
      </c>
      <c r="M472" s="155"/>
      <c r="N472" s="155"/>
      <c r="O472" s="2">
        <v>15</v>
      </c>
      <c r="P472" s="6">
        <v>8</v>
      </c>
      <c r="Q472" s="131">
        <f t="shared" si="74"/>
        <v>37.5</v>
      </c>
      <c r="R472" s="33">
        <f t="shared" si="72"/>
        <v>8</v>
      </c>
      <c r="S472" s="132">
        <f t="shared" si="75"/>
        <v>1</v>
      </c>
      <c r="T472" s="132">
        <f t="shared" si="76"/>
        <v>1</v>
      </c>
      <c r="V472" s="131" t="str">
        <f t="shared" si="77"/>
        <v/>
      </c>
      <c r="W472" s="17"/>
      <c r="X472" s="7"/>
      <c r="Y472" s="161"/>
      <c r="Z472" s="7"/>
      <c r="AA472" s="117"/>
      <c r="AB472" s="117"/>
      <c r="AC472" s="117"/>
      <c r="CH472">
        <v>5</v>
      </c>
      <c r="CI472">
        <v>46</v>
      </c>
    </row>
    <row r="473" spans="1:87" x14ac:dyDescent="0.3">
      <c r="A473" s="2">
        <v>537</v>
      </c>
      <c r="B473" s="2" t="s">
        <v>84</v>
      </c>
      <c r="C473" s="2" t="s">
        <v>1</v>
      </c>
      <c r="D473" s="2" t="s">
        <v>868</v>
      </c>
      <c r="E473" s="2">
        <v>1900</v>
      </c>
      <c r="F473" s="2">
        <v>1.24E-2</v>
      </c>
      <c r="G473" s="2">
        <v>8.6E-3</v>
      </c>
      <c r="H473" s="4">
        <f t="shared" si="73"/>
        <v>0.30645161290322576</v>
      </c>
      <c r="I473" s="2" t="s">
        <v>82</v>
      </c>
      <c r="J473" s="2" t="s">
        <v>658</v>
      </c>
      <c r="K473" s="2" t="s">
        <v>230</v>
      </c>
      <c r="L473" s="2" t="s">
        <v>76</v>
      </c>
      <c r="M473" s="155"/>
      <c r="N473" s="155"/>
      <c r="O473" s="2">
        <v>15</v>
      </c>
      <c r="P473" s="6">
        <v>12</v>
      </c>
      <c r="Q473" s="131">
        <f t="shared" si="74"/>
        <v>18.947368421052634</v>
      </c>
      <c r="R473" s="33">
        <f t="shared" si="72"/>
        <v>12</v>
      </c>
      <c r="S473" s="132">
        <f t="shared" si="75"/>
        <v>1.5</v>
      </c>
      <c r="T473" s="132">
        <f t="shared" si="76"/>
        <v>1.5</v>
      </c>
      <c r="V473" s="131" t="str">
        <f t="shared" si="77"/>
        <v/>
      </c>
      <c r="W473" s="17"/>
      <c r="X473" s="7"/>
      <c r="Y473" s="161"/>
      <c r="Z473" s="7"/>
      <c r="AA473" s="117"/>
      <c r="AB473" s="117"/>
      <c r="AC473" s="117"/>
      <c r="CH473">
        <v>3</v>
      </c>
      <c r="CI473">
        <v>73</v>
      </c>
    </row>
    <row r="474" spans="1:87" x14ac:dyDescent="0.3">
      <c r="A474" s="23">
        <v>538</v>
      </c>
      <c r="B474" s="2" t="s">
        <v>0</v>
      </c>
      <c r="C474" s="2" t="s">
        <v>1</v>
      </c>
      <c r="D474" s="2" t="s">
        <v>869</v>
      </c>
      <c r="E474" s="2">
        <v>4720</v>
      </c>
      <c r="F474" s="2">
        <v>3.2000000000000002E-3</v>
      </c>
      <c r="G474" s="2">
        <v>2.7000000000000001E-3</v>
      </c>
      <c r="H474" s="4">
        <f t="shared" si="73"/>
        <v>0.15625</v>
      </c>
      <c r="I474" s="2" t="s">
        <v>82</v>
      </c>
      <c r="J474" s="2" t="s">
        <v>645</v>
      </c>
      <c r="K474" s="2" t="s">
        <v>5</v>
      </c>
      <c r="L474" s="2" t="s">
        <v>6</v>
      </c>
      <c r="M474" s="155"/>
      <c r="N474" s="155"/>
      <c r="O474" s="2">
        <v>63</v>
      </c>
      <c r="P474" s="6">
        <v>12</v>
      </c>
      <c r="Q474" s="131">
        <f t="shared" si="74"/>
        <v>32.033898305084747</v>
      </c>
      <c r="R474" s="33">
        <f t="shared" si="72"/>
        <v>12</v>
      </c>
      <c r="S474" s="132">
        <f t="shared" si="75"/>
        <v>1.5</v>
      </c>
      <c r="T474" s="132">
        <f t="shared" si="76"/>
        <v>1.5</v>
      </c>
      <c r="V474" s="131">
        <f t="shared" si="77"/>
        <v>10.677966101694915</v>
      </c>
      <c r="W474" s="17">
        <v>36</v>
      </c>
      <c r="X474" s="8">
        <f>60*60*8/W474</f>
        <v>800</v>
      </c>
      <c r="Y474" s="161">
        <v>45378</v>
      </c>
      <c r="Z474" s="7" t="s">
        <v>7</v>
      </c>
      <c r="AA474" s="117"/>
      <c r="AB474" s="117"/>
      <c r="AC474" s="117"/>
      <c r="CH474">
        <v>1</v>
      </c>
      <c r="CI474">
        <v>72</v>
      </c>
    </row>
    <row r="475" spans="1:87" x14ac:dyDescent="0.3">
      <c r="A475" s="2">
        <v>542</v>
      </c>
      <c r="B475" s="2" t="s">
        <v>84</v>
      </c>
      <c r="C475" s="2" t="s">
        <v>1</v>
      </c>
      <c r="D475" s="2" t="s">
        <v>870</v>
      </c>
      <c r="E475" s="2">
        <v>10500</v>
      </c>
      <c r="F475" s="2">
        <v>1.9E-3</v>
      </c>
      <c r="G475" s="2"/>
      <c r="H475" s="4">
        <f t="shared" si="73"/>
        <v>1</v>
      </c>
      <c r="I475" s="2" t="s">
        <v>82</v>
      </c>
      <c r="J475" s="2" t="s">
        <v>645</v>
      </c>
      <c r="K475" s="2" t="s">
        <v>5</v>
      </c>
      <c r="L475" s="2" t="s">
        <v>6</v>
      </c>
      <c r="M475" s="155"/>
      <c r="N475" s="155"/>
      <c r="O475" s="2">
        <v>70</v>
      </c>
      <c r="P475" s="6">
        <v>7</v>
      </c>
      <c r="Q475" s="131">
        <f t="shared" si="74"/>
        <v>27.428571428571427</v>
      </c>
      <c r="R475" s="33">
        <f t="shared" si="72"/>
        <v>7</v>
      </c>
      <c r="S475" s="132">
        <f t="shared" si="75"/>
        <v>0.875</v>
      </c>
      <c r="T475" s="132">
        <f t="shared" si="76"/>
        <v>0.875</v>
      </c>
      <c r="V475" s="131" t="str">
        <f t="shared" si="77"/>
        <v/>
      </c>
      <c r="W475" s="17"/>
      <c r="X475" s="7"/>
      <c r="Y475" s="161"/>
      <c r="Z475" s="7"/>
      <c r="AA475" s="117"/>
      <c r="AB475" s="117"/>
      <c r="AC475" s="117"/>
      <c r="CH475">
        <v>3</v>
      </c>
      <c r="CI475">
        <v>86</v>
      </c>
    </row>
    <row r="476" spans="1:87" x14ac:dyDescent="0.3">
      <c r="A476" s="2">
        <v>543</v>
      </c>
      <c r="B476" s="2" t="s">
        <v>84</v>
      </c>
      <c r="C476" s="2" t="s">
        <v>1</v>
      </c>
      <c r="D476" s="2" t="s">
        <v>871</v>
      </c>
      <c r="E476" s="2">
        <v>3600</v>
      </c>
      <c r="F476" s="2">
        <v>3.5000000000000001E-3</v>
      </c>
      <c r="G476" s="2"/>
      <c r="H476" s="4">
        <f t="shared" si="73"/>
        <v>1</v>
      </c>
      <c r="I476" s="2" t="s">
        <v>82</v>
      </c>
      <c r="J476" s="2" t="s">
        <v>645</v>
      </c>
      <c r="K476" s="2" t="s">
        <v>5</v>
      </c>
      <c r="L476" s="2" t="s">
        <v>6</v>
      </c>
      <c r="M476" s="155"/>
      <c r="N476" s="155"/>
      <c r="O476" s="2">
        <v>28</v>
      </c>
      <c r="P476" s="6"/>
      <c r="Q476" s="131" t="str">
        <f t="shared" si="74"/>
        <v/>
      </c>
      <c r="R476" s="33" t="str">
        <f t="shared" si="72"/>
        <v/>
      </c>
      <c r="S476" s="132" t="str">
        <f t="shared" si="75"/>
        <v/>
      </c>
      <c r="T476" s="132" t="str">
        <f t="shared" si="76"/>
        <v/>
      </c>
      <c r="V476" s="131" t="str">
        <f t="shared" si="77"/>
        <v/>
      </c>
      <c r="W476" s="17"/>
      <c r="X476" s="7"/>
      <c r="Y476" s="161"/>
      <c r="Z476" s="7"/>
      <c r="AA476" s="117"/>
      <c r="AB476" s="117"/>
      <c r="AC476" s="117"/>
      <c r="CH476">
        <v>4</v>
      </c>
      <c r="CI476">
        <v>56</v>
      </c>
    </row>
    <row r="477" spans="1:87" x14ac:dyDescent="0.3">
      <c r="A477" s="2">
        <v>544</v>
      </c>
      <c r="B477" s="2" t="s">
        <v>84</v>
      </c>
      <c r="C477" s="2" t="s">
        <v>1</v>
      </c>
      <c r="D477" s="2" t="s">
        <v>872</v>
      </c>
      <c r="E477" s="2">
        <v>6300</v>
      </c>
      <c r="F477" s="2">
        <v>1.9E-3</v>
      </c>
      <c r="G477" s="2"/>
      <c r="H477" s="4">
        <f t="shared" si="73"/>
        <v>1</v>
      </c>
      <c r="I477" s="2" t="s">
        <v>82</v>
      </c>
      <c r="J477" s="2" t="s">
        <v>645</v>
      </c>
      <c r="K477" s="2" t="s">
        <v>90</v>
      </c>
      <c r="L477" s="2" t="s">
        <v>6</v>
      </c>
      <c r="M477" s="155"/>
      <c r="N477" s="155"/>
      <c r="O477" s="2">
        <v>70</v>
      </c>
      <c r="P477" s="6">
        <v>7</v>
      </c>
      <c r="Q477" s="131">
        <f t="shared" si="74"/>
        <v>45.714285714285715</v>
      </c>
      <c r="R477" s="33">
        <f t="shared" si="72"/>
        <v>7</v>
      </c>
      <c r="S477" s="132">
        <f t="shared" si="75"/>
        <v>0.875</v>
      </c>
      <c r="T477" s="132">
        <f t="shared" si="76"/>
        <v>0.875</v>
      </c>
      <c r="V477" s="131" t="str">
        <f t="shared" si="77"/>
        <v/>
      </c>
      <c r="W477" s="17"/>
      <c r="X477" s="7"/>
      <c r="Y477" s="161"/>
      <c r="Z477" s="7"/>
      <c r="AA477" s="117"/>
      <c r="AB477" s="117"/>
      <c r="AC477" s="117"/>
      <c r="CH477">
        <v>1</v>
      </c>
      <c r="CI477">
        <v>47</v>
      </c>
    </row>
    <row r="478" spans="1:87" x14ac:dyDescent="0.3">
      <c r="A478" s="2">
        <v>547</v>
      </c>
      <c r="B478" s="2" t="s">
        <v>84</v>
      </c>
      <c r="C478" s="2" t="s">
        <v>1</v>
      </c>
      <c r="D478" s="2" t="s">
        <v>873</v>
      </c>
      <c r="E478" s="2">
        <v>156</v>
      </c>
      <c r="F478" s="2">
        <v>0.1333</v>
      </c>
      <c r="G478" s="2"/>
      <c r="H478" s="4">
        <f t="shared" si="73"/>
        <v>1</v>
      </c>
      <c r="I478" s="2" t="s">
        <v>82</v>
      </c>
      <c r="J478" s="2" t="s">
        <v>579</v>
      </c>
      <c r="K478" s="2"/>
      <c r="L478" s="2"/>
      <c r="M478" s="155"/>
      <c r="N478" s="155"/>
      <c r="O478" s="2">
        <v>3</v>
      </c>
      <c r="P478" s="6"/>
      <c r="Q478" s="131" t="str">
        <f t="shared" si="74"/>
        <v/>
      </c>
      <c r="R478" s="33" t="str">
        <f t="shared" si="72"/>
        <v/>
      </c>
      <c r="S478" s="132" t="str">
        <f t="shared" si="75"/>
        <v/>
      </c>
      <c r="T478" s="132" t="str">
        <f t="shared" si="76"/>
        <v/>
      </c>
      <c r="V478" s="131" t="str">
        <f t="shared" si="77"/>
        <v/>
      </c>
      <c r="W478" s="17"/>
      <c r="X478" s="7"/>
      <c r="Y478" s="161"/>
      <c r="Z478" s="7"/>
      <c r="AA478" s="117"/>
      <c r="AB478" s="117"/>
      <c r="AC478" s="117"/>
      <c r="CH478">
        <v>5</v>
      </c>
      <c r="CI478">
        <v>74</v>
      </c>
    </row>
    <row r="479" spans="1:87" x14ac:dyDescent="0.3">
      <c r="A479" s="2">
        <v>551</v>
      </c>
      <c r="B479" s="2" t="s">
        <v>84</v>
      </c>
      <c r="C479" s="2" t="s">
        <v>1</v>
      </c>
      <c r="D479" s="2" t="s">
        <v>874</v>
      </c>
      <c r="E479" s="2">
        <v>1650</v>
      </c>
      <c r="F479" s="2">
        <v>7.9000000000000008E-3</v>
      </c>
      <c r="G479" s="2">
        <v>6.4999999999999997E-3</v>
      </c>
      <c r="H479" s="4">
        <f t="shared" si="73"/>
        <v>0.17721518987341783</v>
      </c>
      <c r="I479" s="2" t="s">
        <v>82</v>
      </c>
      <c r="J479" s="2" t="s">
        <v>598</v>
      </c>
      <c r="K479" s="2" t="s">
        <v>5</v>
      </c>
      <c r="L479" s="2" t="s">
        <v>6</v>
      </c>
      <c r="M479" s="155"/>
      <c r="N479" s="155"/>
      <c r="O479" s="2">
        <v>30</v>
      </c>
      <c r="P479" s="6">
        <v>12</v>
      </c>
      <c r="Q479" s="131">
        <f t="shared" si="74"/>
        <v>43.636363636363633</v>
      </c>
      <c r="R479" s="33">
        <f t="shared" si="72"/>
        <v>12</v>
      </c>
      <c r="S479" s="132">
        <f t="shared" si="75"/>
        <v>1.5</v>
      </c>
      <c r="T479" s="132">
        <f t="shared" si="76"/>
        <v>1.5</v>
      </c>
      <c r="V479" s="131" t="str">
        <f t="shared" si="77"/>
        <v/>
      </c>
      <c r="W479" s="17"/>
      <c r="X479" s="7"/>
      <c r="Y479" s="161"/>
      <c r="Z479" s="7"/>
      <c r="AA479" s="117"/>
      <c r="AB479" s="117"/>
      <c r="AC479" s="117"/>
      <c r="CH479">
        <v>6</v>
      </c>
      <c r="CI479">
        <v>82</v>
      </c>
    </row>
    <row r="480" spans="1:87" x14ac:dyDescent="0.3">
      <c r="A480" s="2">
        <v>555</v>
      </c>
      <c r="B480" s="2" t="s">
        <v>0</v>
      </c>
      <c r="C480" s="2" t="s">
        <v>1</v>
      </c>
      <c r="D480" s="2" t="s">
        <v>875</v>
      </c>
      <c r="E480" s="2">
        <v>4200</v>
      </c>
      <c r="F480" s="2">
        <v>5.1999999999999998E-3</v>
      </c>
      <c r="G480" s="2">
        <v>4.1999999999999997E-3</v>
      </c>
      <c r="H480" s="4">
        <f t="shared" si="73"/>
        <v>0.19230769230769232</v>
      </c>
      <c r="I480" s="2" t="s">
        <v>82</v>
      </c>
      <c r="J480" s="2" t="s">
        <v>107</v>
      </c>
      <c r="K480" s="2" t="s">
        <v>222</v>
      </c>
      <c r="L480" s="2" t="s">
        <v>76</v>
      </c>
      <c r="M480" s="155"/>
      <c r="N480" s="155"/>
      <c r="O480" s="2">
        <v>40</v>
      </c>
      <c r="P480" s="6">
        <v>13</v>
      </c>
      <c r="Q480" s="131">
        <f t="shared" si="74"/>
        <v>21.098901098901099</v>
      </c>
      <c r="R480" s="33">
        <f t="shared" si="72"/>
        <v>13</v>
      </c>
      <c r="S480" s="132">
        <f t="shared" si="75"/>
        <v>1.625</v>
      </c>
      <c r="T480" s="132">
        <f t="shared" si="76"/>
        <v>1.625</v>
      </c>
      <c r="V480" s="131" t="str">
        <f t="shared" si="77"/>
        <v/>
      </c>
      <c r="W480" s="17"/>
      <c r="X480" s="7"/>
      <c r="Y480" s="161"/>
      <c r="Z480" s="7"/>
      <c r="AA480" s="117"/>
      <c r="AB480" s="117"/>
      <c r="AC480" s="117"/>
      <c r="CH480">
        <v>3</v>
      </c>
      <c r="CI480">
        <v>43</v>
      </c>
    </row>
    <row r="481" spans="1:87" x14ac:dyDescent="0.3">
      <c r="A481" s="2">
        <v>558</v>
      </c>
      <c r="B481" s="2" t="s">
        <v>0</v>
      </c>
      <c r="C481" s="2" t="s">
        <v>1</v>
      </c>
      <c r="D481" s="2" t="s">
        <v>876</v>
      </c>
      <c r="E481" s="2">
        <v>4200</v>
      </c>
      <c r="F481" s="2">
        <v>4.5999999999999999E-3</v>
      </c>
      <c r="G481" s="2">
        <v>3.5000000000000001E-3</v>
      </c>
      <c r="H481" s="4">
        <f t="shared" si="73"/>
        <v>0.23913043478260868</v>
      </c>
      <c r="I481" s="2" t="s">
        <v>82</v>
      </c>
      <c r="J481" s="2" t="s">
        <v>645</v>
      </c>
      <c r="K481" s="2" t="s">
        <v>222</v>
      </c>
      <c r="L481" s="2" t="s">
        <v>76</v>
      </c>
      <c r="M481" s="155"/>
      <c r="N481" s="155"/>
      <c r="O481" s="2">
        <v>35</v>
      </c>
      <c r="P481" s="6">
        <v>8</v>
      </c>
      <c r="Q481" s="131">
        <f t="shared" si="74"/>
        <v>30</v>
      </c>
      <c r="R481" s="33">
        <f t="shared" si="72"/>
        <v>8</v>
      </c>
      <c r="S481" s="132">
        <f t="shared" si="75"/>
        <v>1</v>
      </c>
      <c r="T481" s="132">
        <f t="shared" si="76"/>
        <v>1</v>
      </c>
      <c r="V481" s="131" t="str">
        <f t="shared" si="77"/>
        <v/>
      </c>
      <c r="W481" s="17"/>
      <c r="X481" s="7"/>
      <c r="Y481" s="161"/>
      <c r="Z481" s="7"/>
      <c r="AA481" s="117"/>
      <c r="AB481" s="117"/>
      <c r="AC481" s="117"/>
      <c r="CH481">
        <v>1</v>
      </c>
      <c r="CI481">
        <v>55</v>
      </c>
    </row>
    <row r="482" spans="1:87" x14ac:dyDescent="0.3">
      <c r="A482" s="2">
        <v>562</v>
      </c>
      <c r="B482" s="23" t="s">
        <v>0</v>
      </c>
      <c r="C482" s="2" t="s">
        <v>1</v>
      </c>
      <c r="D482" s="2" t="s">
        <v>877</v>
      </c>
      <c r="E482" s="2">
        <v>900</v>
      </c>
      <c r="F482" s="2">
        <v>2.0500000000000001E-2</v>
      </c>
      <c r="G482" s="2">
        <v>1.4800000000000001E-2</v>
      </c>
      <c r="H482" s="4">
        <f t="shared" si="73"/>
        <v>0.2780487804878049</v>
      </c>
      <c r="I482" s="2" t="s">
        <v>98</v>
      </c>
      <c r="J482" s="2" t="s">
        <v>692</v>
      </c>
      <c r="K482" s="2" t="s">
        <v>105</v>
      </c>
      <c r="L482" s="2" t="s">
        <v>76</v>
      </c>
      <c r="M482" s="155"/>
      <c r="N482" s="155"/>
      <c r="O482" s="2">
        <v>9</v>
      </c>
      <c r="P482" s="6">
        <v>26</v>
      </c>
      <c r="Q482" s="131">
        <f t="shared" si="74"/>
        <v>11.076923076923077</v>
      </c>
      <c r="R482" s="33">
        <f t="shared" si="72"/>
        <v>26</v>
      </c>
      <c r="S482" s="132">
        <f t="shared" si="75"/>
        <v>3.25</v>
      </c>
      <c r="T482" s="132">
        <f t="shared" si="76"/>
        <v>3.25</v>
      </c>
      <c r="V482" s="131" t="str">
        <f t="shared" si="77"/>
        <v/>
      </c>
      <c r="W482" s="17"/>
      <c r="X482" s="7"/>
      <c r="Y482" s="161"/>
      <c r="Z482" s="7"/>
      <c r="AA482" s="117"/>
      <c r="AB482" s="117"/>
      <c r="AC482" s="117"/>
      <c r="CH482">
        <v>5</v>
      </c>
      <c r="CI482">
        <v>76</v>
      </c>
    </row>
    <row r="483" spans="1:87" x14ac:dyDescent="0.3">
      <c r="A483" s="2">
        <v>578</v>
      </c>
      <c r="B483" s="2" t="s">
        <v>84</v>
      </c>
      <c r="C483" s="2" t="s">
        <v>1</v>
      </c>
      <c r="D483" s="2" t="s">
        <v>878</v>
      </c>
      <c r="E483" s="2">
        <v>5000</v>
      </c>
      <c r="F483" s="2">
        <v>3.0999999999999999E-3</v>
      </c>
      <c r="G483" s="2"/>
      <c r="H483" s="4">
        <f t="shared" si="73"/>
        <v>1</v>
      </c>
      <c r="I483" s="2" t="s">
        <v>82</v>
      </c>
      <c r="J483" s="2" t="s">
        <v>645</v>
      </c>
      <c r="K483" s="2" t="s">
        <v>5</v>
      </c>
      <c r="L483" s="2" t="s">
        <v>6</v>
      </c>
      <c r="M483" s="155"/>
      <c r="N483" s="155"/>
      <c r="O483" s="2">
        <v>63</v>
      </c>
      <c r="P483" s="6"/>
      <c r="Q483" s="131" t="str">
        <f t="shared" si="74"/>
        <v/>
      </c>
      <c r="R483" s="33" t="str">
        <f t="shared" si="72"/>
        <v/>
      </c>
      <c r="S483" s="132" t="str">
        <f t="shared" si="75"/>
        <v/>
      </c>
      <c r="T483" s="132" t="str">
        <f t="shared" si="76"/>
        <v/>
      </c>
      <c r="V483" s="131" t="str">
        <f t="shared" si="77"/>
        <v/>
      </c>
      <c r="W483" s="17"/>
      <c r="X483" s="7"/>
      <c r="Y483" s="161"/>
      <c r="Z483" s="7"/>
      <c r="AA483" s="117"/>
      <c r="AB483" s="117"/>
      <c r="AC483" s="117"/>
      <c r="CH483">
        <v>2</v>
      </c>
      <c r="CI483">
        <v>51</v>
      </c>
    </row>
    <row r="484" spans="1:87" x14ac:dyDescent="0.3">
      <c r="A484" s="2">
        <v>579</v>
      </c>
      <c r="B484" s="2" t="s">
        <v>0</v>
      </c>
      <c r="C484" s="2" t="s">
        <v>1</v>
      </c>
      <c r="D484" s="2" t="s">
        <v>879</v>
      </c>
      <c r="E484" s="2">
        <v>2900</v>
      </c>
      <c r="F484" s="2">
        <v>5.1000000000000004E-3</v>
      </c>
      <c r="G484" s="2">
        <v>3.8E-3</v>
      </c>
      <c r="H484" s="4">
        <f t="shared" si="73"/>
        <v>0.25490196078431376</v>
      </c>
      <c r="I484" s="2" t="s">
        <v>82</v>
      </c>
      <c r="J484" s="2" t="s">
        <v>855</v>
      </c>
      <c r="K484" s="2" t="s">
        <v>163</v>
      </c>
      <c r="L484" s="2" t="s">
        <v>6</v>
      </c>
      <c r="M484" s="155"/>
      <c r="N484" s="155"/>
      <c r="O484" s="2">
        <v>24</v>
      </c>
      <c r="P484" s="6">
        <v>9</v>
      </c>
      <c r="Q484" s="131">
        <f t="shared" si="74"/>
        <v>26.482758620689655</v>
      </c>
      <c r="R484" s="33">
        <f t="shared" si="72"/>
        <v>9</v>
      </c>
      <c r="S484" s="132">
        <f t="shared" si="75"/>
        <v>1.125</v>
      </c>
      <c r="T484" s="132">
        <f t="shared" si="76"/>
        <v>1.125</v>
      </c>
      <c r="V484" s="131" t="str">
        <f t="shared" si="77"/>
        <v/>
      </c>
      <c r="W484" s="17"/>
      <c r="X484" s="7"/>
      <c r="Y484" s="161"/>
      <c r="Z484" s="7"/>
      <c r="AA484" s="117"/>
      <c r="AB484" s="117"/>
      <c r="AC484" s="117"/>
      <c r="CH484">
        <v>5</v>
      </c>
      <c r="CI484">
        <v>34</v>
      </c>
    </row>
    <row r="485" spans="1:87" x14ac:dyDescent="0.3">
      <c r="A485" s="2">
        <v>583</v>
      </c>
      <c r="B485" s="2" t="s">
        <v>0</v>
      </c>
      <c r="C485" s="2" t="s">
        <v>1</v>
      </c>
      <c r="D485" s="2" t="s">
        <v>880</v>
      </c>
      <c r="E485" s="2">
        <v>700</v>
      </c>
      <c r="F485" s="2">
        <v>2.8400000000000002E-2</v>
      </c>
      <c r="G485" s="2">
        <v>2.0400000000000001E-2</v>
      </c>
      <c r="H485" s="4">
        <f t="shared" si="73"/>
        <v>0.28169014084507044</v>
      </c>
      <c r="I485" s="2" t="s">
        <v>73</v>
      </c>
      <c r="J485" s="2" t="s">
        <v>881</v>
      </c>
      <c r="K485" s="2" t="s">
        <v>105</v>
      </c>
      <c r="L485" s="2" t="s">
        <v>76</v>
      </c>
      <c r="M485" s="155"/>
      <c r="N485" s="155"/>
      <c r="O485" s="2">
        <v>24</v>
      </c>
      <c r="P485" s="6">
        <v>14</v>
      </c>
      <c r="Q485" s="131">
        <f t="shared" si="74"/>
        <v>70.530612244897966</v>
      </c>
      <c r="R485" s="33">
        <f t="shared" si="72"/>
        <v>13.999999999999998</v>
      </c>
      <c r="S485" s="132">
        <f t="shared" si="75"/>
        <v>1.7499999999999998</v>
      </c>
      <c r="T485" s="132">
        <f t="shared" si="76"/>
        <v>1.7499999999999998</v>
      </c>
      <c r="V485" s="131" t="str">
        <f t="shared" si="77"/>
        <v/>
      </c>
      <c r="W485" s="17"/>
      <c r="X485" s="7"/>
      <c r="Y485" s="161"/>
      <c r="Z485" s="7"/>
      <c r="AA485" s="117"/>
      <c r="AB485" s="117"/>
      <c r="AC485" s="117"/>
      <c r="CH485">
        <v>1</v>
      </c>
      <c r="CI485">
        <v>43</v>
      </c>
    </row>
    <row r="486" spans="1:87" x14ac:dyDescent="0.3">
      <c r="A486" s="2">
        <v>585</v>
      </c>
      <c r="B486" s="2" t="s">
        <v>84</v>
      </c>
      <c r="C486" s="2" t="s">
        <v>1</v>
      </c>
      <c r="D486" s="2" t="s">
        <v>882</v>
      </c>
      <c r="E486" s="2">
        <v>500</v>
      </c>
      <c r="F486" s="2">
        <v>2.7699999999999999E-2</v>
      </c>
      <c r="G486" s="2">
        <v>1.9E-2</v>
      </c>
      <c r="H486" s="4">
        <f t="shared" si="73"/>
        <v>0.31407942238267145</v>
      </c>
      <c r="I486" s="2" t="s">
        <v>82</v>
      </c>
      <c r="J486" s="2" t="s">
        <v>583</v>
      </c>
      <c r="K486" s="2" t="s">
        <v>95</v>
      </c>
      <c r="L486" s="2" t="s">
        <v>96</v>
      </c>
      <c r="M486" s="155"/>
      <c r="N486" s="155"/>
      <c r="O486" s="2">
        <v>10</v>
      </c>
      <c r="P486" s="6">
        <v>14</v>
      </c>
      <c r="Q486" s="131">
        <f t="shared" si="74"/>
        <v>41.142857142857146</v>
      </c>
      <c r="R486" s="33">
        <f t="shared" si="72"/>
        <v>13.999999999999998</v>
      </c>
      <c r="S486" s="132">
        <f t="shared" si="75"/>
        <v>1.7499999999999998</v>
      </c>
      <c r="T486" s="132">
        <f t="shared" si="76"/>
        <v>1.7499999999999998</v>
      </c>
      <c r="V486" s="131" t="str">
        <f t="shared" si="77"/>
        <v/>
      </c>
      <c r="W486" s="17"/>
      <c r="X486" s="7"/>
      <c r="Y486" s="161"/>
      <c r="Z486" s="7"/>
      <c r="AA486" s="117"/>
      <c r="AB486" s="117"/>
      <c r="AC486" s="117"/>
      <c r="CH486">
        <v>2</v>
      </c>
      <c r="CI486">
        <v>64</v>
      </c>
    </row>
    <row r="487" spans="1:87" x14ac:dyDescent="0.3">
      <c r="A487" s="2">
        <v>586</v>
      </c>
      <c r="B487" s="2" t="s">
        <v>84</v>
      </c>
      <c r="C487" s="2" t="s">
        <v>1</v>
      </c>
      <c r="D487" s="2" t="s">
        <v>883</v>
      </c>
      <c r="E487" s="2">
        <v>1000</v>
      </c>
      <c r="F487" s="2">
        <v>6.0000000000000001E-3</v>
      </c>
      <c r="G487" s="2">
        <v>3.5000000000000001E-3</v>
      </c>
      <c r="H487" s="4">
        <f t="shared" si="73"/>
        <v>0.41666666666666669</v>
      </c>
      <c r="I487" s="2" t="s">
        <v>82</v>
      </c>
      <c r="J487" s="2" t="s">
        <v>579</v>
      </c>
      <c r="K487" s="2" t="s">
        <v>5</v>
      </c>
      <c r="L487" s="2" t="s">
        <v>6</v>
      </c>
      <c r="M487" s="155"/>
      <c r="N487" s="155"/>
      <c r="O487" s="2">
        <v>48</v>
      </c>
      <c r="P487" s="6">
        <v>14</v>
      </c>
      <c r="Q487" s="131">
        <f t="shared" si="74"/>
        <v>98.742857142857147</v>
      </c>
      <c r="R487" s="33">
        <f t="shared" si="72"/>
        <v>14</v>
      </c>
      <c r="S487" s="132">
        <f t="shared" si="75"/>
        <v>1.75</v>
      </c>
      <c r="T487" s="132">
        <f t="shared" si="76"/>
        <v>1.75</v>
      </c>
      <c r="V487" s="131" t="str">
        <f t="shared" si="77"/>
        <v/>
      </c>
      <c r="W487" s="17"/>
      <c r="X487" s="7"/>
      <c r="Y487" s="161"/>
      <c r="Z487" s="7"/>
      <c r="AA487" s="117"/>
      <c r="AB487" s="117"/>
      <c r="AC487" s="117"/>
      <c r="CH487">
        <v>1</v>
      </c>
      <c r="CI487">
        <v>65</v>
      </c>
    </row>
    <row r="488" spans="1:87" x14ac:dyDescent="0.3">
      <c r="A488" s="2">
        <v>592</v>
      </c>
      <c r="B488" s="2" t="s">
        <v>84</v>
      </c>
      <c r="C488" s="2" t="s">
        <v>1</v>
      </c>
      <c r="D488" s="2" t="s">
        <v>884</v>
      </c>
      <c r="E488" s="2">
        <v>3200</v>
      </c>
      <c r="F488" s="2">
        <v>5.7000000000000002E-3</v>
      </c>
      <c r="G488" s="2">
        <v>3.8E-3</v>
      </c>
      <c r="H488" s="4">
        <f t="shared" si="73"/>
        <v>0.33333333333333337</v>
      </c>
      <c r="I488" s="2" t="s">
        <v>82</v>
      </c>
      <c r="J488" s="2" t="s">
        <v>645</v>
      </c>
      <c r="K488" s="2" t="s">
        <v>5</v>
      </c>
      <c r="L488" s="2" t="s">
        <v>6</v>
      </c>
      <c r="M488" s="155"/>
      <c r="N488" s="155"/>
      <c r="O488" s="2">
        <v>32</v>
      </c>
      <c r="P488" s="6"/>
      <c r="Q488" s="131" t="str">
        <f t="shared" si="74"/>
        <v/>
      </c>
      <c r="R488" s="33" t="str">
        <f t="shared" si="72"/>
        <v/>
      </c>
      <c r="S488" s="132" t="str">
        <f t="shared" si="75"/>
        <v/>
      </c>
      <c r="T488" s="132" t="str">
        <f t="shared" si="76"/>
        <v/>
      </c>
      <c r="V488" s="131" t="str">
        <f t="shared" si="77"/>
        <v/>
      </c>
      <c r="W488" s="17"/>
      <c r="X488" s="7"/>
      <c r="Y488" s="161"/>
      <c r="Z488" s="7"/>
      <c r="AA488" s="117"/>
      <c r="AB488" s="117"/>
      <c r="AC488" s="117"/>
      <c r="CH488">
        <v>3</v>
      </c>
      <c r="CI488">
        <v>86</v>
      </c>
    </row>
    <row r="489" spans="1:87" x14ac:dyDescent="0.3">
      <c r="A489" s="2">
        <v>602</v>
      </c>
      <c r="B489" s="2" t="s">
        <v>0</v>
      </c>
      <c r="C489" s="2" t="s">
        <v>1</v>
      </c>
      <c r="D489" s="2" t="s">
        <v>885</v>
      </c>
      <c r="E489" s="2">
        <v>35</v>
      </c>
      <c r="F489" s="2">
        <v>0.38540000000000002</v>
      </c>
      <c r="G489" s="2">
        <v>0.28839999999999999</v>
      </c>
      <c r="H489" s="4">
        <f t="shared" si="73"/>
        <v>0.25168655941878576</v>
      </c>
      <c r="I489" s="2" t="s">
        <v>98</v>
      </c>
      <c r="J489" s="2" t="s">
        <v>886</v>
      </c>
      <c r="K489" s="2" t="s">
        <v>105</v>
      </c>
      <c r="L489" s="2" t="s">
        <v>76</v>
      </c>
      <c r="M489" s="155"/>
      <c r="N489" s="155"/>
      <c r="O489" s="2">
        <v>2</v>
      </c>
      <c r="P489" s="6">
        <v>69</v>
      </c>
      <c r="Q489" s="131">
        <f t="shared" si="74"/>
        <v>23.850931677018636</v>
      </c>
      <c r="R489" s="33">
        <f t="shared" si="72"/>
        <v>69</v>
      </c>
      <c r="S489" s="132">
        <f t="shared" si="75"/>
        <v>8.625</v>
      </c>
      <c r="T489" s="132">
        <f t="shared" si="76"/>
        <v>8.625</v>
      </c>
      <c r="V489" s="131" t="str">
        <f t="shared" si="77"/>
        <v/>
      </c>
      <c r="W489" s="17"/>
      <c r="X489" s="7"/>
      <c r="Y489" s="161"/>
      <c r="Z489" s="7"/>
      <c r="AA489" s="117"/>
      <c r="AB489" s="117"/>
      <c r="AC489" s="117"/>
      <c r="CH489">
        <v>4</v>
      </c>
      <c r="CI489">
        <v>48</v>
      </c>
    </row>
    <row r="490" spans="1:87" x14ac:dyDescent="0.3">
      <c r="A490" s="2">
        <v>603</v>
      </c>
      <c r="B490" s="2" t="s">
        <v>0</v>
      </c>
      <c r="C490" s="2" t="s">
        <v>1</v>
      </c>
      <c r="D490" s="2" t="s">
        <v>887</v>
      </c>
      <c r="E490" s="2">
        <v>90</v>
      </c>
      <c r="F490" s="2">
        <v>0.12740000000000001</v>
      </c>
      <c r="G490" s="2">
        <v>9.8000000000000004E-2</v>
      </c>
      <c r="H490" s="4">
        <f t="shared" si="73"/>
        <v>0.23076923076923081</v>
      </c>
      <c r="I490" s="2" t="s">
        <v>82</v>
      </c>
      <c r="J490" s="2" t="s">
        <v>888</v>
      </c>
      <c r="K490" s="2" t="s">
        <v>105</v>
      </c>
      <c r="L490" s="2" t="s">
        <v>76</v>
      </c>
      <c r="M490" s="155"/>
      <c r="N490" s="155"/>
      <c r="O490" s="2">
        <v>2</v>
      </c>
      <c r="P490" s="6">
        <v>40</v>
      </c>
      <c r="Q490" s="131">
        <f t="shared" si="74"/>
        <v>16</v>
      </c>
      <c r="R490" s="33">
        <f t="shared" si="72"/>
        <v>40</v>
      </c>
      <c r="S490" s="132">
        <f t="shared" si="75"/>
        <v>5</v>
      </c>
      <c r="T490" s="132">
        <f t="shared" si="76"/>
        <v>5</v>
      </c>
      <c r="V490" s="131" t="str">
        <f t="shared" si="77"/>
        <v/>
      </c>
      <c r="W490" s="17"/>
      <c r="X490" s="7"/>
      <c r="Y490" s="161"/>
      <c r="Z490" s="7"/>
      <c r="AA490" s="117"/>
      <c r="AB490" s="117"/>
      <c r="AC490" s="117"/>
      <c r="CH490">
        <v>5</v>
      </c>
      <c r="CI490">
        <v>87</v>
      </c>
    </row>
    <row r="491" spans="1:87" x14ac:dyDescent="0.3">
      <c r="A491" s="2">
        <v>604</v>
      </c>
      <c r="B491" s="2" t="s">
        <v>0</v>
      </c>
      <c r="C491" s="2" t="s">
        <v>1</v>
      </c>
      <c r="D491" s="2" t="s">
        <v>889</v>
      </c>
      <c r="E491" s="2">
        <v>40</v>
      </c>
      <c r="F491" s="2">
        <v>0.39389999999999997</v>
      </c>
      <c r="G491" s="2">
        <v>0.28839999999999999</v>
      </c>
      <c r="H491" s="4">
        <f t="shared" si="73"/>
        <v>0.26783447575526781</v>
      </c>
      <c r="I491" s="2" t="s">
        <v>98</v>
      </c>
      <c r="J491" s="2" t="s">
        <v>886</v>
      </c>
      <c r="K491" s="2" t="s">
        <v>105</v>
      </c>
      <c r="L491" s="2" t="s">
        <v>76</v>
      </c>
      <c r="M491" s="155"/>
      <c r="N491" s="155"/>
      <c r="O491" s="2">
        <v>2</v>
      </c>
      <c r="P491" s="6">
        <v>60</v>
      </c>
      <c r="Q491" s="131">
        <f t="shared" si="74"/>
        <v>24</v>
      </c>
      <c r="R491" s="33">
        <f t="shared" si="72"/>
        <v>60</v>
      </c>
      <c r="S491" s="132">
        <f t="shared" si="75"/>
        <v>7.5</v>
      </c>
      <c r="T491" s="132">
        <f t="shared" si="76"/>
        <v>7.5</v>
      </c>
      <c r="V491" s="131" t="str">
        <f t="shared" si="77"/>
        <v/>
      </c>
      <c r="W491" s="17"/>
      <c r="X491" s="7"/>
      <c r="Y491" s="161"/>
      <c r="Z491" s="7"/>
      <c r="AA491" s="117"/>
      <c r="AB491" s="117"/>
      <c r="AC491" s="117"/>
      <c r="CH491">
        <v>4</v>
      </c>
      <c r="CI491">
        <v>33</v>
      </c>
    </row>
    <row r="492" spans="1:87" x14ac:dyDescent="0.3">
      <c r="A492" s="2">
        <v>605</v>
      </c>
      <c r="B492" s="2" t="s">
        <v>0</v>
      </c>
      <c r="C492" s="2" t="s">
        <v>1</v>
      </c>
      <c r="D492" s="2" t="s">
        <v>890</v>
      </c>
      <c r="E492" s="2">
        <v>160</v>
      </c>
      <c r="F492" s="2">
        <v>0.13400000000000001</v>
      </c>
      <c r="G492" s="2">
        <v>9.8000000000000004E-2</v>
      </c>
      <c r="H492" s="4">
        <f t="shared" si="73"/>
        <v>0.26865671641791045</v>
      </c>
      <c r="I492" s="2" t="s">
        <v>82</v>
      </c>
      <c r="J492" s="2" t="s">
        <v>581</v>
      </c>
      <c r="K492" s="2" t="s">
        <v>105</v>
      </c>
      <c r="L492" s="2" t="s">
        <v>76</v>
      </c>
      <c r="M492" s="155"/>
      <c r="N492" s="155"/>
      <c r="O492" s="2">
        <v>2</v>
      </c>
      <c r="P492" s="6">
        <v>23</v>
      </c>
      <c r="Q492" s="131">
        <f t="shared" si="74"/>
        <v>15.652173913043478</v>
      </c>
      <c r="R492" s="33">
        <f t="shared" si="72"/>
        <v>23</v>
      </c>
      <c r="S492" s="132">
        <f t="shared" si="75"/>
        <v>2.875</v>
      </c>
      <c r="T492" s="132">
        <f t="shared" si="76"/>
        <v>2.875</v>
      </c>
      <c r="V492" s="131" t="str">
        <f t="shared" si="77"/>
        <v/>
      </c>
      <c r="W492" s="17"/>
      <c r="X492" s="7"/>
      <c r="Y492" s="161"/>
      <c r="Z492" s="7"/>
      <c r="AA492" s="117"/>
      <c r="AB492" s="117"/>
      <c r="AC492" s="117"/>
      <c r="CH492">
        <v>5</v>
      </c>
      <c r="CI492">
        <v>37</v>
      </c>
    </row>
    <row r="493" spans="1:87" x14ac:dyDescent="0.3">
      <c r="A493" s="2">
        <v>606</v>
      </c>
      <c r="B493" s="2" t="s">
        <v>0</v>
      </c>
      <c r="C493" s="2" t="s">
        <v>1</v>
      </c>
      <c r="D493" s="2" t="s">
        <v>891</v>
      </c>
      <c r="E493" s="2">
        <v>45</v>
      </c>
      <c r="F493" s="2">
        <v>0.4204</v>
      </c>
      <c r="G493" s="2">
        <v>0.28839999999999999</v>
      </c>
      <c r="H493" s="4">
        <f t="shared" si="73"/>
        <v>0.31398667935299718</v>
      </c>
      <c r="I493" s="2" t="s">
        <v>98</v>
      </c>
      <c r="J493" s="2" t="s">
        <v>892</v>
      </c>
      <c r="K493" s="2" t="s">
        <v>105</v>
      </c>
      <c r="L493" s="2" t="s">
        <v>76</v>
      </c>
      <c r="M493" s="155"/>
      <c r="N493" s="155"/>
      <c r="O493" s="2">
        <v>2</v>
      </c>
      <c r="P493" s="6">
        <v>24</v>
      </c>
      <c r="Q493" s="131">
        <f t="shared" si="74"/>
        <v>53.333333333333336</v>
      </c>
      <c r="R493" s="33">
        <f t="shared" si="72"/>
        <v>24</v>
      </c>
      <c r="S493" s="132">
        <f t="shared" si="75"/>
        <v>3</v>
      </c>
      <c r="T493" s="132">
        <f t="shared" si="76"/>
        <v>3</v>
      </c>
      <c r="V493" s="131" t="str">
        <f t="shared" si="77"/>
        <v/>
      </c>
      <c r="W493" s="17"/>
      <c r="X493" s="7"/>
      <c r="Y493" s="161"/>
      <c r="Z493" s="7"/>
      <c r="AA493" s="117"/>
      <c r="AB493" s="117"/>
      <c r="AC493" s="117"/>
      <c r="CH493">
        <v>3</v>
      </c>
      <c r="CI493">
        <v>35</v>
      </c>
    </row>
    <row r="494" spans="1:87" x14ac:dyDescent="0.3">
      <c r="A494" s="2">
        <v>607</v>
      </c>
      <c r="B494" s="2" t="s">
        <v>0</v>
      </c>
      <c r="C494" s="2" t="s">
        <v>1</v>
      </c>
      <c r="D494" s="2" t="s">
        <v>893</v>
      </c>
      <c r="E494" s="2">
        <v>120</v>
      </c>
      <c r="F494" s="2">
        <v>0.13089999999999999</v>
      </c>
      <c r="G494" s="2">
        <v>9.8000000000000004E-2</v>
      </c>
      <c r="H494" s="4">
        <f t="shared" si="73"/>
        <v>0.25133689839572182</v>
      </c>
      <c r="I494" s="2" t="s">
        <v>82</v>
      </c>
      <c r="J494" s="2" t="s">
        <v>581</v>
      </c>
      <c r="K494" s="2" t="s">
        <v>105</v>
      </c>
      <c r="L494" s="2" t="s">
        <v>76</v>
      </c>
      <c r="M494" s="155"/>
      <c r="N494" s="155"/>
      <c r="O494" s="2">
        <v>2</v>
      </c>
      <c r="P494" s="6">
        <v>35</v>
      </c>
      <c r="Q494" s="131">
        <f t="shared" si="74"/>
        <v>13.714285714285714</v>
      </c>
      <c r="R494" s="33">
        <f t="shared" si="72"/>
        <v>35</v>
      </c>
      <c r="S494" s="132">
        <f t="shared" si="75"/>
        <v>4.375</v>
      </c>
      <c r="T494" s="132">
        <f t="shared" si="76"/>
        <v>4.375</v>
      </c>
      <c r="V494" s="131" t="str">
        <f t="shared" si="77"/>
        <v/>
      </c>
      <c r="W494" s="17"/>
      <c r="X494" s="7"/>
      <c r="Y494" s="161"/>
      <c r="Z494" s="7"/>
      <c r="AA494" s="117"/>
      <c r="AB494" s="117"/>
      <c r="AC494" s="117"/>
      <c r="CH494">
        <v>2</v>
      </c>
      <c r="CI494">
        <v>66</v>
      </c>
    </row>
    <row r="495" spans="1:87" x14ac:dyDescent="0.3">
      <c r="A495" s="2">
        <v>608</v>
      </c>
      <c r="B495" s="2" t="s">
        <v>0</v>
      </c>
      <c r="C495" s="2" t="s">
        <v>1</v>
      </c>
      <c r="D495" s="2" t="s">
        <v>894</v>
      </c>
      <c r="E495" s="2">
        <v>55</v>
      </c>
      <c r="F495" s="2">
        <v>0.40229999999999999</v>
      </c>
      <c r="G495" s="2">
        <v>0.28839999999999999</v>
      </c>
      <c r="H495" s="4">
        <f t="shared" si="73"/>
        <v>0.28312204822271936</v>
      </c>
      <c r="I495" s="2" t="s">
        <v>98</v>
      </c>
      <c r="J495" s="2" t="s">
        <v>886</v>
      </c>
      <c r="K495" s="2" t="s">
        <v>105</v>
      </c>
      <c r="L495" s="2" t="s">
        <v>76</v>
      </c>
      <c r="M495" s="155"/>
      <c r="N495" s="155"/>
      <c r="O495" s="2">
        <v>2</v>
      </c>
      <c r="P495" s="6">
        <v>44</v>
      </c>
      <c r="Q495" s="131">
        <f t="shared" si="74"/>
        <v>23.801652892561982</v>
      </c>
      <c r="R495" s="33">
        <f t="shared" si="72"/>
        <v>44</v>
      </c>
      <c r="S495" s="132">
        <f t="shared" si="75"/>
        <v>5.5</v>
      </c>
      <c r="T495" s="132">
        <f t="shared" si="76"/>
        <v>5.5</v>
      </c>
      <c r="V495" s="131" t="str">
        <f t="shared" si="77"/>
        <v/>
      </c>
      <c r="W495" s="17"/>
      <c r="X495" s="7"/>
      <c r="Y495" s="161"/>
      <c r="Z495" s="7"/>
      <c r="AA495" s="117"/>
      <c r="AB495" s="117"/>
      <c r="AC495" s="117"/>
      <c r="CH495">
        <v>2</v>
      </c>
      <c r="CI495">
        <v>55</v>
      </c>
    </row>
    <row r="496" spans="1:87" x14ac:dyDescent="0.3">
      <c r="A496" s="2">
        <v>609</v>
      </c>
      <c r="B496" s="2" t="s">
        <v>0</v>
      </c>
      <c r="C496" s="2" t="s">
        <v>1</v>
      </c>
      <c r="D496" s="2" t="s">
        <v>895</v>
      </c>
      <c r="E496" s="2">
        <v>40</v>
      </c>
      <c r="F496" s="2">
        <v>0.38540000000000002</v>
      </c>
      <c r="G496" s="2">
        <v>0.28839999999999999</v>
      </c>
      <c r="H496" s="4">
        <f t="shared" si="73"/>
        <v>0.25168655941878576</v>
      </c>
      <c r="I496" s="2" t="s">
        <v>98</v>
      </c>
      <c r="J496" s="2" t="s">
        <v>886</v>
      </c>
      <c r="K496" s="2" t="s">
        <v>105</v>
      </c>
      <c r="L496" s="2" t="s">
        <v>76</v>
      </c>
      <c r="M496" s="155"/>
      <c r="N496" s="155"/>
      <c r="O496" s="2">
        <v>2</v>
      </c>
      <c r="P496" s="6">
        <v>60</v>
      </c>
      <c r="Q496" s="131">
        <f t="shared" si="74"/>
        <v>24</v>
      </c>
      <c r="R496" s="33">
        <f t="shared" si="72"/>
        <v>60</v>
      </c>
      <c r="S496" s="132">
        <f t="shared" si="75"/>
        <v>7.5</v>
      </c>
      <c r="T496" s="132">
        <f t="shared" si="76"/>
        <v>7.5</v>
      </c>
      <c r="V496" s="131" t="str">
        <f t="shared" si="77"/>
        <v/>
      </c>
      <c r="W496" s="17"/>
      <c r="X496" s="7"/>
      <c r="Y496" s="161"/>
      <c r="Z496" s="7"/>
      <c r="AA496" s="117"/>
      <c r="AB496" s="117"/>
      <c r="AC496" s="117"/>
      <c r="CH496">
        <v>5</v>
      </c>
      <c r="CI496">
        <v>69</v>
      </c>
    </row>
    <row r="497" spans="1:87" x14ac:dyDescent="0.3">
      <c r="A497" s="2">
        <v>610</v>
      </c>
      <c r="B497" s="2" t="s">
        <v>0</v>
      </c>
      <c r="C497" s="2" t="s">
        <v>1</v>
      </c>
      <c r="D497" s="2" t="s">
        <v>896</v>
      </c>
      <c r="E497" s="2">
        <v>160</v>
      </c>
      <c r="F497" s="2">
        <v>0.13400000000000001</v>
      </c>
      <c r="G497" s="2">
        <v>9.8000000000000004E-2</v>
      </c>
      <c r="H497" s="4">
        <f t="shared" si="73"/>
        <v>0.26865671641791045</v>
      </c>
      <c r="I497" s="2" t="s">
        <v>82</v>
      </c>
      <c r="J497" s="2" t="s">
        <v>581</v>
      </c>
      <c r="K497" s="2" t="s">
        <v>105</v>
      </c>
      <c r="L497" s="2" t="s">
        <v>76</v>
      </c>
      <c r="M497" s="155"/>
      <c r="N497" s="155"/>
      <c r="O497" s="2">
        <v>2</v>
      </c>
      <c r="P497" s="6">
        <v>23</v>
      </c>
      <c r="Q497" s="131">
        <f t="shared" si="74"/>
        <v>15.652173913043478</v>
      </c>
      <c r="R497" s="33">
        <f t="shared" si="72"/>
        <v>23</v>
      </c>
      <c r="S497" s="132">
        <f t="shared" si="75"/>
        <v>2.875</v>
      </c>
      <c r="T497" s="132">
        <f t="shared" si="76"/>
        <v>2.875</v>
      </c>
      <c r="V497" s="131" t="str">
        <f t="shared" si="77"/>
        <v/>
      </c>
      <c r="W497" s="17"/>
      <c r="X497" s="7"/>
      <c r="Y497" s="161"/>
      <c r="Z497" s="7"/>
      <c r="AA497" s="117"/>
      <c r="AB497" s="117"/>
      <c r="AC497" s="117"/>
      <c r="CH497">
        <v>4</v>
      </c>
      <c r="CI497">
        <v>67</v>
      </c>
    </row>
    <row r="498" spans="1:87" x14ac:dyDescent="0.3">
      <c r="A498" s="2">
        <v>611</v>
      </c>
      <c r="B498" s="2" t="s">
        <v>0</v>
      </c>
      <c r="C498" s="2" t="s">
        <v>1</v>
      </c>
      <c r="D498" s="2" t="s">
        <v>897</v>
      </c>
      <c r="E498" s="2">
        <v>40</v>
      </c>
      <c r="F498" s="2">
        <v>0.39389999999999997</v>
      </c>
      <c r="G498" s="2">
        <v>0.28839999999999999</v>
      </c>
      <c r="H498" s="4">
        <f t="shared" si="73"/>
        <v>0.26783447575526781</v>
      </c>
      <c r="I498" s="2" t="s">
        <v>98</v>
      </c>
      <c r="J498" s="2" t="s">
        <v>892</v>
      </c>
      <c r="K498" s="2" t="s">
        <v>105</v>
      </c>
      <c r="L498" s="2" t="s">
        <v>76</v>
      </c>
      <c r="M498" s="155"/>
      <c r="N498" s="155"/>
      <c r="O498" s="2">
        <v>2</v>
      </c>
      <c r="P498" s="6">
        <v>60</v>
      </c>
      <c r="Q498" s="131">
        <f t="shared" si="74"/>
        <v>24</v>
      </c>
      <c r="R498" s="33">
        <f t="shared" si="72"/>
        <v>60</v>
      </c>
      <c r="S498" s="132">
        <f t="shared" si="75"/>
        <v>7.5</v>
      </c>
      <c r="T498" s="132">
        <f t="shared" si="76"/>
        <v>7.5</v>
      </c>
      <c r="V498" s="131" t="str">
        <f t="shared" si="77"/>
        <v/>
      </c>
      <c r="W498" s="17"/>
      <c r="X498" s="7"/>
      <c r="Y498" s="161"/>
      <c r="Z498" s="7"/>
      <c r="AA498" s="117"/>
      <c r="AB498" s="117"/>
      <c r="AC498" s="117"/>
      <c r="CH498">
        <v>4</v>
      </c>
      <c r="CI498">
        <v>58</v>
      </c>
    </row>
    <row r="499" spans="1:87" x14ac:dyDescent="0.3">
      <c r="A499" s="2">
        <v>612</v>
      </c>
      <c r="B499" s="2" t="s">
        <v>0</v>
      </c>
      <c r="C499" s="2" t="s">
        <v>1</v>
      </c>
      <c r="D499" s="2" t="s">
        <v>898</v>
      </c>
      <c r="E499" s="2">
        <v>160</v>
      </c>
      <c r="F499" s="2">
        <v>0.13400000000000001</v>
      </c>
      <c r="G499" s="2">
        <v>9.8000000000000004E-2</v>
      </c>
      <c r="H499" s="4">
        <f t="shared" si="73"/>
        <v>0.26865671641791045</v>
      </c>
      <c r="I499" s="2" t="s">
        <v>82</v>
      </c>
      <c r="J499" s="2" t="s">
        <v>581</v>
      </c>
      <c r="K499" s="2" t="s">
        <v>105</v>
      </c>
      <c r="L499" s="2" t="s">
        <v>76</v>
      </c>
      <c r="M499" s="155"/>
      <c r="N499" s="155"/>
      <c r="O499" s="2">
        <v>2</v>
      </c>
      <c r="P499" s="6">
        <v>23</v>
      </c>
      <c r="Q499" s="131">
        <f t="shared" si="74"/>
        <v>15.652173913043478</v>
      </c>
      <c r="R499" s="33">
        <f t="shared" si="72"/>
        <v>23</v>
      </c>
      <c r="S499" s="132">
        <f t="shared" si="75"/>
        <v>2.875</v>
      </c>
      <c r="T499" s="132">
        <f t="shared" si="76"/>
        <v>2.875</v>
      </c>
      <c r="V499" s="131" t="str">
        <f t="shared" si="77"/>
        <v/>
      </c>
      <c r="W499" s="17"/>
      <c r="X499" s="7"/>
      <c r="Y499" s="161"/>
      <c r="Z499" s="7"/>
      <c r="AA499" s="117"/>
      <c r="AB499" s="117"/>
      <c r="AC499" s="117"/>
      <c r="CH499">
        <v>6</v>
      </c>
      <c r="CI499">
        <v>88</v>
      </c>
    </row>
    <row r="500" spans="1:87" x14ac:dyDescent="0.3">
      <c r="A500" s="2">
        <v>613</v>
      </c>
      <c r="B500" s="2" t="s">
        <v>0</v>
      </c>
      <c r="C500" s="2" t="s">
        <v>1</v>
      </c>
      <c r="D500" s="2" t="s">
        <v>899</v>
      </c>
      <c r="E500" s="2">
        <v>40</v>
      </c>
      <c r="F500" s="2">
        <v>0.38119999999999998</v>
      </c>
      <c r="G500" s="2">
        <v>0.28839999999999999</v>
      </c>
      <c r="H500" s="4">
        <f t="shared" si="73"/>
        <v>0.24344176285414479</v>
      </c>
      <c r="I500" s="2" t="s">
        <v>98</v>
      </c>
      <c r="J500" s="2" t="s">
        <v>892</v>
      </c>
      <c r="K500" s="2" t="s">
        <v>105</v>
      </c>
      <c r="L500" s="2" t="s">
        <v>76</v>
      </c>
      <c r="M500" s="155"/>
      <c r="N500" s="155"/>
      <c r="O500" s="2">
        <v>2</v>
      </c>
      <c r="P500" s="6">
        <v>60</v>
      </c>
      <c r="Q500" s="131">
        <f t="shared" si="74"/>
        <v>24</v>
      </c>
      <c r="R500" s="33">
        <f t="shared" si="72"/>
        <v>60</v>
      </c>
      <c r="S500" s="132">
        <f t="shared" si="75"/>
        <v>7.5</v>
      </c>
      <c r="T500" s="132">
        <f t="shared" si="76"/>
        <v>7.5</v>
      </c>
      <c r="V500" s="131" t="str">
        <f t="shared" si="77"/>
        <v/>
      </c>
      <c r="W500" s="17"/>
      <c r="X500" s="7"/>
      <c r="Y500" s="161"/>
      <c r="Z500" s="7"/>
      <c r="AA500" s="117"/>
      <c r="AB500" s="117"/>
      <c r="AC500" s="117"/>
      <c r="CH500">
        <v>2</v>
      </c>
      <c r="CI500">
        <v>84</v>
      </c>
    </row>
    <row r="501" spans="1:87" x14ac:dyDescent="0.3">
      <c r="A501" s="2">
        <v>614</v>
      </c>
      <c r="B501" s="2" t="s">
        <v>0</v>
      </c>
      <c r="C501" s="2" t="s">
        <v>1</v>
      </c>
      <c r="D501" s="2" t="s">
        <v>900</v>
      </c>
      <c r="E501" s="2">
        <v>120</v>
      </c>
      <c r="F501" s="2">
        <v>0.1278</v>
      </c>
      <c r="G501" s="2">
        <v>9.8000000000000004E-2</v>
      </c>
      <c r="H501" s="4">
        <f t="shared" si="73"/>
        <v>0.23317683881064158</v>
      </c>
      <c r="I501" s="2" t="s">
        <v>82</v>
      </c>
      <c r="J501" s="2" t="s">
        <v>581</v>
      </c>
      <c r="K501" s="2" t="s">
        <v>105</v>
      </c>
      <c r="L501" s="2" t="s">
        <v>76</v>
      </c>
      <c r="M501" s="155"/>
      <c r="N501" s="155"/>
      <c r="O501" s="2">
        <v>2</v>
      </c>
      <c r="P501" s="6">
        <v>30</v>
      </c>
      <c r="Q501" s="131">
        <f t="shared" si="74"/>
        <v>16</v>
      </c>
      <c r="R501" s="33">
        <f t="shared" si="72"/>
        <v>30</v>
      </c>
      <c r="S501" s="132">
        <f t="shared" si="75"/>
        <v>3.75</v>
      </c>
      <c r="T501" s="132">
        <f t="shared" si="76"/>
        <v>3.75</v>
      </c>
      <c r="V501" s="131" t="str">
        <f t="shared" si="77"/>
        <v/>
      </c>
      <c r="W501" s="17"/>
      <c r="X501" s="7"/>
      <c r="Y501" s="161"/>
      <c r="Z501" s="7"/>
      <c r="AA501" s="117"/>
      <c r="AB501" s="117"/>
      <c r="AC501" s="117"/>
      <c r="CH501">
        <v>1</v>
      </c>
      <c r="CI501">
        <v>44</v>
      </c>
    </row>
    <row r="502" spans="1:87" x14ac:dyDescent="0.3">
      <c r="A502" s="23">
        <v>615</v>
      </c>
      <c r="B502" s="2" t="s">
        <v>0</v>
      </c>
      <c r="C502" s="2" t="s">
        <v>1</v>
      </c>
      <c r="D502" s="2" t="s">
        <v>901</v>
      </c>
      <c r="E502" s="2">
        <v>60</v>
      </c>
      <c r="F502" s="2">
        <v>0.41120000000000001</v>
      </c>
      <c r="G502" s="2">
        <v>0.28839999999999999</v>
      </c>
      <c r="H502" s="4">
        <f t="shared" si="73"/>
        <v>0.29863813229571989</v>
      </c>
      <c r="I502" s="2" t="s">
        <v>98</v>
      </c>
      <c r="J502" s="2" t="s">
        <v>892</v>
      </c>
      <c r="K502" s="2" t="s">
        <v>105</v>
      </c>
      <c r="L502" s="2" t="s">
        <v>76</v>
      </c>
      <c r="M502" s="155"/>
      <c r="N502" s="155"/>
      <c r="O502" s="2">
        <v>2</v>
      </c>
      <c r="P502" s="6">
        <v>60</v>
      </c>
      <c r="Q502" s="131">
        <f t="shared" si="74"/>
        <v>16</v>
      </c>
      <c r="R502" s="33">
        <f t="shared" ref="R502:R507" si="78">IFERROR(60*60*8*O502/E502/Q502,"")</f>
        <v>60</v>
      </c>
      <c r="S502" s="132">
        <f t="shared" si="75"/>
        <v>7.5</v>
      </c>
      <c r="T502" s="132">
        <f t="shared" si="76"/>
        <v>7.5</v>
      </c>
      <c r="V502" s="131">
        <f t="shared" si="77"/>
        <v>13.333333333333334</v>
      </c>
      <c r="W502" s="17">
        <v>72</v>
      </c>
      <c r="X502" s="8">
        <f>60*60*8/W502</f>
        <v>400</v>
      </c>
      <c r="Y502" s="161">
        <v>45373</v>
      </c>
      <c r="Z502" s="7" t="s">
        <v>7</v>
      </c>
      <c r="AA502" s="117"/>
      <c r="AB502" s="117"/>
      <c r="AC502" s="117"/>
      <c r="CH502">
        <v>1</v>
      </c>
      <c r="CI502">
        <v>41</v>
      </c>
    </row>
    <row r="503" spans="1:87" x14ac:dyDescent="0.3">
      <c r="A503" s="2">
        <v>616</v>
      </c>
      <c r="B503" s="2" t="s">
        <v>0</v>
      </c>
      <c r="C503" s="2" t="s">
        <v>1</v>
      </c>
      <c r="D503" s="2" t="s">
        <v>902</v>
      </c>
      <c r="E503" s="2">
        <v>120</v>
      </c>
      <c r="F503" s="2">
        <v>0.1371</v>
      </c>
      <c r="G503" s="2">
        <v>9.8000000000000004E-2</v>
      </c>
      <c r="H503" s="4">
        <f t="shared" ref="H503:H566" si="79">(F503-G503)/F503</f>
        <v>0.28519328956965717</v>
      </c>
      <c r="I503" s="2" t="s">
        <v>82</v>
      </c>
      <c r="J503" s="2" t="s">
        <v>581</v>
      </c>
      <c r="K503" s="2" t="s">
        <v>105</v>
      </c>
      <c r="L503" s="2" t="s">
        <v>76</v>
      </c>
      <c r="M503" s="155"/>
      <c r="N503" s="155"/>
      <c r="O503" s="2">
        <v>2</v>
      </c>
      <c r="P503" s="6">
        <v>30</v>
      </c>
      <c r="Q503" s="131">
        <f t="shared" ref="Q503:Q566" si="80">IFERROR(60*60*8*O503/E503/P503,"")</f>
        <v>16</v>
      </c>
      <c r="R503" s="33">
        <f t="shared" si="78"/>
        <v>30</v>
      </c>
      <c r="S503" s="132">
        <f t="shared" ref="S503:S566" si="81">IFERROR(R503/8,"")</f>
        <v>3.75</v>
      </c>
      <c r="T503" s="132">
        <f t="shared" ref="T503:T566" si="82">IFERROR(IF(R503&gt;2,S503,""),"")</f>
        <v>3.75</v>
      </c>
      <c r="V503" s="131" t="str">
        <f t="shared" ref="V503:V566" si="83">IF(X503&gt;10,X503*O503/E503,"")</f>
        <v/>
      </c>
      <c r="W503" s="17"/>
      <c r="X503" s="7"/>
      <c r="Y503" s="161"/>
      <c r="Z503" s="7"/>
      <c r="AA503" s="117"/>
      <c r="AB503" s="117"/>
      <c r="AC503" s="117"/>
      <c r="CH503">
        <v>2</v>
      </c>
      <c r="CI503">
        <v>48</v>
      </c>
    </row>
    <row r="504" spans="1:87" x14ac:dyDescent="0.3">
      <c r="A504" s="2">
        <v>617</v>
      </c>
      <c r="B504" s="2" t="s">
        <v>84</v>
      </c>
      <c r="C504" s="2" t="s">
        <v>1</v>
      </c>
      <c r="D504" s="2" t="s">
        <v>903</v>
      </c>
      <c r="E504" s="2">
        <v>2700</v>
      </c>
      <c r="F504" s="2">
        <v>6.7000000000000002E-3</v>
      </c>
      <c r="G504" s="2"/>
      <c r="H504" s="4">
        <f t="shared" si="79"/>
        <v>1</v>
      </c>
      <c r="I504" s="2" t="s">
        <v>82</v>
      </c>
      <c r="J504" s="2" t="s">
        <v>645</v>
      </c>
      <c r="K504" s="2" t="s">
        <v>5</v>
      </c>
      <c r="L504" s="2" t="s">
        <v>6</v>
      </c>
      <c r="M504" s="155"/>
      <c r="N504" s="155"/>
      <c r="O504" s="2">
        <v>21</v>
      </c>
      <c r="P504" s="6"/>
      <c r="Q504" s="131" t="str">
        <f t="shared" si="80"/>
        <v/>
      </c>
      <c r="R504" s="33" t="str">
        <f t="shared" si="78"/>
        <v/>
      </c>
      <c r="S504" s="132" t="str">
        <f t="shared" si="81"/>
        <v/>
      </c>
      <c r="T504" s="132" t="str">
        <f t="shared" si="82"/>
        <v/>
      </c>
      <c r="V504" s="131" t="str">
        <f t="shared" si="83"/>
        <v/>
      </c>
      <c r="W504" s="17"/>
      <c r="X504" s="7"/>
      <c r="Y504" s="161"/>
      <c r="Z504" s="7"/>
      <c r="AA504" s="117"/>
      <c r="AB504" s="117"/>
      <c r="AC504" s="117"/>
      <c r="CH504">
        <v>3</v>
      </c>
      <c r="CI504">
        <v>53</v>
      </c>
    </row>
    <row r="505" spans="1:87" x14ac:dyDescent="0.3">
      <c r="A505" s="2">
        <v>619</v>
      </c>
      <c r="B505" s="2" t="s">
        <v>84</v>
      </c>
      <c r="C505" s="2" t="s">
        <v>1</v>
      </c>
      <c r="D505" s="2" t="s">
        <v>904</v>
      </c>
      <c r="E505" s="2">
        <v>900</v>
      </c>
      <c r="F505" s="2">
        <v>4.7999999999999996E-3</v>
      </c>
      <c r="G505" s="2"/>
      <c r="H505" s="4">
        <f t="shared" si="79"/>
        <v>1</v>
      </c>
      <c r="I505" s="2" t="s">
        <v>98</v>
      </c>
      <c r="J505" s="2" t="s">
        <v>418</v>
      </c>
      <c r="K505" s="2" t="s">
        <v>163</v>
      </c>
      <c r="L505" s="2" t="s">
        <v>6</v>
      </c>
      <c r="M505" s="155"/>
      <c r="N505" s="155"/>
      <c r="O505" s="2">
        <v>25</v>
      </c>
      <c r="P505" s="6"/>
      <c r="Q505" s="131" t="str">
        <f t="shared" si="80"/>
        <v/>
      </c>
      <c r="R505" s="33" t="str">
        <f t="shared" si="78"/>
        <v/>
      </c>
      <c r="S505" s="132" t="str">
        <f t="shared" si="81"/>
        <v/>
      </c>
      <c r="T505" s="132" t="str">
        <f t="shared" si="82"/>
        <v/>
      </c>
      <c r="V505" s="131" t="str">
        <f t="shared" si="83"/>
        <v/>
      </c>
      <c r="W505" s="17"/>
      <c r="X505" s="7"/>
      <c r="Y505" s="161"/>
      <c r="Z505" s="7"/>
      <c r="AA505" s="117"/>
      <c r="AB505" s="117"/>
      <c r="AC505" s="117"/>
      <c r="CH505">
        <v>2</v>
      </c>
      <c r="CI505">
        <v>84</v>
      </c>
    </row>
    <row r="506" spans="1:87" x14ac:dyDescent="0.3">
      <c r="A506" s="2">
        <v>623</v>
      </c>
      <c r="B506" s="2" t="s">
        <v>0</v>
      </c>
      <c r="C506" s="2" t="s">
        <v>1</v>
      </c>
      <c r="D506" s="2" t="s">
        <v>905</v>
      </c>
      <c r="E506" s="2">
        <v>5560</v>
      </c>
      <c r="F506" s="2">
        <v>1.6999999999999999E-3</v>
      </c>
      <c r="G506" s="2">
        <v>1.1000000000000001E-3</v>
      </c>
      <c r="H506" s="4">
        <f t="shared" si="79"/>
        <v>0.35294117647058815</v>
      </c>
      <c r="I506" s="2" t="s">
        <v>82</v>
      </c>
      <c r="J506" s="2" t="s">
        <v>645</v>
      </c>
      <c r="K506" s="2" t="s">
        <v>163</v>
      </c>
      <c r="L506" s="2" t="s">
        <v>6</v>
      </c>
      <c r="M506" s="155"/>
      <c r="N506" s="155"/>
      <c r="O506" s="2">
        <v>66</v>
      </c>
      <c r="P506" s="6">
        <v>8</v>
      </c>
      <c r="Q506" s="131">
        <f t="shared" si="80"/>
        <v>42.733812949640289</v>
      </c>
      <c r="R506" s="33">
        <f t="shared" si="78"/>
        <v>8</v>
      </c>
      <c r="S506" s="132">
        <f t="shared" si="81"/>
        <v>1</v>
      </c>
      <c r="T506" s="132">
        <f t="shared" si="82"/>
        <v>1</v>
      </c>
      <c r="V506" s="131" t="str">
        <f t="shared" si="83"/>
        <v/>
      </c>
      <c r="W506" s="17"/>
      <c r="X506" s="7"/>
      <c r="Y506" s="161"/>
      <c r="Z506" s="7"/>
      <c r="AA506" s="117"/>
      <c r="AB506" s="117"/>
      <c r="AC506" s="117"/>
      <c r="CH506">
        <v>3</v>
      </c>
      <c r="CI506">
        <v>80</v>
      </c>
    </row>
    <row r="507" spans="1:87" x14ac:dyDescent="0.3">
      <c r="A507" s="2">
        <v>630</v>
      </c>
      <c r="B507" s="2" t="s">
        <v>0</v>
      </c>
      <c r="C507" s="2" t="s">
        <v>1</v>
      </c>
      <c r="D507" s="2" t="s">
        <v>906</v>
      </c>
      <c r="E507" s="2">
        <v>4500</v>
      </c>
      <c r="F507" s="2">
        <v>6.0000000000000001E-3</v>
      </c>
      <c r="G507" s="2">
        <v>4.5999999999999999E-3</v>
      </c>
      <c r="H507" s="4">
        <f t="shared" si="79"/>
        <v>0.23333333333333336</v>
      </c>
      <c r="I507" s="2" t="s">
        <v>98</v>
      </c>
      <c r="J507" s="2" t="s">
        <v>418</v>
      </c>
      <c r="K507" s="2" t="s">
        <v>222</v>
      </c>
      <c r="L507" s="2" t="s">
        <v>76</v>
      </c>
      <c r="M507" s="155"/>
      <c r="N507" s="155"/>
      <c r="O507" s="2">
        <v>35</v>
      </c>
      <c r="P507" s="6">
        <v>10</v>
      </c>
      <c r="Q507" s="131">
        <f t="shared" si="80"/>
        <v>22.4</v>
      </c>
      <c r="R507" s="33">
        <f t="shared" si="78"/>
        <v>10</v>
      </c>
      <c r="S507" s="132">
        <f t="shared" si="81"/>
        <v>1.25</v>
      </c>
      <c r="T507" s="132">
        <f t="shared" si="82"/>
        <v>1.25</v>
      </c>
      <c r="V507" s="131" t="str">
        <f t="shared" si="83"/>
        <v/>
      </c>
      <c r="W507" s="17"/>
      <c r="X507" s="7"/>
      <c r="Y507" s="161"/>
      <c r="Z507" s="7"/>
      <c r="AA507" s="117"/>
      <c r="AB507" s="117"/>
      <c r="AC507" s="117"/>
      <c r="CH507">
        <v>5</v>
      </c>
      <c r="CI507">
        <v>42</v>
      </c>
    </row>
    <row r="508" spans="1:87" ht="28.8" x14ac:dyDescent="0.3">
      <c r="A508" s="23">
        <v>631</v>
      </c>
      <c r="B508" s="2" t="s">
        <v>0</v>
      </c>
      <c r="C508" s="2" t="s">
        <v>1</v>
      </c>
      <c r="D508" s="109" t="s">
        <v>907</v>
      </c>
      <c r="E508" s="2">
        <v>2800</v>
      </c>
      <c r="F508" s="2">
        <v>8.2000000000000007E-3</v>
      </c>
      <c r="G508" s="2">
        <v>6.0000000000000001E-3</v>
      </c>
      <c r="H508" s="4">
        <f t="shared" si="79"/>
        <v>0.26829268292682934</v>
      </c>
      <c r="I508" s="2" t="s">
        <v>98</v>
      </c>
      <c r="J508" s="2" t="s">
        <v>908</v>
      </c>
      <c r="K508" s="2" t="s">
        <v>222</v>
      </c>
      <c r="L508" s="2" t="s">
        <v>76</v>
      </c>
      <c r="M508" s="155">
        <v>10</v>
      </c>
      <c r="N508" s="164" t="s">
        <v>909</v>
      </c>
      <c r="O508" s="2">
        <v>25</v>
      </c>
      <c r="P508" s="6">
        <v>22</v>
      </c>
      <c r="Q508" s="131">
        <f t="shared" si="80"/>
        <v>11.688311688311689</v>
      </c>
      <c r="R508" s="33">
        <v>22</v>
      </c>
      <c r="S508" s="132">
        <f t="shared" si="81"/>
        <v>2.75</v>
      </c>
      <c r="T508" s="132">
        <f t="shared" si="82"/>
        <v>2.75</v>
      </c>
      <c r="V508" s="131">
        <f t="shared" si="83"/>
        <v>12.362637362637361</v>
      </c>
      <c r="W508" s="17">
        <f>26*0.8</f>
        <v>20.8</v>
      </c>
      <c r="X508" s="8">
        <f>60*60*8/W508</f>
        <v>1384.6153846153845</v>
      </c>
      <c r="Y508" s="161">
        <v>45329</v>
      </c>
      <c r="Z508" s="7" t="s">
        <v>7</v>
      </c>
      <c r="AA508" s="117"/>
      <c r="AB508" s="117"/>
      <c r="AC508" s="117"/>
      <c r="AD508" s="24">
        <v>45496</v>
      </c>
      <c r="AE508">
        <v>1</v>
      </c>
      <c r="AF508">
        <v>2.2000000000000002</v>
      </c>
      <c r="AG508">
        <v>1.6</v>
      </c>
      <c r="AI508">
        <v>0.1</v>
      </c>
      <c r="AJ508">
        <v>0.2</v>
      </c>
      <c r="AK508">
        <v>6</v>
      </c>
      <c r="AL508">
        <v>5.5</v>
      </c>
      <c r="AN508">
        <v>7</v>
      </c>
      <c r="AS508" s="29">
        <v>138.4</v>
      </c>
      <c r="AT508">
        <v>9</v>
      </c>
      <c r="AU508">
        <v>21</v>
      </c>
      <c r="AV508">
        <v>135</v>
      </c>
      <c r="AW508">
        <v>148</v>
      </c>
      <c r="AX508">
        <v>12</v>
      </c>
      <c r="AY508">
        <v>47</v>
      </c>
      <c r="AZ508">
        <v>95</v>
      </c>
      <c r="BA508">
        <v>113</v>
      </c>
      <c r="CH508">
        <v>2</v>
      </c>
      <c r="CI508">
        <v>32</v>
      </c>
    </row>
    <row r="509" spans="1:87" x14ac:dyDescent="0.3">
      <c r="A509" s="2">
        <v>633</v>
      </c>
      <c r="B509" s="2" t="s">
        <v>0</v>
      </c>
      <c r="C509" s="2" t="s">
        <v>1</v>
      </c>
      <c r="D509" s="2" t="s">
        <v>910</v>
      </c>
      <c r="E509" s="2">
        <v>2400</v>
      </c>
      <c r="F509" s="2">
        <v>7.1999999999999998E-3</v>
      </c>
      <c r="G509" s="2">
        <v>5.5999999999999999E-3</v>
      </c>
      <c r="H509" s="4">
        <f t="shared" si="79"/>
        <v>0.22222222222222221</v>
      </c>
      <c r="I509" s="2" t="s">
        <v>98</v>
      </c>
      <c r="J509" s="2" t="s">
        <v>689</v>
      </c>
      <c r="K509" s="2" t="s">
        <v>105</v>
      </c>
      <c r="L509" s="2" t="s">
        <v>76</v>
      </c>
      <c r="M509" s="155"/>
      <c r="N509" s="155"/>
      <c r="O509" s="2">
        <v>25</v>
      </c>
      <c r="P509" s="6">
        <v>17</v>
      </c>
      <c r="Q509" s="131">
        <f t="shared" si="80"/>
        <v>17.647058823529413</v>
      </c>
      <c r="R509" s="33">
        <f t="shared" ref="R509:R572" si="84">IFERROR(60*60*8*O509/E509/Q509,"")</f>
        <v>17</v>
      </c>
      <c r="S509" s="132">
        <f t="shared" si="81"/>
        <v>2.125</v>
      </c>
      <c r="T509" s="132">
        <f t="shared" si="82"/>
        <v>2.125</v>
      </c>
      <c r="V509" s="131" t="str">
        <f t="shared" si="83"/>
        <v/>
      </c>
      <c r="W509" s="17"/>
      <c r="X509" s="7"/>
      <c r="Y509" s="161"/>
      <c r="Z509" s="7"/>
      <c r="AA509" s="117"/>
      <c r="AB509" s="117"/>
      <c r="AC509" s="117"/>
      <c r="CH509">
        <v>3</v>
      </c>
      <c r="CI509">
        <v>74</v>
      </c>
    </row>
    <row r="510" spans="1:87" x14ac:dyDescent="0.3">
      <c r="A510" s="2">
        <v>638</v>
      </c>
      <c r="B510" s="2" t="s">
        <v>0</v>
      </c>
      <c r="C510" s="2" t="s">
        <v>1</v>
      </c>
      <c r="D510" s="2" t="s">
        <v>911</v>
      </c>
      <c r="E510" s="2">
        <v>700</v>
      </c>
      <c r="F510" s="2">
        <v>1.6E-2</v>
      </c>
      <c r="G510" s="2">
        <v>1.32E-2</v>
      </c>
      <c r="H510" s="4">
        <f t="shared" si="79"/>
        <v>0.17500000000000002</v>
      </c>
      <c r="I510" s="2" t="s">
        <v>98</v>
      </c>
      <c r="J510" s="2" t="s">
        <v>912</v>
      </c>
      <c r="K510" s="2" t="s">
        <v>105</v>
      </c>
      <c r="L510" s="2" t="s">
        <v>76</v>
      </c>
      <c r="M510" s="155"/>
      <c r="N510" s="155"/>
      <c r="O510" s="2">
        <v>16</v>
      </c>
      <c r="P510" s="6">
        <v>40</v>
      </c>
      <c r="Q510" s="131">
        <f t="shared" si="80"/>
        <v>16.457142857142859</v>
      </c>
      <c r="R510" s="33">
        <f t="shared" si="84"/>
        <v>40</v>
      </c>
      <c r="S510" s="132">
        <f t="shared" si="81"/>
        <v>5</v>
      </c>
      <c r="T510" s="132">
        <f t="shared" si="82"/>
        <v>5</v>
      </c>
      <c r="V510" s="131" t="str">
        <f t="shared" si="83"/>
        <v/>
      </c>
      <c r="W510" s="17"/>
      <c r="X510" s="7"/>
      <c r="Y510" s="161"/>
      <c r="Z510" s="7"/>
      <c r="AA510" s="117"/>
      <c r="AB510" s="117"/>
      <c r="AC510" s="117"/>
      <c r="CH510">
        <v>5</v>
      </c>
      <c r="CI510">
        <v>83</v>
      </c>
    </row>
    <row r="511" spans="1:87" x14ac:dyDescent="0.3">
      <c r="A511" s="2">
        <v>643</v>
      </c>
      <c r="B511" s="2" t="s">
        <v>0</v>
      </c>
      <c r="C511" s="2" t="s">
        <v>1</v>
      </c>
      <c r="D511" s="2" t="s">
        <v>913</v>
      </c>
      <c r="E511" s="2">
        <v>7000</v>
      </c>
      <c r="F511" s="2">
        <v>3.5999999999999999E-3</v>
      </c>
      <c r="G511" s="2">
        <v>2.5999999999999999E-3</v>
      </c>
      <c r="H511" s="4">
        <f t="shared" si="79"/>
        <v>0.27777777777777779</v>
      </c>
      <c r="I511" s="2" t="s">
        <v>98</v>
      </c>
      <c r="J511" s="2" t="s">
        <v>418</v>
      </c>
      <c r="K511" s="2" t="s">
        <v>222</v>
      </c>
      <c r="L511" s="2" t="s">
        <v>76</v>
      </c>
      <c r="M511" s="155"/>
      <c r="N511" s="155"/>
      <c r="O511" s="2">
        <v>60</v>
      </c>
      <c r="P511" s="6">
        <v>7</v>
      </c>
      <c r="Q511" s="131">
        <f t="shared" si="80"/>
        <v>35.265306122448983</v>
      </c>
      <c r="R511" s="33">
        <f t="shared" si="84"/>
        <v>6.9999999999999991</v>
      </c>
      <c r="S511" s="132">
        <f t="shared" si="81"/>
        <v>0.87499999999999989</v>
      </c>
      <c r="T511" s="132">
        <f t="shared" si="82"/>
        <v>0.87499999999999989</v>
      </c>
      <c r="V511" s="131" t="str">
        <f t="shared" si="83"/>
        <v/>
      </c>
      <c r="W511" s="17"/>
      <c r="X511" s="7"/>
      <c r="Y511" s="161"/>
      <c r="Z511" s="7"/>
      <c r="AA511" s="117"/>
      <c r="AB511" s="117"/>
      <c r="AC511" s="117"/>
      <c r="CH511">
        <v>2</v>
      </c>
      <c r="CI511">
        <v>51</v>
      </c>
    </row>
    <row r="512" spans="1:87" x14ac:dyDescent="0.3">
      <c r="A512" s="2">
        <v>644</v>
      </c>
      <c r="B512" s="2" t="s">
        <v>84</v>
      </c>
      <c r="C512" s="2" t="s">
        <v>1</v>
      </c>
      <c r="D512" s="2" t="s">
        <v>914</v>
      </c>
      <c r="E512" s="2">
        <v>850</v>
      </c>
      <c r="F512" s="2">
        <v>7.7999999999999996E-3</v>
      </c>
      <c r="G512" s="2">
        <v>6.3E-3</v>
      </c>
      <c r="H512" s="4">
        <f t="shared" si="79"/>
        <v>0.19230769230769226</v>
      </c>
      <c r="I512" s="2" t="s">
        <v>82</v>
      </c>
      <c r="J512" s="2" t="s">
        <v>600</v>
      </c>
      <c r="K512" s="2" t="s">
        <v>222</v>
      </c>
      <c r="L512" s="2" t="s">
        <v>76</v>
      </c>
      <c r="M512" s="155"/>
      <c r="N512" s="155"/>
      <c r="O512" s="2">
        <v>25</v>
      </c>
      <c r="P512" s="6"/>
      <c r="Q512" s="131" t="str">
        <f t="shared" si="80"/>
        <v/>
      </c>
      <c r="R512" s="33" t="str">
        <f t="shared" si="84"/>
        <v/>
      </c>
      <c r="S512" s="132" t="str">
        <f t="shared" si="81"/>
        <v/>
      </c>
      <c r="T512" s="132" t="str">
        <f t="shared" si="82"/>
        <v/>
      </c>
      <c r="V512" s="131" t="str">
        <f t="shared" si="83"/>
        <v/>
      </c>
      <c r="W512" s="17"/>
      <c r="X512" s="7"/>
      <c r="Y512" s="161"/>
      <c r="Z512" s="7"/>
      <c r="AA512" s="117"/>
      <c r="AB512" s="117"/>
      <c r="AC512" s="117"/>
      <c r="CH512">
        <v>4</v>
      </c>
      <c r="CI512">
        <v>63</v>
      </c>
    </row>
    <row r="513" spans="1:87" x14ac:dyDescent="0.3">
      <c r="A513" s="2">
        <v>646</v>
      </c>
      <c r="B513" s="2" t="s">
        <v>0</v>
      </c>
      <c r="C513" s="2" t="s">
        <v>1</v>
      </c>
      <c r="D513" s="2" t="s">
        <v>915</v>
      </c>
      <c r="E513" s="2">
        <v>2500</v>
      </c>
      <c r="F513" s="2">
        <v>9.7999999999999997E-3</v>
      </c>
      <c r="G513" s="2">
        <v>6.8999999999999999E-3</v>
      </c>
      <c r="H513" s="4">
        <f t="shared" si="79"/>
        <v>0.29591836734693877</v>
      </c>
      <c r="I513" s="2" t="s">
        <v>98</v>
      </c>
      <c r="J513" s="2" t="s">
        <v>670</v>
      </c>
      <c r="K513" s="2" t="s">
        <v>105</v>
      </c>
      <c r="L513" s="2" t="s">
        <v>76</v>
      </c>
      <c r="M513" s="155"/>
      <c r="N513" s="155"/>
      <c r="O513" s="2">
        <v>27</v>
      </c>
      <c r="P513" s="6">
        <v>20</v>
      </c>
      <c r="Q513" s="131">
        <f t="shared" si="80"/>
        <v>15.552000000000001</v>
      </c>
      <c r="R513" s="33">
        <f t="shared" si="84"/>
        <v>20</v>
      </c>
      <c r="S513" s="132">
        <f t="shared" si="81"/>
        <v>2.5</v>
      </c>
      <c r="T513" s="132">
        <f t="shared" si="82"/>
        <v>2.5</v>
      </c>
      <c r="V513" s="131" t="str">
        <f t="shared" si="83"/>
        <v/>
      </c>
      <c r="W513" s="17"/>
      <c r="X513" s="7"/>
      <c r="Y513" s="161"/>
      <c r="Z513" s="7"/>
      <c r="AA513" s="117"/>
      <c r="AB513" s="117"/>
      <c r="AC513" s="117"/>
      <c r="CH513">
        <v>2</v>
      </c>
      <c r="CI513">
        <v>55</v>
      </c>
    </row>
    <row r="514" spans="1:87" x14ac:dyDescent="0.3">
      <c r="A514" s="2">
        <v>651</v>
      </c>
      <c r="B514" s="2" t="s">
        <v>0</v>
      </c>
      <c r="C514" s="2" t="s">
        <v>1</v>
      </c>
      <c r="D514" s="2" t="s">
        <v>916</v>
      </c>
      <c r="E514" s="2">
        <v>35</v>
      </c>
      <c r="F514" s="2">
        <v>0.30859999999999999</v>
      </c>
      <c r="G514" s="2">
        <v>0.21</v>
      </c>
      <c r="H514" s="4">
        <f t="shared" si="79"/>
        <v>0.31950745301360983</v>
      </c>
      <c r="I514" s="2" t="s">
        <v>98</v>
      </c>
      <c r="J514" s="2" t="s">
        <v>917</v>
      </c>
      <c r="K514" s="2" t="s">
        <v>222</v>
      </c>
      <c r="L514" s="2" t="s">
        <v>76</v>
      </c>
      <c r="M514" s="155"/>
      <c r="N514" s="155"/>
      <c r="O514" s="2">
        <v>2</v>
      </c>
      <c r="P514" s="6">
        <v>40</v>
      </c>
      <c r="Q514" s="131">
        <f t="shared" si="80"/>
        <v>41.142857142857146</v>
      </c>
      <c r="R514" s="33">
        <f t="shared" si="84"/>
        <v>40</v>
      </c>
      <c r="S514" s="132">
        <f t="shared" si="81"/>
        <v>5</v>
      </c>
      <c r="T514" s="132">
        <f t="shared" si="82"/>
        <v>5</v>
      </c>
      <c r="V514" s="131" t="str">
        <f t="shared" si="83"/>
        <v/>
      </c>
      <c r="W514" s="17"/>
      <c r="X514" s="7"/>
      <c r="Y514" s="161"/>
      <c r="Z514" s="7"/>
      <c r="AA514" s="117"/>
      <c r="AB514" s="117"/>
      <c r="AC514" s="117"/>
      <c r="CH514">
        <v>4</v>
      </c>
      <c r="CI514">
        <v>36</v>
      </c>
    </row>
    <row r="515" spans="1:87" x14ac:dyDescent="0.3">
      <c r="A515" s="2">
        <v>652</v>
      </c>
      <c r="B515" s="2" t="s">
        <v>0</v>
      </c>
      <c r="C515" s="2" t="s">
        <v>1</v>
      </c>
      <c r="D515" s="2" t="s">
        <v>918</v>
      </c>
      <c r="E515" s="2">
        <v>105</v>
      </c>
      <c r="F515" s="2">
        <v>0.14949999999999999</v>
      </c>
      <c r="G515" s="2">
        <v>0.1235</v>
      </c>
      <c r="H515" s="4">
        <f t="shared" si="79"/>
        <v>0.17391304347826084</v>
      </c>
      <c r="I515" s="2" t="s">
        <v>82</v>
      </c>
      <c r="J515" s="2" t="s">
        <v>579</v>
      </c>
      <c r="K515" s="2" t="s">
        <v>222</v>
      </c>
      <c r="L515" s="2" t="s">
        <v>76</v>
      </c>
      <c r="M515" s="155"/>
      <c r="N515" s="155"/>
      <c r="O515" s="2">
        <v>2</v>
      </c>
      <c r="P515" s="6">
        <v>20</v>
      </c>
      <c r="Q515" s="131">
        <f t="shared" si="80"/>
        <v>27.428571428571427</v>
      </c>
      <c r="R515" s="33">
        <f t="shared" si="84"/>
        <v>20</v>
      </c>
      <c r="S515" s="132">
        <f t="shared" si="81"/>
        <v>2.5</v>
      </c>
      <c r="T515" s="132">
        <f t="shared" si="82"/>
        <v>2.5</v>
      </c>
      <c r="V515" s="131" t="str">
        <f t="shared" si="83"/>
        <v/>
      </c>
      <c r="W515" s="17"/>
      <c r="X515" s="7"/>
      <c r="Y515" s="161"/>
      <c r="Z515" s="7"/>
      <c r="AA515" s="117"/>
      <c r="AB515" s="117"/>
      <c r="AC515" s="117"/>
      <c r="CH515">
        <v>1</v>
      </c>
      <c r="CI515">
        <v>82</v>
      </c>
    </row>
    <row r="516" spans="1:87" x14ac:dyDescent="0.3">
      <c r="A516" s="2">
        <v>658</v>
      </c>
      <c r="B516" s="2" t="s">
        <v>84</v>
      </c>
      <c r="C516" s="2" t="s">
        <v>1</v>
      </c>
      <c r="D516" s="2" t="s">
        <v>919</v>
      </c>
      <c r="E516" s="2">
        <v>1800</v>
      </c>
      <c r="F516" s="2">
        <v>1.2500000000000001E-2</v>
      </c>
      <c r="G516" s="2">
        <v>1.04E-2</v>
      </c>
      <c r="H516" s="4">
        <f t="shared" si="79"/>
        <v>0.16800000000000009</v>
      </c>
      <c r="I516" s="2" t="s">
        <v>98</v>
      </c>
      <c r="J516" s="2" t="s">
        <v>412</v>
      </c>
      <c r="K516" s="2" t="s">
        <v>105</v>
      </c>
      <c r="L516" s="2" t="s">
        <v>76</v>
      </c>
      <c r="M516" s="155"/>
      <c r="N516" s="155"/>
      <c r="O516" s="2">
        <v>24</v>
      </c>
      <c r="P516" s="6">
        <v>14</v>
      </c>
      <c r="Q516" s="131">
        <f t="shared" si="80"/>
        <v>27.428571428571427</v>
      </c>
      <c r="R516" s="33">
        <f t="shared" si="84"/>
        <v>14</v>
      </c>
      <c r="S516" s="132">
        <f t="shared" si="81"/>
        <v>1.75</v>
      </c>
      <c r="T516" s="132">
        <f t="shared" si="82"/>
        <v>1.75</v>
      </c>
      <c r="V516" s="131" t="str">
        <f t="shared" si="83"/>
        <v/>
      </c>
      <c r="W516" s="17"/>
      <c r="X516" s="7"/>
      <c r="Y516" s="161"/>
      <c r="Z516" s="7"/>
      <c r="AA516" s="117"/>
      <c r="AB516" s="117"/>
      <c r="AC516" s="117"/>
      <c r="CH516">
        <v>2</v>
      </c>
      <c r="CI516">
        <v>79</v>
      </c>
    </row>
    <row r="517" spans="1:87" x14ac:dyDescent="0.3">
      <c r="A517" s="2">
        <v>659</v>
      </c>
      <c r="B517" s="2" t="s">
        <v>84</v>
      </c>
      <c r="C517" s="2" t="s">
        <v>1</v>
      </c>
      <c r="D517" s="2" t="s">
        <v>920</v>
      </c>
      <c r="E517" s="2">
        <v>1800</v>
      </c>
      <c r="F517" s="2">
        <v>1.24E-2</v>
      </c>
      <c r="G517" s="2">
        <v>1.04E-2</v>
      </c>
      <c r="H517" s="4">
        <f t="shared" si="79"/>
        <v>0.16129032258064516</v>
      </c>
      <c r="I517" s="2" t="s">
        <v>98</v>
      </c>
      <c r="J517" s="2" t="s">
        <v>412</v>
      </c>
      <c r="K517" s="2" t="s">
        <v>105</v>
      </c>
      <c r="L517" s="2" t="s">
        <v>76</v>
      </c>
      <c r="M517" s="155"/>
      <c r="N517" s="155"/>
      <c r="O517" s="2">
        <v>24</v>
      </c>
      <c r="P517" s="6">
        <v>14</v>
      </c>
      <c r="Q517" s="131">
        <f t="shared" si="80"/>
        <v>27.428571428571427</v>
      </c>
      <c r="R517" s="33">
        <f t="shared" si="84"/>
        <v>14</v>
      </c>
      <c r="S517" s="132">
        <f t="shared" si="81"/>
        <v>1.75</v>
      </c>
      <c r="T517" s="132">
        <f t="shared" si="82"/>
        <v>1.75</v>
      </c>
      <c r="V517" s="131" t="str">
        <f t="shared" si="83"/>
        <v/>
      </c>
      <c r="W517" s="17"/>
      <c r="X517" s="7"/>
      <c r="Y517" s="161"/>
      <c r="Z517" s="7"/>
      <c r="AA517" s="117"/>
      <c r="AB517" s="117"/>
      <c r="AC517" s="117"/>
      <c r="CH517">
        <v>5</v>
      </c>
      <c r="CI517">
        <v>52</v>
      </c>
    </row>
    <row r="518" spans="1:87" x14ac:dyDescent="0.3">
      <c r="A518" s="2">
        <v>660</v>
      </c>
      <c r="B518" s="2" t="s">
        <v>84</v>
      </c>
      <c r="C518" s="2" t="s">
        <v>1</v>
      </c>
      <c r="D518" s="2" t="s">
        <v>921</v>
      </c>
      <c r="E518" s="2">
        <v>1300</v>
      </c>
      <c r="F518" s="2">
        <v>1.6400000000000001E-2</v>
      </c>
      <c r="G518" s="2">
        <v>1.2500000000000001E-2</v>
      </c>
      <c r="H518" s="4">
        <f t="shared" si="79"/>
        <v>0.2378048780487805</v>
      </c>
      <c r="I518" s="2" t="s">
        <v>98</v>
      </c>
      <c r="J518" s="2" t="s">
        <v>594</v>
      </c>
      <c r="K518" s="2"/>
      <c r="L518" s="2"/>
      <c r="M518" s="155"/>
      <c r="N518" s="155"/>
      <c r="O518" s="2">
        <v>24</v>
      </c>
      <c r="P518" s="6">
        <v>15</v>
      </c>
      <c r="Q518" s="131">
        <f t="shared" si="80"/>
        <v>35.446153846153848</v>
      </c>
      <c r="R518" s="33">
        <f t="shared" si="84"/>
        <v>15</v>
      </c>
      <c r="S518" s="132">
        <f t="shared" si="81"/>
        <v>1.875</v>
      </c>
      <c r="T518" s="132">
        <f t="shared" si="82"/>
        <v>1.875</v>
      </c>
      <c r="V518" s="131" t="str">
        <f t="shared" si="83"/>
        <v/>
      </c>
      <c r="W518" s="17"/>
      <c r="X518" s="7"/>
      <c r="Y518" s="161"/>
      <c r="Z518" s="7"/>
      <c r="AA518" s="117"/>
      <c r="AB518" s="117"/>
      <c r="AC518" s="117"/>
      <c r="CH518">
        <v>6</v>
      </c>
      <c r="CI518">
        <v>40</v>
      </c>
    </row>
    <row r="519" spans="1:87" x14ac:dyDescent="0.3">
      <c r="A519" s="2">
        <v>661</v>
      </c>
      <c r="B519" s="2" t="s">
        <v>84</v>
      </c>
      <c r="C519" s="2" t="s">
        <v>1</v>
      </c>
      <c r="D519" s="2" t="s">
        <v>922</v>
      </c>
      <c r="E519" s="2">
        <v>1800</v>
      </c>
      <c r="F519" s="2">
        <v>1.24E-2</v>
      </c>
      <c r="G519" s="2">
        <v>1.04E-2</v>
      </c>
      <c r="H519" s="4">
        <f t="shared" si="79"/>
        <v>0.16129032258064516</v>
      </c>
      <c r="I519" s="2" t="s">
        <v>98</v>
      </c>
      <c r="J519" s="2" t="s">
        <v>412</v>
      </c>
      <c r="K519" s="2" t="s">
        <v>105</v>
      </c>
      <c r="L519" s="2" t="s">
        <v>76</v>
      </c>
      <c r="M519" s="155"/>
      <c r="N519" s="155"/>
      <c r="O519" s="2">
        <v>24</v>
      </c>
      <c r="P519" s="6">
        <v>14</v>
      </c>
      <c r="Q519" s="131">
        <f t="shared" si="80"/>
        <v>27.428571428571427</v>
      </c>
      <c r="R519" s="33">
        <f t="shared" si="84"/>
        <v>14</v>
      </c>
      <c r="S519" s="132">
        <f t="shared" si="81"/>
        <v>1.75</v>
      </c>
      <c r="T519" s="132">
        <f t="shared" si="82"/>
        <v>1.75</v>
      </c>
      <c r="V519" s="131" t="str">
        <f t="shared" si="83"/>
        <v/>
      </c>
      <c r="W519" s="17"/>
      <c r="X519" s="7"/>
      <c r="Y519" s="161"/>
      <c r="Z519" s="7"/>
      <c r="AA519" s="117"/>
      <c r="AB519" s="117"/>
      <c r="AC519" s="117"/>
      <c r="CH519">
        <v>1</v>
      </c>
      <c r="CI519">
        <v>36</v>
      </c>
    </row>
    <row r="520" spans="1:87" x14ac:dyDescent="0.3">
      <c r="A520" s="2">
        <v>662</v>
      </c>
      <c r="B520" s="2" t="s">
        <v>84</v>
      </c>
      <c r="C520" s="2" t="s">
        <v>1</v>
      </c>
      <c r="D520" s="2" t="s">
        <v>923</v>
      </c>
      <c r="E520" s="2">
        <v>1700</v>
      </c>
      <c r="F520" s="2">
        <v>1.24E-2</v>
      </c>
      <c r="G520" s="2">
        <v>1.04E-2</v>
      </c>
      <c r="H520" s="4">
        <f t="shared" si="79"/>
        <v>0.16129032258064516</v>
      </c>
      <c r="I520" s="2" t="s">
        <v>98</v>
      </c>
      <c r="J520" s="2" t="s">
        <v>412</v>
      </c>
      <c r="K520" s="2" t="s">
        <v>105</v>
      </c>
      <c r="L520" s="2" t="s">
        <v>76</v>
      </c>
      <c r="M520" s="155"/>
      <c r="N520" s="155"/>
      <c r="O520" s="2">
        <v>20</v>
      </c>
      <c r="P520" s="6">
        <v>28</v>
      </c>
      <c r="Q520" s="131">
        <f t="shared" si="80"/>
        <v>12.100840336134453</v>
      </c>
      <c r="R520" s="33">
        <f t="shared" si="84"/>
        <v>28</v>
      </c>
      <c r="S520" s="132">
        <f t="shared" si="81"/>
        <v>3.5</v>
      </c>
      <c r="T520" s="132">
        <f t="shared" si="82"/>
        <v>3.5</v>
      </c>
      <c r="V520" s="131" t="str">
        <f t="shared" si="83"/>
        <v/>
      </c>
      <c r="W520" s="17"/>
      <c r="X520" s="7"/>
      <c r="Y520" s="161"/>
      <c r="Z520" s="7"/>
      <c r="AA520" s="117"/>
      <c r="AB520" s="117"/>
      <c r="AC520" s="117"/>
      <c r="CH520">
        <v>6</v>
      </c>
      <c r="CI520">
        <v>53</v>
      </c>
    </row>
    <row r="521" spans="1:87" x14ac:dyDescent="0.3">
      <c r="A521" s="2">
        <v>663</v>
      </c>
      <c r="B521" s="2" t="s">
        <v>84</v>
      </c>
      <c r="C521" s="2" t="s">
        <v>1</v>
      </c>
      <c r="D521" s="2" t="s">
        <v>924</v>
      </c>
      <c r="E521" s="2">
        <v>2000</v>
      </c>
      <c r="F521" s="2">
        <v>1.2200000000000001E-2</v>
      </c>
      <c r="G521" s="2">
        <v>1.04E-2</v>
      </c>
      <c r="H521" s="4">
        <f t="shared" si="79"/>
        <v>0.14754098360655746</v>
      </c>
      <c r="I521" s="2" t="s">
        <v>98</v>
      </c>
      <c r="J521" s="2" t="s">
        <v>412</v>
      </c>
      <c r="K521" s="2" t="s">
        <v>105</v>
      </c>
      <c r="L521" s="2" t="s">
        <v>76</v>
      </c>
      <c r="M521" s="155"/>
      <c r="N521" s="155"/>
      <c r="O521" s="2">
        <v>24</v>
      </c>
      <c r="P521" s="6"/>
      <c r="Q521" s="131" t="str">
        <f t="shared" si="80"/>
        <v/>
      </c>
      <c r="R521" s="33" t="str">
        <f t="shared" si="84"/>
        <v/>
      </c>
      <c r="S521" s="132" t="str">
        <f t="shared" si="81"/>
        <v/>
      </c>
      <c r="T521" s="132" t="str">
        <f t="shared" si="82"/>
        <v/>
      </c>
      <c r="V521" s="131" t="str">
        <f t="shared" si="83"/>
        <v/>
      </c>
      <c r="W521" s="17"/>
      <c r="X521" s="7"/>
      <c r="Y521" s="161"/>
      <c r="Z521" s="7"/>
      <c r="AA521" s="117"/>
      <c r="AB521" s="117"/>
      <c r="AC521" s="117"/>
      <c r="CH521">
        <v>2</v>
      </c>
      <c r="CI521">
        <v>62</v>
      </c>
    </row>
    <row r="522" spans="1:87" x14ac:dyDescent="0.3">
      <c r="A522" s="2">
        <v>671</v>
      </c>
      <c r="B522" s="2" t="s">
        <v>0</v>
      </c>
      <c r="C522" s="2" t="s">
        <v>1</v>
      </c>
      <c r="D522" s="2" t="s">
        <v>925</v>
      </c>
      <c r="E522" s="2">
        <v>4000</v>
      </c>
      <c r="F522" s="2">
        <v>5.7000000000000002E-3</v>
      </c>
      <c r="G522" s="2">
        <v>4.0000000000000001E-3</v>
      </c>
      <c r="H522" s="4">
        <f t="shared" si="79"/>
        <v>0.2982456140350877</v>
      </c>
      <c r="I522" s="2" t="s">
        <v>98</v>
      </c>
      <c r="J522" s="2" t="s">
        <v>393</v>
      </c>
      <c r="K522" s="2" t="s">
        <v>105</v>
      </c>
      <c r="L522" s="2" t="s">
        <v>76</v>
      </c>
      <c r="M522" s="155"/>
      <c r="N522" s="155"/>
      <c r="O522" s="2">
        <v>27</v>
      </c>
      <c r="P522" s="6">
        <v>20</v>
      </c>
      <c r="Q522" s="131">
        <f t="shared" si="80"/>
        <v>9.7200000000000006</v>
      </c>
      <c r="R522" s="33">
        <f t="shared" si="84"/>
        <v>20</v>
      </c>
      <c r="S522" s="132">
        <f t="shared" si="81"/>
        <v>2.5</v>
      </c>
      <c r="T522" s="132">
        <f t="shared" si="82"/>
        <v>2.5</v>
      </c>
      <c r="V522" s="131" t="str">
        <f t="shared" si="83"/>
        <v/>
      </c>
      <c r="W522" s="17"/>
      <c r="X522" s="7"/>
      <c r="Y522" s="161"/>
      <c r="Z522" s="7"/>
      <c r="AA522" s="117"/>
      <c r="AB522" s="117"/>
      <c r="AC522" s="117"/>
      <c r="CH522">
        <v>2</v>
      </c>
      <c r="CI522">
        <v>52</v>
      </c>
    </row>
    <row r="523" spans="1:87" x14ac:dyDescent="0.3">
      <c r="A523" s="2">
        <v>672</v>
      </c>
      <c r="B523" s="2" t="s">
        <v>0</v>
      </c>
      <c r="C523" s="2" t="s">
        <v>1</v>
      </c>
      <c r="D523" s="2" t="s">
        <v>926</v>
      </c>
      <c r="E523" s="2">
        <v>2000</v>
      </c>
      <c r="F523" s="2">
        <v>9.9000000000000008E-3</v>
      </c>
      <c r="G523" s="2">
        <v>7.0000000000000001E-3</v>
      </c>
      <c r="H523" s="4">
        <f t="shared" si="79"/>
        <v>0.29292929292929298</v>
      </c>
      <c r="I523" s="2" t="s">
        <v>98</v>
      </c>
      <c r="J523" s="2" t="s">
        <v>99</v>
      </c>
      <c r="K523" s="2" t="s">
        <v>105</v>
      </c>
      <c r="L523" s="2" t="s">
        <v>76</v>
      </c>
      <c r="M523" s="155"/>
      <c r="N523" s="155"/>
      <c r="O523" s="2">
        <v>27</v>
      </c>
      <c r="P523" s="6">
        <v>20</v>
      </c>
      <c r="Q523" s="131">
        <f t="shared" si="80"/>
        <v>19.440000000000001</v>
      </c>
      <c r="R523" s="33">
        <f t="shared" si="84"/>
        <v>20</v>
      </c>
      <c r="S523" s="132">
        <f t="shared" si="81"/>
        <v>2.5</v>
      </c>
      <c r="T523" s="132">
        <f t="shared" si="82"/>
        <v>2.5</v>
      </c>
      <c r="V523" s="131" t="str">
        <f t="shared" si="83"/>
        <v/>
      </c>
      <c r="W523" s="17"/>
      <c r="X523" s="7"/>
      <c r="Y523" s="161"/>
      <c r="Z523" s="7"/>
      <c r="AA523" s="117"/>
      <c r="AB523" s="117"/>
      <c r="AC523" s="117"/>
      <c r="CH523">
        <v>6</v>
      </c>
      <c r="CI523">
        <v>61</v>
      </c>
    </row>
    <row r="524" spans="1:87" x14ac:dyDescent="0.3">
      <c r="A524" s="23">
        <v>673</v>
      </c>
      <c r="B524" s="2" t="s">
        <v>0</v>
      </c>
      <c r="C524" s="2" t="s">
        <v>1</v>
      </c>
      <c r="D524" s="2" t="s">
        <v>927</v>
      </c>
      <c r="E524" s="2">
        <v>2000</v>
      </c>
      <c r="F524" s="2">
        <v>8.6E-3</v>
      </c>
      <c r="G524" s="2">
        <v>6.6E-3</v>
      </c>
      <c r="H524" s="4">
        <f t="shared" si="79"/>
        <v>0.23255813953488372</v>
      </c>
      <c r="I524" s="2" t="s">
        <v>82</v>
      </c>
      <c r="J524" s="2" t="s">
        <v>107</v>
      </c>
      <c r="K524" s="2" t="s">
        <v>105</v>
      </c>
      <c r="L524" s="2" t="s">
        <v>76</v>
      </c>
      <c r="M524" s="155"/>
      <c r="N524" s="155"/>
      <c r="O524" s="2">
        <v>27</v>
      </c>
      <c r="P524" s="6">
        <v>20</v>
      </c>
      <c r="Q524" s="131">
        <f t="shared" si="80"/>
        <v>19.440000000000001</v>
      </c>
      <c r="R524" s="33">
        <f t="shared" si="84"/>
        <v>20</v>
      </c>
      <c r="S524" s="132">
        <f t="shared" si="81"/>
        <v>2.5</v>
      </c>
      <c r="T524" s="132">
        <f t="shared" si="82"/>
        <v>2.5</v>
      </c>
      <c r="V524" s="131">
        <f t="shared" si="83"/>
        <v>10.231578947368421</v>
      </c>
      <c r="W524" s="17">
        <v>38</v>
      </c>
      <c r="X524" s="8">
        <f>60*60*8/W524</f>
        <v>757.89473684210532</v>
      </c>
      <c r="Y524" s="161">
        <v>45323</v>
      </c>
      <c r="Z524" s="7" t="s">
        <v>704</v>
      </c>
      <c r="AA524" s="117"/>
      <c r="AB524" s="117"/>
      <c r="AC524" s="117"/>
      <c r="CH524">
        <v>4</v>
      </c>
      <c r="CI524">
        <v>52</v>
      </c>
    </row>
    <row r="525" spans="1:87" x14ac:dyDescent="0.3">
      <c r="A525" s="2">
        <v>675</v>
      </c>
      <c r="B525" s="2" t="s">
        <v>0</v>
      </c>
      <c r="C525" s="2" t="s">
        <v>1</v>
      </c>
      <c r="D525" s="2" t="s">
        <v>928</v>
      </c>
      <c r="E525" s="2">
        <v>2000</v>
      </c>
      <c r="F525" s="2">
        <v>1.0800000000000001E-2</v>
      </c>
      <c r="G525" s="2">
        <v>9.4000000000000004E-3</v>
      </c>
      <c r="H525" s="4">
        <f t="shared" si="79"/>
        <v>0.12962962962962965</v>
      </c>
      <c r="I525" s="2" t="s">
        <v>98</v>
      </c>
      <c r="J525" s="2" t="s">
        <v>393</v>
      </c>
      <c r="K525" s="2" t="s">
        <v>105</v>
      </c>
      <c r="L525" s="2" t="s">
        <v>76</v>
      </c>
      <c r="M525" s="155"/>
      <c r="N525" s="155"/>
      <c r="O525" s="2">
        <v>15</v>
      </c>
      <c r="P525" s="6">
        <v>20</v>
      </c>
      <c r="Q525" s="131">
        <f t="shared" si="80"/>
        <v>10.8</v>
      </c>
      <c r="R525" s="33">
        <f t="shared" si="84"/>
        <v>20</v>
      </c>
      <c r="S525" s="132">
        <f t="shared" si="81"/>
        <v>2.5</v>
      </c>
      <c r="T525" s="132">
        <f t="shared" si="82"/>
        <v>2.5</v>
      </c>
      <c r="V525" s="131" t="str">
        <f t="shared" si="83"/>
        <v/>
      </c>
      <c r="W525" s="17"/>
      <c r="X525" s="7"/>
      <c r="Y525" s="161"/>
      <c r="Z525" s="7"/>
      <c r="AA525" s="117"/>
      <c r="AB525" s="117"/>
      <c r="AC525" s="117"/>
      <c r="CH525">
        <v>1</v>
      </c>
      <c r="CI525">
        <v>30</v>
      </c>
    </row>
    <row r="526" spans="1:87" x14ac:dyDescent="0.3">
      <c r="A526" s="2">
        <v>676</v>
      </c>
      <c r="B526" s="2" t="s">
        <v>84</v>
      </c>
      <c r="C526" s="2" t="s">
        <v>1</v>
      </c>
      <c r="D526" s="2" t="s">
        <v>929</v>
      </c>
      <c r="E526" s="2">
        <v>2000</v>
      </c>
      <c r="F526" s="2">
        <v>1.03E-2</v>
      </c>
      <c r="G526" s="2">
        <v>7.9000000000000008E-3</v>
      </c>
      <c r="H526" s="4">
        <f t="shared" si="79"/>
        <v>0.233009708737864</v>
      </c>
      <c r="I526" s="2" t="s">
        <v>82</v>
      </c>
      <c r="J526" s="2" t="s">
        <v>930</v>
      </c>
      <c r="K526" s="2" t="s">
        <v>105</v>
      </c>
      <c r="L526" s="2" t="s">
        <v>76</v>
      </c>
      <c r="M526" s="155"/>
      <c r="N526" s="155"/>
      <c r="O526" s="2">
        <v>27</v>
      </c>
      <c r="P526" s="6"/>
      <c r="Q526" s="131" t="str">
        <f t="shared" si="80"/>
        <v/>
      </c>
      <c r="R526" s="33" t="str">
        <f t="shared" si="84"/>
        <v/>
      </c>
      <c r="S526" s="132" t="str">
        <f t="shared" si="81"/>
        <v/>
      </c>
      <c r="T526" s="132" t="str">
        <f t="shared" si="82"/>
        <v/>
      </c>
      <c r="V526" s="131" t="str">
        <f t="shared" si="83"/>
        <v/>
      </c>
      <c r="W526" s="17"/>
      <c r="X526" s="7"/>
      <c r="Y526" s="161"/>
      <c r="Z526" s="7"/>
      <c r="AA526" s="117"/>
      <c r="AB526" s="117"/>
      <c r="AC526" s="117"/>
      <c r="CH526">
        <v>4</v>
      </c>
      <c r="CI526">
        <v>71</v>
      </c>
    </row>
    <row r="527" spans="1:87" x14ac:dyDescent="0.3">
      <c r="A527" s="2">
        <v>677</v>
      </c>
      <c r="B527" s="2" t="s">
        <v>0</v>
      </c>
      <c r="C527" s="2" t="s">
        <v>1</v>
      </c>
      <c r="D527" s="2" t="s">
        <v>931</v>
      </c>
      <c r="E527" s="2">
        <v>3000</v>
      </c>
      <c r="F527" s="2">
        <v>6.7000000000000002E-3</v>
      </c>
      <c r="G527" s="2">
        <v>5.7999999999999996E-3</v>
      </c>
      <c r="H527" s="4">
        <f t="shared" si="79"/>
        <v>0.13432835820895531</v>
      </c>
      <c r="I527" s="2" t="s">
        <v>98</v>
      </c>
      <c r="J527" s="2" t="s">
        <v>575</v>
      </c>
      <c r="K527" s="2" t="s">
        <v>222</v>
      </c>
      <c r="L527" s="2" t="s">
        <v>76</v>
      </c>
      <c r="M527" s="155"/>
      <c r="N527" s="155"/>
      <c r="O527" s="2">
        <v>25</v>
      </c>
      <c r="P527" s="6">
        <v>20</v>
      </c>
      <c r="Q527" s="131">
        <f t="shared" si="80"/>
        <v>12</v>
      </c>
      <c r="R527" s="33">
        <f t="shared" si="84"/>
        <v>20</v>
      </c>
      <c r="S527" s="132">
        <f t="shared" si="81"/>
        <v>2.5</v>
      </c>
      <c r="T527" s="132">
        <f t="shared" si="82"/>
        <v>2.5</v>
      </c>
      <c r="V527" s="131" t="str">
        <f t="shared" si="83"/>
        <v/>
      </c>
      <c r="W527" s="17"/>
      <c r="X527" s="7"/>
      <c r="Y527" s="161"/>
      <c r="Z527" s="7"/>
      <c r="AA527" s="117"/>
      <c r="AB527" s="117"/>
      <c r="AC527" s="117"/>
      <c r="CH527">
        <v>6</v>
      </c>
      <c r="CI527">
        <v>75</v>
      </c>
    </row>
    <row r="528" spans="1:87" x14ac:dyDescent="0.3">
      <c r="A528" s="2">
        <v>678</v>
      </c>
      <c r="B528" s="2" t="s">
        <v>0</v>
      </c>
      <c r="C528" s="2" t="s">
        <v>1</v>
      </c>
      <c r="D528" s="2" t="s">
        <v>932</v>
      </c>
      <c r="E528" s="2">
        <v>3000</v>
      </c>
      <c r="F528" s="2">
        <v>6.7000000000000002E-3</v>
      </c>
      <c r="G528" s="2">
        <v>5.7999999999999996E-3</v>
      </c>
      <c r="H528" s="4">
        <f t="shared" si="79"/>
        <v>0.13432835820895531</v>
      </c>
      <c r="I528" s="2" t="s">
        <v>98</v>
      </c>
      <c r="J528" s="2" t="s">
        <v>575</v>
      </c>
      <c r="K528" s="2" t="s">
        <v>222</v>
      </c>
      <c r="L528" s="2" t="s">
        <v>76</v>
      </c>
      <c r="M528" s="155"/>
      <c r="N528" s="155"/>
      <c r="O528" s="2">
        <v>25</v>
      </c>
      <c r="P528" s="6">
        <v>18</v>
      </c>
      <c r="Q528" s="131">
        <f t="shared" si="80"/>
        <v>13.333333333333334</v>
      </c>
      <c r="R528" s="33">
        <f t="shared" si="84"/>
        <v>18</v>
      </c>
      <c r="S528" s="132">
        <f t="shared" si="81"/>
        <v>2.25</v>
      </c>
      <c r="T528" s="132">
        <f t="shared" si="82"/>
        <v>2.25</v>
      </c>
      <c r="V528" s="131" t="str">
        <f t="shared" si="83"/>
        <v/>
      </c>
      <c r="W528" s="17"/>
      <c r="X528" s="7"/>
      <c r="Y528" s="161"/>
      <c r="Z528" s="7"/>
      <c r="AA528" s="117"/>
      <c r="AB528" s="117"/>
      <c r="AC528" s="117"/>
      <c r="CH528">
        <v>2</v>
      </c>
      <c r="CI528">
        <v>89</v>
      </c>
    </row>
    <row r="529" spans="1:87" x14ac:dyDescent="0.3">
      <c r="A529" s="2">
        <v>679</v>
      </c>
      <c r="B529" s="2" t="s">
        <v>0</v>
      </c>
      <c r="C529" s="2" t="s">
        <v>1</v>
      </c>
      <c r="D529" s="2" t="s">
        <v>933</v>
      </c>
      <c r="E529" s="2">
        <v>1800</v>
      </c>
      <c r="F529" s="2">
        <v>1.1599999999999999E-2</v>
      </c>
      <c r="G529" s="2">
        <v>1.01E-2</v>
      </c>
      <c r="H529" s="4">
        <f t="shared" si="79"/>
        <v>0.12931034482758619</v>
      </c>
      <c r="I529" s="2" t="s">
        <v>98</v>
      </c>
      <c r="J529" s="2" t="s">
        <v>683</v>
      </c>
      <c r="K529" s="2" t="s">
        <v>105</v>
      </c>
      <c r="L529" s="2" t="s">
        <v>76</v>
      </c>
      <c r="M529" s="155"/>
      <c r="N529" s="155"/>
      <c r="O529" s="2">
        <v>25</v>
      </c>
      <c r="P529" s="6">
        <v>26</v>
      </c>
      <c r="Q529" s="131">
        <f t="shared" si="80"/>
        <v>15.384615384615385</v>
      </c>
      <c r="R529" s="33">
        <f t="shared" si="84"/>
        <v>26</v>
      </c>
      <c r="S529" s="132">
        <f t="shared" si="81"/>
        <v>3.25</v>
      </c>
      <c r="T529" s="132">
        <f t="shared" si="82"/>
        <v>3.25</v>
      </c>
      <c r="V529" s="131" t="str">
        <f t="shared" si="83"/>
        <v/>
      </c>
      <c r="W529" s="17"/>
      <c r="X529" s="7"/>
      <c r="Y529" s="161"/>
      <c r="Z529" s="7"/>
      <c r="AA529" s="117"/>
      <c r="AB529" s="117"/>
      <c r="AC529" s="117"/>
      <c r="CH529">
        <v>4</v>
      </c>
      <c r="CI529">
        <v>66</v>
      </c>
    </row>
    <row r="530" spans="1:87" x14ac:dyDescent="0.3">
      <c r="A530" s="2">
        <v>681</v>
      </c>
      <c r="B530" s="2" t="s">
        <v>0</v>
      </c>
      <c r="C530" s="2" t="s">
        <v>1</v>
      </c>
      <c r="D530" s="2" t="s">
        <v>934</v>
      </c>
      <c r="E530" s="2">
        <v>1350</v>
      </c>
      <c r="F530" s="2">
        <v>1.06E-2</v>
      </c>
      <c r="G530" s="2">
        <v>7.1000000000000004E-3</v>
      </c>
      <c r="H530" s="4">
        <f t="shared" si="79"/>
        <v>0.330188679245283</v>
      </c>
      <c r="I530" s="2" t="s">
        <v>98</v>
      </c>
      <c r="J530" s="2" t="s">
        <v>935</v>
      </c>
      <c r="K530" s="2" t="s">
        <v>105</v>
      </c>
      <c r="L530" s="2" t="s">
        <v>76</v>
      </c>
      <c r="M530" s="155"/>
      <c r="N530" s="155"/>
      <c r="O530" s="2">
        <v>24</v>
      </c>
      <c r="P530" s="6">
        <v>8</v>
      </c>
      <c r="Q530" s="131">
        <f t="shared" si="80"/>
        <v>64</v>
      </c>
      <c r="R530" s="33">
        <f t="shared" si="84"/>
        <v>8</v>
      </c>
      <c r="S530" s="132">
        <f t="shared" si="81"/>
        <v>1</v>
      </c>
      <c r="T530" s="132">
        <f t="shared" si="82"/>
        <v>1</v>
      </c>
      <c r="V530" s="131" t="str">
        <f t="shared" si="83"/>
        <v/>
      </c>
      <c r="W530" s="17"/>
      <c r="X530" s="7"/>
      <c r="Y530" s="161"/>
      <c r="Z530" s="7"/>
      <c r="AA530" s="117"/>
      <c r="AB530" s="117"/>
      <c r="AC530" s="117"/>
      <c r="CH530">
        <v>5</v>
      </c>
      <c r="CI530">
        <v>89</v>
      </c>
    </row>
    <row r="531" spans="1:87" x14ac:dyDescent="0.3">
      <c r="A531" s="2">
        <v>682</v>
      </c>
      <c r="B531" s="2" t="s">
        <v>0</v>
      </c>
      <c r="C531" s="2" t="s">
        <v>1</v>
      </c>
      <c r="D531" s="2" t="s">
        <v>936</v>
      </c>
      <c r="E531" s="2">
        <v>1000</v>
      </c>
      <c r="F531" s="2">
        <v>1.06E-2</v>
      </c>
      <c r="G531" s="2">
        <v>7.1000000000000004E-3</v>
      </c>
      <c r="H531" s="4">
        <f t="shared" si="79"/>
        <v>0.330188679245283</v>
      </c>
      <c r="I531" s="2" t="s">
        <v>98</v>
      </c>
      <c r="J531" s="2" t="s">
        <v>935</v>
      </c>
      <c r="K531" s="2" t="s">
        <v>5</v>
      </c>
      <c r="L531" s="2" t="s">
        <v>6</v>
      </c>
      <c r="M531" s="155"/>
      <c r="N531" s="155"/>
      <c r="O531" s="2">
        <v>24</v>
      </c>
      <c r="P531" s="6">
        <v>14</v>
      </c>
      <c r="Q531" s="131">
        <f t="shared" si="80"/>
        <v>49.371428571428574</v>
      </c>
      <c r="R531" s="33">
        <f t="shared" si="84"/>
        <v>14</v>
      </c>
      <c r="S531" s="132">
        <f t="shared" si="81"/>
        <v>1.75</v>
      </c>
      <c r="T531" s="132">
        <f t="shared" si="82"/>
        <v>1.75</v>
      </c>
      <c r="V531" s="131" t="str">
        <f t="shared" si="83"/>
        <v/>
      </c>
      <c r="W531" s="17"/>
      <c r="X531" s="7"/>
      <c r="Y531" s="161"/>
      <c r="Z531" s="7"/>
      <c r="AA531" s="117"/>
      <c r="AB531" s="117"/>
      <c r="AC531" s="117"/>
      <c r="CH531">
        <v>4</v>
      </c>
      <c r="CI531">
        <v>34</v>
      </c>
    </row>
    <row r="532" spans="1:87" x14ac:dyDescent="0.3">
      <c r="A532" s="23">
        <v>683</v>
      </c>
      <c r="B532" s="2" t="s">
        <v>0</v>
      </c>
      <c r="C532" s="2" t="s">
        <v>1</v>
      </c>
      <c r="D532" s="2" t="s">
        <v>937</v>
      </c>
      <c r="E532" s="2">
        <v>2100</v>
      </c>
      <c r="F532" s="2">
        <v>1.0999999999999999E-2</v>
      </c>
      <c r="G532" s="2">
        <v>6.8999999999999999E-3</v>
      </c>
      <c r="H532" s="4">
        <f t="shared" si="79"/>
        <v>0.37272727272727268</v>
      </c>
      <c r="I532" s="2" t="s">
        <v>98</v>
      </c>
      <c r="J532" s="2" t="s">
        <v>938</v>
      </c>
      <c r="K532" s="2" t="s">
        <v>261</v>
      </c>
      <c r="L532" s="2" t="s">
        <v>76</v>
      </c>
      <c r="M532" s="155">
        <v>35</v>
      </c>
      <c r="N532" s="155">
        <v>60</v>
      </c>
      <c r="O532" s="2">
        <v>30</v>
      </c>
      <c r="P532" s="6">
        <v>5</v>
      </c>
      <c r="Q532" s="131">
        <f t="shared" si="80"/>
        <v>82.285714285714292</v>
      </c>
      <c r="R532" s="33">
        <f t="shared" si="84"/>
        <v>5</v>
      </c>
      <c r="S532" s="132">
        <f t="shared" si="81"/>
        <v>0.625</v>
      </c>
      <c r="T532" s="132">
        <f t="shared" si="82"/>
        <v>0.625</v>
      </c>
      <c r="V532" s="131">
        <f t="shared" si="83"/>
        <v>10.52246985750822</v>
      </c>
      <c r="W532" s="135">
        <v>39.1</v>
      </c>
      <c r="X532" s="8">
        <f>60*60*8/W532</f>
        <v>736.57289002557548</v>
      </c>
      <c r="Y532" s="161">
        <v>45504</v>
      </c>
      <c r="Z532" s="7" t="s">
        <v>7</v>
      </c>
      <c r="AA532" s="117"/>
      <c r="AB532" s="117"/>
      <c r="AC532" s="117"/>
      <c r="AD532" s="24">
        <v>45504</v>
      </c>
      <c r="AE532">
        <v>8</v>
      </c>
      <c r="AF532">
        <v>8.1999999999999993</v>
      </c>
      <c r="AH532">
        <v>3</v>
      </c>
      <c r="AI532">
        <v>1</v>
      </c>
      <c r="AJ532">
        <v>1.2</v>
      </c>
      <c r="AK532">
        <v>8</v>
      </c>
      <c r="AL532">
        <v>7.5</v>
      </c>
      <c r="AN532">
        <v>8</v>
      </c>
      <c r="AO532">
        <v>0.3</v>
      </c>
      <c r="AS532">
        <v>39.1</v>
      </c>
      <c r="AT532">
        <v>6.5</v>
      </c>
      <c r="AU532">
        <v>16</v>
      </c>
      <c r="AV532">
        <v>87.5</v>
      </c>
      <c r="AW532">
        <v>99</v>
      </c>
      <c r="AX532">
        <v>9.5</v>
      </c>
      <c r="AY532">
        <v>23.5</v>
      </c>
      <c r="AZ532">
        <v>101</v>
      </c>
      <c r="BA532">
        <v>112</v>
      </c>
      <c r="BB532">
        <v>400</v>
      </c>
      <c r="CH532">
        <v>5</v>
      </c>
      <c r="CI532">
        <v>31</v>
      </c>
    </row>
    <row r="533" spans="1:87" ht="28.8" x14ac:dyDescent="0.3">
      <c r="A533" s="23">
        <v>684</v>
      </c>
      <c r="B533" s="2" t="s">
        <v>0</v>
      </c>
      <c r="C533" s="2" t="s">
        <v>1</v>
      </c>
      <c r="D533" s="2" t="s">
        <v>939</v>
      </c>
      <c r="E533" s="2">
        <v>770</v>
      </c>
      <c r="F533" s="2">
        <v>2.5399999999999999E-2</v>
      </c>
      <c r="G533" s="2">
        <v>1.3899999999999999E-2</v>
      </c>
      <c r="H533" s="4">
        <f t="shared" si="79"/>
        <v>0.45275590551181105</v>
      </c>
      <c r="I533" s="2" t="s">
        <v>98</v>
      </c>
      <c r="J533" s="2" t="s">
        <v>596</v>
      </c>
      <c r="K533" s="2" t="s">
        <v>261</v>
      </c>
      <c r="L533" s="2" t="s">
        <v>76</v>
      </c>
      <c r="M533" s="155">
        <v>16</v>
      </c>
      <c r="N533" s="164" t="s">
        <v>940</v>
      </c>
      <c r="O533" s="2">
        <v>12</v>
      </c>
      <c r="P533" s="6">
        <v>12</v>
      </c>
      <c r="Q533" s="131">
        <f t="shared" si="80"/>
        <v>37.402597402597401</v>
      </c>
      <c r="R533" s="33">
        <f t="shared" si="84"/>
        <v>12</v>
      </c>
      <c r="S533" s="132">
        <f t="shared" si="81"/>
        <v>1.5</v>
      </c>
      <c r="T533" s="132">
        <f t="shared" si="82"/>
        <v>1.5</v>
      </c>
      <c r="V533" s="131">
        <f t="shared" si="83"/>
        <v>11.968831168831169</v>
      </c>
      <c r="W533" s="17">
        <v>37.5</v>
      </c>
      <c r="X533" s="8">
        <f>60*60*8/W533</f>
        <v>768</v>
      </c>
      <c r="Y533" s="161">
        <v>45351</v>
      </c>
      <c r="Z533" s="7" t="s">
        <v>7</v>
      </c>
      <c r="AA533" s="117"/>
      <c r="AB533" s="117"/>
      <c r="AC533" s="117"/>
      <c r="AD533" s="24">
        <v>45610</v>
      </c>
      <c r="AE533" t="s">
        <v>941</v>
      </c>
      <c r="AF533">
        <v>6.6</v>
      </c>
      <c r="AH533">
        <v>3.5</v>
      </c>
      <c r="AI533">
        <v>1</v>
      </c>
      <c r="AJ533">
        <v>0.9</v>
      </c>
      <c r="AK533">
        <v>9</v>
      </c>
      <c r="AL533">
        <v>8.5</v>
      </c>
      <c r="AN533">
        <v>8</v>
      </c>
      <c r="AO533">
        <v>0.3</v>
      </c>
      <c r="AS533">
        <v>39.1</v>
      </c>
      <c r="AT533">
        <v>9</v>
      </c>
      <c r="AU533">
        <v>21</v>
      </c>
      <c r="AV533">
        <v>87.5</v>
      </c>
      <c r="AW533">
        <v>98</v>
      </c>
      <c r="AX533">
        <v>12</v>
      </c>
      <c r="AY533">
        <v>47</v>
      </c>
      <c r="AZ533">
        <v>95</v>
      </c>
      <c r="BA533">
        <v>113</v>
      </c>
      <c r="BB533">
        <v>440</v>
      </c>
      <c r="CH533">
        <v>1</v>
      </c>
      <c r="CI533">
        <v>53</v>
      </c>
    </row>
    <row r="534" spans="1:87" x14ac:dyDescent="0.3">
      <c r="A534" s="23">
        <v>685</v>
      </c>
      <c r="B534" s="2" t="s">
        <v>0</v>
      </c>
      <c r="C534" s="2" t="s">
        <v>1</v>
      </c>
      <c r="D534" s="2" t="s">
        <v>942</v>
      </c>
      <c r="E534" s="2">
        <v>1500</v>
      </c>
      <c r="F534" s="2">
        <v>1.1599999999999999E-2</v>
      </c>
      <c r="G534" s="2">
        <v>6.6E-3</v>
      </c>
      <c r="H534" s="4">
        <f t="shared" si="79"/>
        <v>0.43103448275862066</v>
      </c>
      <c r="I534" s="2" t="s">
        <v>98</v>
      </c>
      <c r="J534" s="2" t="s">
        <v>938</v>
      </c>
      <c r="K534" s="2" t="s">
        <v>105</v>
      </c>
      <c r="L534" s="2" t="s">
        <v>76</v>
      </c>
      <c r="M534" s="155">
        <v>25</v>
      </c>
      <c r="N534" s="155">
        <v>60</v>
      </c>
      <c r="O534" s="2">
        <v>20</v>
      </c>
      <c r="P534" s="6">
        <v>5</v>
      </c>
      <c r="Q534" s="131">
        <f t="shared" si="80"/>
        <v>76.8</v>
      </c>
      <c r="R534" s="33">
        <f t="shared" si="84"/>
        <v>5</v>
      </c>
      <c r="S534" s="132">
        <f t="shared" si="81"/>
        <v>0.625</v>
      </c>
      <c r="T534" s="132">
        <f t="shared" si="82"/>
        <v>0.625</v>
      </c>
      <c r="V534" s="131">
        <f t="shared" si="83"/>
        <v>9.9224806201550386</v>
      </c>
      <c r="W534" s="17">
        <v>38.700000000000003</v>
      </c>
      <c r="X534" s="8">
        <f>60*60*8/W534</f>
        <v>744.18604651162786</v>
      </c>
      <c r="Y534" s="161">
        <v>45542</v>
      </c>
      <c r="Z534" s="7" t="s">
        <v>7</v>
      </c>
      <c r="AA534" s="117"/>
      <c r="AB534" s="117"/>
      <c r="AC534" s="117"/>
      <c r="CH534">
        <v>1</v>
      </c>
      <c r="CI534">
        <v>78</v>
      </c>
    </row>
    <row r="535" spans="1:87" x14ac:dyDescent="0.3">
      <c r="A535" s="2">
        <v>686</v>
      </c>
      <c r="B535" s="2" t="s">
        <v>0</v>
      </c>
      <c r="C535" s="2" t="s">
        <v>1</v>
      </c>
      <c r="D535" s="2" t="s">
        <v>943</v>
      </c>
      <c r="E535" s="2">
        <v>1500</v>
      </c>
      <c r="F535" s="2">
        <v>1.1599999999999999E-2</v>
      </c>
      <c r="G535" s="2">
        <v>6.6E-3</v>
      </c>
      <c r="H535" s="4">
        <f t="shared" si="79"/>
        <v>0.43103448275862066</v>
      </c>
      <c r="I535" s="2" t="s">
        <v>98</v>
      </c>
      <c r="J535" s="2" t="s">
        <v>938</v>
      </c>
      <c r="K535" s="2" t="s">
        <v>105</v>
      </c>
      <c r="L535" s="2" t="s">
        <v>76</v>
      </c>
      <c r="M535" s="155"/>
      <c r="N535" s="155"/>
      <c r="O535" s="2">
        <v>20</v>
      </c>
      <c r="P535" s="6">
        <v>5</v>
      </c>
      <c r="Q535" s="131">
        <f t="shared" si="80"/>
        <v>76.8</v>
      </c>
      <c r="R535" s="33">
        <f t="shared" si="84"/>
        <v>5</v>
      </c>
      <c r="S535" s="132">
        <f t="shared" si="81"/>
        <v>0.625</v>
      </c>
      <c r="T535" s="132">
        <f t="shared" si="82"/>
        <v>0.625</v>
      </c>
      <c r="V535" s="131" t="str">
        <f t="shared" si="83"/>
        <v/>
      </c>
      <c r="W535" s="136"/>
      <c r="X535" s="7"/>
      <c r="Y535" s="161"/>
      <c r="Z535" s="7"/>
      <c r="AA535" s="117"/>
      <c r="AB535" s="117"/>
      <c r="AC535" s="117"/>
      <c r="CH535">
        <v>2</v>
      </c>
      <c r="CI535">
        <v>74</v>
      </c>
    </row>
    <row r="536" spans="1:87" x14ac:dyDescent="0.3">
      <c r="A536" s="23">
        <v>687</v>
      </c>
      <c r="B536" s="2" t="s">
        <v>0</v>
      </c>
      <c r="C536" s="2" t="s">
        <v>1</v>
      </c>
      <c r="D536" s="2" t="s">
        <v>944</v>
      </c>
      <c r="E536" s="2">
        <v>1760</v>
      </c>
      <c r="F536" s="2">
        <v>4.1000000000000003E-3</v>
      </c>
      <c r="G536" s="2">
        <v>2.5999999999999999E-3</v>
      </c>
      <c r="H536" s="4">
        <f t="shared" si="79"/>
        <v>0.36585365853658547</v>
      </c>
      <c r="I536" s="2" t="s">
        <v>98</v>
      </c>
      <c r="J536" s="2" t="s">
        <v>945</v>
      </c>
      <c r="K536" s="2" t="s">
        <v>5</v>
      </c>
      <c r="L536" s="2" t="s">
        <v>6</v>
      </c>
      <c r="M536" s="155"/>
      <c r="N536" s="155"/>
      <c r="O536" s="2">
        <v>84</v>
      </c>
      <c r="P536" s="6">
        <v>7</v>
      </c>
      <c r="Q536" s="131">
        <f t="shared" si="80"/>
        <v>196.36363636363635</v>
      </c>
      <c r="R536" s="33">
        <f t="shared" si="84"/>
        <v>7</v>
      </c>
      <c r="S536" s="132">
        <f t="shared" si="81"/>
        <v>0.875</v>
      </c>
      <c r="T536" s="132">
        <f t="shared" si="82"/>
        <v>0.875</v>
      </c>
      <c r="V536" s="131">
        <f t="shared" si="83"/>
        <v>36.077308518253396</v>
      </c>
      <c r="W536" s="17">
        <v>38.1</v>
      </c>
      <c r="X536" s="8">
        <f>60*60*8/W536</f>
        <v>755.90551181102364</v>
      </c>
      <c r="Y536" s="161">
        <v>45544</v>
      </c>
      <c r="Z536" s="7" t="s">
        <v>7</v>
      </c>
      <c r="AA536" s="117"/>
      <c r="AB536" s="117"/>
      <c r="AC536" s="117"/>
      <c r="AD536" s="24">
        <v>45545</v>
      </c>
      <c r="AE536">
        <v>8</v>
      </c>
      <c r="AF536">
        <v>6.4</v>
      </c>
      <c r="AG536">
        <v>1.8</v>
      </c>
      <c r="AI536">
        <v>0.2</v>
      </c>
      <c r="AJ536">
        <v>0.2</v>
      </c>
      <c r="AK536">
        <v>8</v>
      </c>
      <c r="AL536">
        <v>7.5</v>
      </c>
      <c r="AN536">
        <v>12</v>
      </c>
      <c r="AS536">
        <v>38.1</v>
      </c>
      <c r="AT536">
        <v>6.5</v>
      </c>
      <c r="AU536">
        <v>16</v>
      </c>
      <c r="AV536">
        <v>123</v>
      </c>
      <c r="AW536">
        <v>133</v>
      </c>
      <c r="AX536">
        <v>12</v>
      </c>
      <c r="AY536">
        <v>23.5</v>
      </c>
      <c r="AZ536">
        <v>101</v>
      </c>
      <c r="BA536">
        <v>112</v>
      </c>
      <c r="BB536">
        <v>420</v>
      </c>
      <c r="CH536">
        <v>6</v>
      </c>
      <c r="CI536">
        <v>44</v>
      </c>
    </row>
    <row r="537" spans="1:87" x14ac:dyDescent="0.3">
      <c r="A537" s="23">
        <v>688</v>
      </c>
      <c r="B537" s="2" t="s">
        <v>0</v>
      </c>
      <c r="C537" s="2" t="s">
        <v>1</v>
      </c>
      <c r="D537" s="2" t="s">
        <v>946</v>
      </c>
      <c r="E537" s="2">
        <v>650</v>
      </c>
      <c r="F537" s="2">
        <v>3.56E-2</v>
      </c>
      <c r="G537" s="2">
        <v>1.9300000000000001E-2</v>
      </c>
      <c r="H537" s="4">
        <f t="shared" si="79"/>
        <v>0.4578651685393258</v>
      </c>
      <c r="I537" s="2" t="s">
        <v>98</v>
      </c>
      <c r="J537" s="2" t="s">
        <v>947</v>
      </c>
      <c r="K537" s="2" t="s">
        <v>261</v>
      </c>
      <c r="L537" s="2" t="s">
        <v>76</v>
      </c>
      <c r="M537" s="155"/>
      <c r="N537" s="155"/>
      <c r="O537" s="2">
        <v>8</v>
      </c>
      <c r="P537" s="6">
        <v>15</v>
      </c>
      <c r="Q537" s="131">
        <f t="shared" si="80"/>
        <v>23.630769230769229</v>
      </c>
      <c r="R537" s="33">
        <f t="shared" si="84"/>
        <v>15.000000000000002</v>
      </c>
      <c r="S537" s="132">
        <f t="shared" si="81"/>
        <v>1.8750000000000002</v>
      </c>
      <c r="T537" s="132">
        <f t="shared" si="82"/>
        <v>1.8750000000000002</v>
      </c>
      <c r="V537" s="131">
        <f t="shared" si="83"/>
        <v>8.0908819552964708</v>
      </c>
      <c r="W537" s="17">
        <v>43.81</v>
      </c>
      <c r="X537" s="8">
        <f>60*60*8/W537</f>
        <v>657.38415886783832</v>
      </c>
      <c r="Y537" s="161">
        <v>45358</v>
      </c>
      <c r="Z537" s="7" t="s">
        <v>7</v>
      </c>
      <c r="AA537" s="117"/>
      <c r="AB537" s="117"/>
      <c r="AC537" s="117"/>
      <c r="CH537">
        <v>5</v>
      </c>
      <c r="CI537">
        <v>86</v>
      </c>
    </row>
    <row r="538" spans="1:87" x14ac:dyDescent="0.3">
      <c r="A538" s="2">
        <v>691</v>
      </c>
      <c r="B538" s="2" t="s">
        <v>0</v>
      </c>
      <c r="C538" s="2" t="s">
        <v>1</v>
      </c>
      <c r="D538" s="2" t="s">
        <v>948</v>
      </c>
      <c r="E538" s="2">
        <v>3500</v>
      </c>
      <c r="F538" s="2">
        <v>7.1000000000000004E-3</v>
      </c>
      <c r="G538" s="2">
        <v>5.4999999999999997E-3</v>
      </c>
      <c r="H538" s="4">
        <f t="shared" si="79"/>
        <v>0.22535211267605643</v>
      </c>
      <c r="I538" s="2" t="s">
        <v>98</v>
      </c>
      <c r="J538" s="2" t="s">
        <v>393</v>
      </c>
      <c r="K538" s="2" t="s">
        <v>105</v>
      </c>
      <c r="L538" s="2" t="s">
        <v>76</v>
      </c>
      <c r="M538" s="155"/>
      <c r="N538" s="155"/>
      <c r="O538" s="2">
        <v>20</v>
      </c>
      <c r="P538" s="6">
        <v>24</v>
      </c>
      <c r="Q538" s="131">
        <f t="shared" si="80"/>
        <v>6.8571428571428577</v>
      </c>
      <c r="R538" s="33">
        <f t="shared" si="84"/>
        <v>24</v>
      </c>
      <c r="S538" s="132">
        <f t="shared" si="81"/>
        <v>3</v>
      </c>
      <c r="T538" s="132">
        <f t="shared" si="82"/>
        <v>3</v>
      </c>
      <c r="V538" s="131" t="str">
        <f t="shared" si="83"/>
        <v/>
      </c>
      <c r="W538" s="17"/>
      <c r="X538" s="7"/>
      <c r="Y538" s="161"/>
      <c r="Z538" s="7"/>
      <c r="AA538" s="117"/>
      <c r="AB538" s="117"/>
      <c r="AC538" s="117"/>
      <c r="CH538">
        <v>3</v>
      </c>
      <c r="CI538">
        <v>41</v>
      </c>
    </row>
    <row r="539" spans="1:87" x14ac:dyDescent="0.3">
      <c r="A539" s="2">
        <v>695</v>
      </c>
      <c r="B539" s="2" t="s">
        <v>0</v>
      </c>
      <c r="C539" s="2" t="s">
        <v>1</v>
      </c>
      <c r="D539" s="2" t="s">
        <v>949</v>
      </c>
      <c r="E539" s="2">
        <v>1080</v>
      </c>
      <c r="F539" s="2">
        <v>1.8700000000000001E-2</v>
      </c>
      <c r="G539" s="2">
        <v>1.4500000000000001E-2</v>
      </c>
      <c r="H539" s="4">
        <f t="shared" si="79"/>
        <v>0.22459893048128343</v>
      </c>
      <c r="I539" s="2" t="s">
        <v>82</v>
      </c>
      <c r="J539" s="2" t="s">
        <v>950</v>
      </c>
      <c r="K539" s="2" t="s">
        <v>413</v>
      </c>
      <c r="L539" s="2" t="s">
        <v>76</v>
      </c>
      <c r="M539" s="155"/>
      <c r="N539" s="155"/>
      <c r="O539" s="2">
        <v>9</v>
      </c>
      <c r="P539" s="6">
        <v>12</v>
      </c>
      <c r="Q539" s="131">
        <f t="shared" si="80"/>
        <v>20</v>
      </c>
      <c r="R539" s="33">
        <f t="shared" si="84"/>
        <v>12</v>
      </c>
      <c r="S539" s="132">
        <f t="shared" si="81"/>
        <v>1.5</v>
      </c>
      <c r="T539" s="132">
        <f t="shared" si="82"/>
        <v>1.5</v>
      </c>
      <c r="V539" s="131" t="str">
        <f t="shared" si="83"/>
        <v/>
      </c>
      <c r="W539" s="17"/>
      <c r="X539" s="7"/>
      <c r="Y539" s="161"/>
      <c r="Z539" s="7"/>
      <c r="AA539" s="117"/>
      <c r="AB539" s="117"/>
      <c r="AC539" s="117"/>
      <c r="CH539">
        <v>5</v>
      </c>
      <c r="CI539">
        <v>35</v>
      </c>
    </row>
    <row r="540" spans="1:87" x14ac:dyDescent="0.3">
      <c r="A540" s="2">
        <v>696</v>
      </c>
      <c r="B540" s="2" t="s">
        <v>0</v>
      </c>
      <c r="C540" s="2" t="s">
        <v>1</v>
      </c>
      <c r="D540" s="2" t="s">
        <v>951</v>
      </c>
      <c r="E540" s="2">
        <v>1200</v>
      </c>
      <c r="F540" s="2">
        <v>1.6400000000000001E-2</v>
      </c>
      <c r="G540" s="2">
        <v>1.2699999999999999E-2</v>
      </c>
      <c r="H540" s="4">
        <f t="shared" si="79"/>
        <v>0.22560975609756106</v>
      </c>
      <c r="I540" s="2" t="s">
        <v>82</v>
      </c>
      <c r="J540" s="2" t="s">
        <v>107</v>
      </c>
      <c r="K540" s="2" t="s">
        <v>413</v>
      </c>
      <c r="L540" s="2" t="s">
        <v>76</v>
      </c>
      <c r="M540" s="155"/>
      <c r="N540" s="155"/>
      <c r="O540" s="2">
        <v>8</v>
      </c>
      <c r="P540" s="6">
        <v>18</v>
      </c>
      <c r="Q540" s="131">
        <f t="shared" si="80"/>
        <v>10.666666666666666</v>
      </c>
      <c r="R540" s="33">
        <f t="shared" si="84"/>
        <v>18</v>
      </c>
      <c r="S540" s="132">
        <f t="shared" si="81"/>
        <v>2.25</v>
      </c>
      <c r="T540" s="132">
        <f t="shared" si="82"/>
        <v>2.25</v>
      </c>
      <c r="V540" s="131" t="str">
        <f t="shared" si="83"/>
        <v/>
      </c>
      <c r="W540" s="17"/>
      <c r="X540" s="7"/>
      <c r="Y540" s="161"/>
      <c r="Z540" s="7"/>
      <c r="AA540" s="117"/>
      <c r="AB540" s="117"/>
      <c r="AC540" s="117"/>
      <c r="CH540">
        <v>5</v>
      </c>
      <c r="CI540">
        <v>32</v>
      </c>
    </row>
    <row r="541" spans="1:87" x14ac:dyDescent="0.3">
      <c r="A541" s="2">
        <v>697</v>
      </c>
      <c r="B541" s="2" t="s">
        <v>0</v>
      </c>
      <c r="C541" s="2" t="s">
        <v>1</v>
      </c>
      <c r="D541" s="2" t="s">
        <v>952</v>
      </c>
      <c r="E541" s="2">
        <v>1800</v>
      </c>
      <c r="F541" s="2">
        <v>9.2999999999999992E-3</v>
      </c>
      <c r="G541" s="2">
        <v>7.1999999999999998E-3</v>
      </c>
      <c r="H541" s="4">
        <f t="shared" si="79"/>
        <v>0.22580645161290319</v>
      </c>
      <c r="I541" s="2" t="s">
        <v>82</v>
      </c>
      <c r="J541" s="2" t="s">
        <v>600</v>
      </c>
      <c r="K541" s="2" t="s">
        <v>413</v>
      </c>
      <c r="L541" s="2" t="s">
        <v>76</v>
      </c>
      <c r="M541" s="155"/>
      <c r="N541" s="155"/>
      <c r="O541" s="2">
        <v>18</v>
      </c>
      <c r="P541" s="6">
        <v>9</v>
      </c>
      <c r="Q541" s="131">
        <f t="shared" si="80"/>
        <v>32</v>
      </c>
      <c r="R541" s="33">
        <f t="shared" si="84"/>
        <v>9</v>
      </c>
      <c r="S541" s="132">
        <f t="shared" si="81"/>
        <v>1.125</v>
      </c>
      <c r="T541" s="132">
        <f t="shared" si="82"/>
        <v>1.125</v>
      </c>
      <c r="V541" s="131" t="str">
        <f t="shared" si="83"/>
        <v/>
      </c>
      <c r="W541" s="17"/>
      <c r="X541" s="7"/>
      <c r="Y541" s="161"/>
      <c r="Z541" s="7"/>
      <c r="AA541" s="117"/>
      <c r="AB541" s="117"/>
      <c r="AC541" s="117"/>
      <c r="CH541">
        <v>4</v>
      </c>
      <c r="CI541">
        <v>53</v>
      </c>
    </row>
    <row r="542" spans="1:87" x14ac:dyDescent="0.3">
      <c r="A542" s="2">
        <v>698</v>
      </c>
      <c r="B542" s="2" t="s">
        <v>0</v>
      </c>
      <c r="C542" s="2" t="s">
        <v>1</v>
      </c>
      <c r="D542" s="2" t="s">
        <v>953</v>
      </c>
      <c r="E542" s="2">
        <v>1500</v>
      </c>
      <c r="F542" s="2">
        <v>1.2500000000000001E-2</v>
      </c>
      <c r="G542" s="2">
        <v>9.4000000000000004E-3</v>
      </c>
      <c r="H542" s="4">
        <f t="shared" si="79"/>
        <v>0.24800000000000003</v>
      </c>
      <c r="I542" s="2" t="s">
        <v>82</v>
      </c>
      <c r="J542" s="2" t="s">
        <v>587</v>
      </c>
      <c r="K542" s="2" t="s">
        <v>75</v>
      </c>
      <c r="L542" s="2" t="s">
        <v>76</v>
      </c>
      <c r="M542" s="155"/>
      <c r="N542" s="155"/>
      <c r="O542" s="2">
        <v>12</v>
      </c>
      <c r="P542" s="6">
        <v>12</v>
      </c>
      <c r="Q542" s="131">
        <f t="shared" si="80"/>
        <v>19.2</v>
      </c>
      <c r="R542" s="33">
        <f t="shared" si="84"/>
        <v>12</v>
      </c>
      <c r="S542" s="132">
        <f t="shared" si="81"/>
        <v>1.5</v>
      </c>
      <c r="T542" s="132">
        <f t="shared" si="82"/>
        <v>1.5</v>
      </c>
      <c r="V542" s="131" t="str">
        <f t="shared" si="83"/>
        <v/>
      </c>
      <c r="W542" s="17"/>
      <c r="X542" s="7"/>
      <c r="Y542" s="161"/>
      <c r="Z542" s="7"/>
      <c r="AA542" s="117"/>
      <c r="AB542" s="117"/>
      <c r="AC542" s="117"/>
      <c r="CH542">
        <v>3</v>
      </c>
      <c r="CI542">
        <v>58</v>
      </c>
    </row>
    <row r="543" spans="1:87" x14ac:dyDescent="0.3">
      <c r="A543" s="2">
        <v>699</v>
      </c>
      <c r="B543" s="2" t="s">
        <v>0</v>
      </c>
      <c r="C543" s="2" t="s">
        <v>1</v>
      </c>
      <c r="D543" s="2" t="s">
        <v>954</v>
      </c>
      <c r="E543" s="2">
        <v>2500</v>
      </c>
      <c r="F543" s="2">
        <v>7.1999999999999998E-3</v>
      </c>
      <c r="G543" s="2">
        <v>5.4999999999999997E-3</v>
      </c>
      <c r="H543" s="4">
        <f t="shared" si="79"/>
        <v>0.23611111111111113</v>
      </c>
      <c r="I543" s="2" t="s">
        <v>82</v>
      </c>
      <c r="J543" s="2" t="s">
        <v>587</v>
      </c>
      <c r="K543" s="2" t="s">
        <v>75</v>
      </c>
      <c r="L543" s="2" t="s">
        <v>76</v>
      </c>
      <c r="M543" s="155"/>
      <c r="N543" s="155"/>
      <c r="O543" s="2">
        <v>20</v>
      </c>
      <c r="P543" s="6">
        <v>8</v>
      </c>
      <c r="Q543" s="131">
        <f t="shared" si="80"/>
        <v>28.8</v>
      </c>
      <c r="R543" s="33">
        <f t="shared" si="84"/>
        <v>8</v>
      </c>
      <c r="S543" s="132">
        <f t="shared" si="81"/>
        <v>1</v>
      </c>
      <c r="T543" s="132">
        <f t="shared" si="82"/>
        <v>1</v>
      </c>
      <c r="V543" s="131" t="str">
        <f t="shared" si="83"/>
        <v/>
      </c>
      <c r="W543" s="17"/>
      <c r="X543" s="7"/>
      <c r="Y543" s="161"/>
      <c r="Z543" s="7"/>
      <c r="AA543" s="117"/>
      <c r="AB543" s="117"/>
      <c r="AC543" s="117"/>
      <c r="CH543">
        <v>6</v>
      </c>
      <c r="CI543">
        <v>78</v>
      </c>
    </row>
    <row r="544" spans="1:87" x14ac:dyDescent="0.3">
      <c r="A544" s="2">
        <v>700</v>
      </c>
      <c r="B544" s="2" t="s">
        <v>0</v>
      </c>
      <c r="C544" s="2" t="s">
        <v>1</v>
      </c>
      <c r="D544" s="2" t="s">
        <v>955</v>
      </c>
      <c r="E544" s="2">
        <v>1000</v>
      </c>
      <c r="F544" s="2">
        <v>2.4400000000000002E-2</v>
      </c>
      <c r="G544" s="2">
        <v>2.0400000000000001E-2</v>
      </c>
      <c r="H544" s="4">
        <f t="shared" si="79"/>
        <v>0.16393442622950818</v>
      </c>
      <c r="I544" s="2" t="s">
        <v>98</v>
      </c>
      <c r="J544" s="2" t="s">
        <v>956</v>
      </c>
      <c r="K544" s="2" t="s">
        <v>75</v>
      </c>
      <c r="L544" s="2" t="s">
        <v>76</v>
      </c>
      <c r="M544" s="155"/>
      <c r="N544" s="155"/>
      <c r="O544" s="2">
        <v>4</v>
      </c>
      <c r="P544" s="6">
        <v>45</v>
      </c>
      <c r="Q544" s="131">
        <f t="shared" si="80"/>
        <v>2.56</v>
      </c>
      <c r="R544" s="33">
        <f t="shared" si="84"/>
        <v>45</v>
      </c>
      <c r="S544" s="132">
        <f t="shared" si="81"/>
        <v>5.625</v>
      </c>
      <c r="T544" s="132">
        <f t="shared" si="82"/>
        <v>5.625</v>
      </c>
      <c r="V544" s="131" t="str">
        <f t="shared" si="83"/>
        <v/>
      </c>
      <c r="W544" s="17"/>
      <c r="X544" s="7"/>
      <c r="Y544" s="161"/>
      <c r="Z544" s="7"/>
      <c r="AA544" s="117"/>
      <c r="AB544" s="117"/>
      <c r="AC544" s="117"/>
      <c r="CH544">
        <v>2</v>
      </c>
      <c r="CI544">
        <v>48</v>
      </c>
    </row>
    <row r="545" spans="1:87" x14ac:dyDescent="0.3">
      <c r="A545" s="23">
        <v>701</v>
      </c>
      <c r="B545" s="2" t="s">
        <v>0</v>
      </c>
      <c r="C545" s="2" t="s">
        <v>1</v>
      </c>
      <c r="D545" s="2" t="s">
        <v>957</v>
      </c>
      <c r="E545" s="2">
        <v>1000</v>
      </c>
      <c r="F545" s="2">
        <v>2.4199999999999999E-2</v>
      </c>
      <c r="G545" s="2">
        <v>2.0400000000000001E-2</v>
      </c>
      <c r="H545" s="4">
        <f t="shared" si="79"/>
        <v>0.15702479338842967</v>
      </c>
      <c r="I545" s="2" t="s">
        <v>98</v>
      </c>
      <c r="J545" s="2" t="s">
        <v>956</v>
      </c>
      <c r="K545" s="2" t="s">
        <v>75</v>
      </c>
      <c r="L545" s="2" t="s">
        <v>76</v>
      </c>
      <c r="M545" s="155"/>
      <c r="N545" s="155"/>
      <c r="O545" s="2">
        <v>4</v>
      </c>
      <c r="P545" s="6">
        <v>45</v>
      </c>
      <c r="Q545" s="131">
        <f t="shared" si="80"/>
        <v>2.56</v>
      </c>
      <c r="R545" s="33">
        <f t="shared" si="84"/>
        <v>45</v>
      </c>
      <c r="S545" s="132">
        <f t="shared" si="81"/>
        <v>5.625</v>
      </c>
      <c r="T545" s="132">
        <f t="shared" si="82"/>
        <v>5.625</v>
      </c>
      <c r="V545" s="131">
        <f t="shared" si="83"/>
        <v>4.6639676113360329</v>
      </c>
      <c r="W545" s="17">
        <v>24.7</v>
      </c>
      <c r="X545" s="8">
        <f>60*60*8/W545</f>
        <v>1165.9919028340082</v>
      </c>
      <c r="Y545" s="161">
        <v>45596</v>
      </c>
      <c r="Z545" s="7" t="s">
        <v>7</v>
      </c>
      <c r="AA545" s="117"/>
      <c r="AB545" s="117"/>
      <c r="AC545" s="117"/>
      <c r="CH545">
        <v>1</v>
      </c>
      <c r="CI545">
        <v>69</v>
      </c>
    </row>
    <row r="546" spans="1:87" x14ac:dyDescent="0.3">
      <c r="A546" s="23">
        <v>702</v>
      </c>
      <c r="B546" s="2" t="s">
        <v>0</v>
      </c>
      <c r="C546" s="2" t="s">
        <v>1</v>
      </c>
      <c r="D546" s="2" t="s">
        <v>958</v>
      </c>
      <c r="E546" s="2">
        <v>1000</v>
      </c>
      <c r="F546" s="2">
        <v>2.4199999999999999E-2</v>
      </c>
      <c r="G546" s="2">
        <v>2.0400000000000001E-2</v>
      </c>
      <c r="H546" s="4">
        <f t="shared" si="79"/>
        <v>0.15702479338842967</v>
      </c>
      <c r="I546" s="2" t="s">
        <v>98</v>
      </c>
      <c r="J546" s="2" t="s">
        <v>956</v>
      </c>
      <c r="K546" s="2" t="s">
        <v>75</v>
      </c>
      <c r="L546" s="2" t="s">
        <v>76</v>
      </c>
      <c r="M546" s="155"/>
      <c r="N546" s="155"/>
      <c r="O546" s="2">
        <v>4</v>
      </c>
      <c r="P546" s="6">
        <v>45</v>
      </c>
      <c r="Q546" s="131">
        <f t="shared" si="80"/>
        <v>2.56</v>
      </c>
      <c r="R546" s="33">
        <f t="shared" si="84"/>
        <v>45</v>
      </c>
      <c r="S546" s="132">
        <f t="shared" si="81"/>
        <v>5.625</v>
      </c>
      <c r="T546" s="132">
        <f t="shared" si="82"/>
        <v>5.625</v>
      </c>
      <c r="V546" s="131">
        <f t="shared" si="83"/>
        <v>4.6639676113360329</v>
      </c>
      <c r="W546" s="17">
        <v>24.7</v>
      </c>
      <c r="X546" s="8">
        <f>60*60*8/W546</f>
        <v>1165.9919028340082</v>
      </c>
      <c r="Y546" s="161">
        <v>45596</v>
      </c>
      <c r="Z546" s="7" t="s">
        <v>7</v>
      </c>
      <c r="AA546" s="117"/>
      <c r="AB546" s="117"/>
      <c r="AC546" s="117"/>
      <c r="CH546">
        <v>3</v>
      </c>
      <c r="CI546">
        <v>57</v>
      </c>
    </row>
    <row r="547" spans="1:87" x14ac:dyDescent="0.3">
      <c r="A547" s="2">
        <v>703</v>
      </c>
      <c r="B547" s="2" t="s">
        <v>0</v>
      </c>
      <c r="C547" s="2" t="s">
        <v>1</v>
      </c>
      <c r="D547" s="2" t="s">
        <v>959</v>
      </c>
      <c r="E547" s="2">
        <v>1000</v>
      </c>
      <c r="F547" s="2">
        <v>2.4199999999999999E-2</v>
      </c>
      <c r="G547" s="2">
        <v>2.0400000000000001E-2</v>
      </c>
      <c r="H547" s="4">
        <f t="shared" si="79"/>
        <v>0.15702479338842967</v>
      </c>
      <c r="I547" s="2" t="s">
        <v>98</v>
      </c>
      <c r="J547" s="2" t="s">
        <v>956</v>
      </c>
      <c r="K547" s="2" t="s">
        <v>75</v>
      </c>
      <c r="L547" s="2" t="s">
        <v>76</v>
      </c>
      <c r="M547" s="155"/>
      <c r="N547" s="155"/>
      <c r="O547" s="2">
        <v>4</v>
      </c>
      <c r="P547" s="6">
        <v>45</v>
      </c>
      <c r="Q547" s="131">
        <f t="shared" si="80"/>
        <v>2.56</v>
      </c>
      <c r="R547" s="33">
        <f t="shared" si="84"/>
        <v>45</v>
      </c>
      <c r="S547" s="132">
        <f t="shared" si="81"/>
        <v>5.625</v>
      </c>
      <c r="T547" s="132">
        <f t="shared" si="82"/>
        <v>5.625</v>
      </c>
      <c r="V547" s="131" t="str">
        <f t="shared" si="83"/>
        <v/>
      </c>
      <c r="W547" s="17"/>
      <c r="X547" s="7"/>
      <c r="Y547" s="161"/>
      <c r="Z547" s="7"/>
      <c r="AA547" s="117"/>
      <c r="AB547" s="117"/>
      <c r="AC547" s="117"/>
      <c r="CH547">
        <v>6</v>
      </c>
      <c r="CI547">
        <v>71</v>
      </c>
    </row>
    <row r="548" spans="1:87" x14ac:dyDescent="0.3">
      <c r="A548" s="2">
        <v>704</v>
      </c>
      <c r="B548" s="2" t="s">
        <v>0</v>
      </c>
      <c r="C548" s="2" t="s">
        <v>1</v>
      </c>
      <c r="D548" s="2" t="s">
        <v>960</v>
      </c>
      <c r="E548" s="2">
        <v>1000</v>
      </c>
      <c r="F548" s="2">
        <v>2.4199999999999999E-2</v>
      </c>
      <c r="G548" s="2">
        <v>2.0400000000000001E-2</v>
      </c>
      <c r="H548" s="4">
        <f t="shared" si="79"/>
        <v>0.15702479338842967</v>
      </c>
      <c r="I548" s="2" t="s">
        <v>98</v>
      </c>
      <c r="J548" s="2" t="s">
        <v>956</v>
      </c>
      <c r="K548" s="2" t="s">
        <v>75</v>
      </c>
      <c r="L548" s="2" t="s">
        <v>76</v>
      </c>
      <c r="M548" s="155"/>
      <c r="N548" s="155"/>
      <c r="O548" s="2">
        <v>4</v>
      </c>
      <c r="P548" s="6">
        <v>45</v>
      </c>
      <c r="Q548" s="131">
        <f t="shared" si="80"/>
        <v>2.56</v>
      </c>
      <c r="R548" s="33">
        <f t="shared" si="84"/>
        <v>45</v>
      </c>
      <c r="S548" s="132">
        <f t="shared" si="81"/>
        <v>5.625</v>
      </c>
      <c r="T548" s="132">
        <f t="shared" si="82"/>
        <v>5.625</v>
      </c>
      <c r="V548" s="131" t="str">
        <f t="shared" si="83"/>
        <v/>
      </c>
      <c r="W548" s="17"/>
      <c r="X548" s="7"/>
      <c r="Y548" s="161"/>
      <c r="Z548" s="7"/>
      <c r="AA548" s="117"/>
      <c r="AB548" s="117"/>
      <c r="AC548" s="117"/>
      <c r="CH548">
        <v>2</v>
      </c>
      <c r="CI548">
        <v>53</v>
      </c>
    </row>
    <row r="549" spans="1:87" x14ac:dyDescent="0.3">
      <c r="A549" s="23">
        <v>705</v>
      </c>
      <c r="B549" s="2" t="s">
        <v>0</v>
      </c>
      <c r="C549" s="2" t="s">
        <v>1</v>
      </c>
      <c r="D549" s="2" t="s">
        <v>961</v>
      </c>
      <c r="E549" s="2">
        <v>1000</v>
      </c>
      <c r="F549" s="2">
        <v>2.4199999999999999E-2</v>
      </c>
      <c r="G549" s="2">
        <v>2.0400000000000001E-2</v>
      </c>
      <c r="H549" s="4">
        <f t="shared" si="79"/>
        <v>0.15702479338842967</v>
      </c>
      <c r="I549" s="2" t="s">
        <v>98</v>
      </c>
      <c r="J549" s="2" t="s">
        <v>956</v>
      </c>
      <c r="K549" s="2" t="s">
        <v>75</v>
      </c>
      <c r="L549" s="2" t="s">
        <v>76</v>
      </c>
      <c r="M549" s="155"/>
      <c r="N549" s="155"/>
      <c r="O549" s="2">
        <v>4</v>
      </c>
      <c r="P549" s="6">
        <v>45</v>
      </c>
      <c r="Q549" s="131">
        <f t="shared" si="80"/>
        <v>2.56</v>
      </c>
      <c r="R549" s="33">
        <f t="shared" si="84"/>
        <v>45</v>
      </c>
      <c r="S549" s="132">
        <f t="shared" si="81"/>
        <v>5.625</v>
      </c>
      <c r="T549" s="132">
        <f t="shared" si="82"/>
        <v>5.625</v>
      </c>
      <c r="V549" s="131">
        <f t="shared" si="83"/>
        <v>4.6639676113360329</v>
      </c>
      <c r="W549" s="17">
        <v>24.7</v>
      </c>
      <c r="X549" s="8">
        <f>60*60*8/W549</f>
        <v>1165.9919028340082</v>
      </c>
      <c r="Y549" s="161">
        <v>45596</v>
      </c>
      <c r="Z549" s="7" t="s">
        <v>7</v>
      </c>
      <c r="AA549" s="117"/>
      <c r="AB549" s="117"/>
      <c r="AC549" s="117"/>
      <c r="CH549">
        <v>3</v>
      </c>
      <c r="CI549">
        <v>36</v>
      </c>
    </row>
    <row r="550" spans="1:87" x14ac:dyDescent="0.3">
      <c r="A550" s="2">
        <v>706</v>
      </c>
      <c r="B550" s="2" t="s">
        <v>0</v>
      </c>
      <c r="C550" s="2" t="s">
        <v>1</v>
      </c>
      <c r="D550" s="2" t="s">
        <v>962</v>
      </c>
      <c r="E550" s="2">
        <v>1000</v>
      </c>
      <c r="F550" s="2">
        <v>2.4199999999999999E-2</v>
      </c>
      <c r="G550" s="2">
        <v>2.0400000000000001E-2</v>
      </c>
      <c r="H550" s="4">
        <f t="shared" si="79"/>
        <v>0.15702479338842967</v>
      </c>
      <c r="I550" s="2" t="s">
        <v>98</v>
      </c>
      <c r="J550" s="2" t="s">
        <v>956</v>
      </c>
      <c r="K550" s="2" t="s">
        <v>75</v>
      </c>
      <c r="L550" s="2" t="s">
        <v>76</v>
      </c>
      <c r="M550" s="155"/>
      <c r="N550" s="155"/>
      <c r="O550" s="2">
        <v>4</v>
      </c>
      <c r="P550" s="6">
        <v>45</v>
      </c>
      <c r="Q550" s="131">
        <f t="shared" si="80"/>
        <v>2.56</v>
      </c>
      <c r="R550" s="33">
        <f t="shared" si="84"/>
        <v>45</v>
      </c>
      <c r="S550" s="132">
        <f t="shared" si="81"/>
        <v>5.625</v>
      </c>
      <c r="T550" s="132">
        <f t="shared" si="82"/>
        <v>5.625</v>
      </c>
      <c r="V550" s="131" t="str">
        <f t="shared" si="83"/>
        <v/>
      </c>
      <c r="W550" s="17"/>
      <c r="X550" s="7"/>
      <c r="Y550" s="161"/>
      <c r="Z550" s="7"/>
      <c r="AA550" s="117"/>
      <c r="AB550" s="117"/>
      <c r="AC550" s="117"/>
      <c r="CH550">
        <v>2</v>
      </c>
      <c r="CI550">
        <v>63</v>
      </c>
    </row>
    <row r="551" spans="1:87" x14ac:dyDescent="0.3">
      <c r="A551" s="2">
        <v>707</v>
      </c>
      <c r="B551" s="23" t="s">
        <v>0</v>
      </c>
      <c r="C551" s="2" t="s">
        <v>1</v>
      </c>
      <c r="D551" s="2" t="s">
        <v>963</v>
      </c>
      <c r="E551" s="2">
        <v>1000</v>
      </c>
      <c r="F551" s="2">
        <v>2.4199999999999999E-2</v>
      </c>
      <c r="G551" s="2">
        <v>2.0400000000000001E-2</v>
      </c>
      <c r="H551" s="4">
        <f t="shared" si="79"/>
        <v>0.15702479338842967</v>
      </c>
      <c r="I551" s="2" t="s">
        <v>98</v>
      </c>
      <c r="J551" s="2" t="s">
        <v>964</v>
      </c>
      <c r="K551" s="2" t="s">
        <v>75</v>
      </c>
      <c r="L551" s="2" t="s">
        <v>76</v>
      </c>
      <c r="M551" s="155"/>
      <c r="N551" s="155"/>
      <c r="O551" s="2">
        <v>4</v>
      </c>
      <c r="P551" s="6">
        <v>45</v>
      </c>
      <c r="Q551" s="131">
        <f t="shared" si="80"/>
        <v>2.56</v>
      </c>
      <c r="R551" s="33">
        <f t="shared" si="84"/>
        <v>45</v>
      </c>
      <c r="S551" s="132">
        <f t="shared" si="81"/>
        <v>5.625</v>
      </c>
      <c r="T551" s="132">
        <f t="shared" si="82"/>
        <v>5.625</v>
      </c>
      <c r="V551" s="131" t="str">
        <f t="shared" si="83"/>
        <v/>
      </c>
      <c r="W551" s="17"/>
      <c r="X551" s="7"/>
      <c r="Y551" s="161"/>
      <c r="Z551" s="7"/>
      <c r="AA551" s="117"/>
      <c r="AB551" s="117"/>
      <c r="AC551" s="117"/>
      <c r="CH551">
        <v>2</v>
      </c>
      <c r="CI551">
        <v>45</v>
      </c>
    </row>
    <row r="552" spans="1:87" x14ac:dyDescent="0.3">
      <c r="A552" s="23">
        <v>708</v>
      </c>
      <c r="B552" s="2" t="s">
        <v>0</v>
      </c>
      <c r="C552" s="2" t="s">
        <v>1</v>
      </c>
      <c r="D552" s="2" t="s">
        <v>965</v>
      </c>
      <c r="E552" s="2">
        <v>1000</v>
      </c>
      <c r="F552" s="2">
        <v>2.4199999999999999E-2</v>
      </c>
      <c r="G552" s="2">
        <v>2.0400000000000001E-2</v>
      </c>
      <c r="H552" s="4">
        <f t="shared" si="79"/>
        <v>0.15702479338842967</v>
      </c>
      <c r="I552" s="2" t="s">
        <v>98</v>
      </c>
      <c r="J552" s="2" t="s">
        <v>956</v>
      </c>
      <c r="K552" s="2" t="s">
        <v>75</v>
      </c>
      <c r="L552" s="2" t="s">
        <v>76</v>
      </c>
      <c r="M552" s="155"/>
      <c r="N552" s="155"/>
      <c r="O552" s="2">
        <v>4</v>
      </c>
      <c r="P552" s="6">
        <v>45</v>
      </c>
      <c r="Q552" s="131">
        <f t="shared" si="80"/>
        <v>2.56</v>
      </c>
      <c r="R552" s="33">
        <f t="shared" si="84"/>
        <v>45</v>
      </c>
      <c r="S552" s="132">
        <f t="shared" si="81"/>
        <v>5.625</v>
      </c>
      <c r="T552" s="132">
        <f t="shared" si="82"/>
        <v>5.625</v>
      </c>
      <c r="V552" s="131">
        <f t="shared" si="83"/>
        <v>4.6639676113360329</v>
      </c>
      <c r="W552" s="17">
        <v>24.7</v>
      </c>
      <c r="X552" s="8">
        <f>60*60*8/W552</f>
        <v>1165.9919028340082</v>
      </c>
      <c r="Y552" s="161">
        <v>45597</v>
      </c>
      <c r="Z552" s="7" t="s">
        <v>7</v>
      </c>
      <c r="AA552" s="117"/>
      <c r="AB552" s="117"/>
      <c r="AC552" s="117"/>
      <c r="CH552">
        <v>2</v>
      </c>
      <c r="CI552">
        <v>43</v>
      </c>
    </row>
    <row r="553" spans="1:87" x14ac:dyDescent="0.3">
      <c r="A553" s="2">
        <v>709</v>
      </c>
      <c r="B553" s="2" t="s">
        <v>0</v>
      </c>
      <c r="C553" s="2" t="s">
        <v>1</v>
      </c>
      <c r="D553" s="2" t="s">
        <v>966</v>
      </c>
      <c r="E553" s="2">
        <v>1000</v>
      </c>
      <c r="F553" s="2">
        <v>2.4199999999999999E-2</v>
      </c>
      <c r="G553" s="2">
        <v>2.0400000000000001E-2</v>
      </c>
      <c r="H553" s="4">
        <f t="shared" si="79"/>
        <v>0.15702479338842967</v>
      </c>
      <c r="I553" s="2" t="s">
        <v>98</v>
      </c>
      <c r="J553" s="2" t="s">
        <v>956</v>
      </c>
      <c r="K553" s="2" t="s">
        <v>75</v>
      </c>
      <c r="L553" s="2" t="s">
        <v>76</v>
      </c>
      <c r="M553" s="155"/>
      <c r="N553" s="155"/>
      <c r="O553" s="2">
        <v>4</v>
      </c>
      <c r="P553" s="6">
        <v>45</v>
      </c>
      <c r="Q553" s="131">
        <f t="shared" si="80"/>
        <v>2.56</v>
      </c>
      <c r="R553" s="33">
        <f t="shared" si="84"/>
        <v>45</v>
      </c>
      <c r="S553" s="132">
        <f t="shared" si="81"/>
        <v>5.625</v>
      </c>
      <c r="T553" s="132">
        <f t="shared" si="82"/>
        <v>5.625</v>
      </c>
      <c r="V553" s="131" t="str">
        <f t="shared" si="83"/>
        <v/>
      </c>
      <c r="W553" s="17"/>
      <c r="X553" s="7"/>
      <c r="Y553" s="161"/>
      <c r="Z553" s="7"/>
      <c r="AA553" s="117"/>
      <c r="AB553" s="117"/>
      <c r="AC553" s="117"/>
      <c r="CH553">
        <v>1</v>
      </c>
      <c r="CI553">
        <v>34</v>
      </c>
    </row>
    <row r="554" spans="1:87" x14ac:dyDescent="0.3">
      <c r="A554" s="2">
        <v>710</v>
      </c>
      <c r="B554" s="2" t="s">
        <v>0</v>
      </c>
      <c r="C554" s="2" t="s">
        <v>1</v>
      </c>
      <c r="D554" s="2" t="s">
        <v>967</v>
      </c>
      <c r="E554" s="2">
        <v>1000</v>
      </c>
      <c r="F554" s="2">
        <v>2.4199999999999999E-2</v>
      </c>
      <c r="G554" s="2">
        <v>2.0400000000000001E-2</v>
      </c>
      <c r="H554" s="4">
        <f t="shared" si="79"/>
        <v>0.15702479338842967</v>
      </c>
      <c r="I554" s="2" t="s">
        <v>98</v>
      </c>
      <c r="J554" s="2" t="s">
        <v>956</v>
      </c>
      <c r="K554" s="2" t="s">
        <v>75</v>
      </c>
      <c r="L554" s="2" t="s">
        <v>76</v>
      </c>
      <c r="M554" s="155"/>
      <c r="N554" s="155"/>
      <c r="O554" s="2">
        <v>4</v>
      </c>
      <c r="P554" s="6">
        <v>45</v>
      </c>
      <c r="Q554" s="131">
        <f t="shared" si="80"/>
        <v>2.56</v>
      </c>
      <c r="R554" s="33">
        <f t="shared" si="84"/>
        <v>45</v>
      </c>
      <c r="S554" s="132">
        <f t="shared" si="81"/>
        <v>5.625</v>
      </c>
      <c r="T554" s="132">
        <f t="shared" si="82"/>
        <v>5.625</v>
      </c>
      <c r="V554" s="131" t="str">
        <f t="shared" si="83"/>
        <v/>
      </c>
      <c r="W554" s="17"/>
      <c r="X554" s="7"/>
      <c r="Y554" s="161"/>
      <c r="Z554" s="7"/>
      <c r="AA554" s="117"/>
      <c r="AB554" s="117"/>
      <c r="AC554" s="117"/>
      <c r="CH554">
        <v>2</v>
      </c>
      <c r="CI554">
        <v>71</v>
      </c>
    </row>
    <row r="555" spans="1:87" x14ac:dyDescent="0.3">
      <c r="A555" s="23">
        <v>711</v>
      </c>
      <c r="B555" s="2" t="s">
        <v>0</v>
      </c>
      <c r="C555" s="2" t="s">
        <v>1</v>
      </c>
      <c r="D555" s="2" t="s">
        <v>968</v>
      </c>
      <c r="E555" s="2">
        <v>1000</v>
      </c>
      <c r="F555" s="2">
        <v>2.4199999999999999E-2</v>
      </c>
      <c r="G555" s="2">
        <v>2.0400000000000001E-2</v>
      </c>
      <c r="H555" s="4">
        <f t="shared" si="79"/>
        <v>0.15702479338842967</v>
      </c>
      <c r="I555" s="2" t="s">
        <v>98</v>
      </c>
      <c r="J555" s="2" t="s">
        <v>956</v>
      </c>
      <c r="K555" s="2" t="s">
        <v>75</v>
      </c>
      <c r="L555" s="2" t="s">
        <v>76</v>
      </c>
      <c r="M555" s="155"/>
      <c r="N555" s="155"/>
      <c r="O555" s="2">
        <v>4</v>
      </c>
      <c r="P555" s="6">
        <v>45</v>
      </c>
      <c r="Q555" s="131">
        <f t="shared" si="80"/>
        <v>2.56</v>
      </c>
      <c r="R555" s="33">
        <f t="shared" si="84"/>
        <v>45</v>
      </c>
      <c r="S555" s="132">
        <f t="shared" si="81"/>
        <v>5.625</v>
      </c>
      <c r="T555" s="132">
        <f t="shared" si="82"/>
        <v>5.625</v>
      </c>
      <c r="V555" s="131">
        <f t="shared" si="83"/>
        <v>4.6639676113360329</v>
      </c>
      <c r="W555" s="17">
        <v>24.7</v>
      </c>
      <c r="X555" s="8">
        <f>60*60*8/W555</f>
        <v>1165.9919028340082</v>
      </c>
      <c r="Y555" s="161">
        <v>45596</v>
      </c>
      <c r="Z555" s="7" t="s">
        <v>7</v>
      </c>
      <c r="AA555" s="117"/>
      <c r="AB555" s="117"/>
      <c r="AC555" s="117"/>
      <c r="AD555" t="s">
        <v>969</v>
      </c>
      <c r="CH555">
        <v>6</v>
      </c>
      <c r="CI555">
        <v>45</v>
      </c>
    </row>
    <row r="556" spans="1:87" x14ac:dyDescent="0.3">
      <c r="A556" s="2">
        <v>712</v>
      </c>
      <c r="B556" s="2" t="s">
        <v>0</v>
      </c>
      <c r="C556" s="2" t="s">
        <v>1</v>
      </c>
      <c r="D556" s="2" t="s">
        <v>970</v>
      </c>
      <c r="E556" s="2">
        <v>1000</v>
      </c>
      <c r="F556" s="2">
        <v>2.4199999999999999E-2</v>
      </c>
      <c r="G556" s="2">
        <v>2.0400000000000001E-2</v>
      </c>
      <c r="H556" s="4">
        <f t="shared" si="79"/>
        <v>0.15702479338842967</v>
      </c>
      <c r="I556" s="2" t="s">
        <v>98</v>
      </c>
      <c r="J556" s="2" t="s">
        <v>956</v>
      </c>
      <c r="K556" s="2" t="s">
        <v>75</v>
      </c>
      <c r="L556" s="2" t="s">
        <v>76</v>
      </c>
      <c r="M556" s="155"/>
      <c r="N556" s="155"/>
      <c r="O556" s="2">
        <v>4</v>
      </c>
      <c r="P556" s="6">
        <v>45</v>
      </c>
      <c r="Q556" s="131">
        <f t="shared" si="80"/>
        <v>2.56</v>
      </c>
      <c r="R556" s="33">
        <f t="shared" si="84"/>
        <v>45</v>
      </c>
      <c r="S556" s="132">
        <f t="shared" si="81"/>
        <v>5.625</v>
      </c>
      <c r="T556" s="132">
        <f t="shared" si="82"/>
        <v>5.625</v>
      </c>
      <c r="V556" s="131" t="str">
        <f t="shared" si="83"/>
        <v/>
      </c>
      <c r="W556" s="17"/>
      <c r="X556" s="7"/>
      <c r="Y556" s="161"/>
      <c r="Z556" s="7"/>
      <c r="AA556" s="117"/>
      <c r="AB556" s="117"/>
      <c r="AC556" s="117"/>
      <c r="CH556">
        <v>5</v>
      </c>
      <c r="CI556">
        <v>87</v>
      </c>
    </row>
    <row r="557" spans="1:87" x14ac:dyDescent="0.3">
      <c r="A557" s="2">
        <v>713</v>
      </c>
      <c r="B557" s="2" t="s">
        <v>0</v>
      </c>
      <c r="C557" s="2" t="s">
        <v>1</v>
      </c>
      <c r="D557" s="2" t="s">
        <v>971</v>
      </c>
      <c r="E557" s="2">
        <v>1000</v>
      </c>
      <c r="F557" s="2">
        <v>2.4199999999999999E-2</v>
      </c>
      <c r="G557" s="2">
        <v>2.0400000000000001E-2</v>
      </c>
      <c r="H557" s="4">
        <f t="shared" si="79"/>
        <v>0.15702479338842967</v>
      </c>
      <c r="I557" s="2" t="s">
        <v>98</v>
      </c>
      <c r="J557" s="2" t="s">
        <v>956</v>
      </c>
      <c r="K557" s="2" t="s">
        <v>75</v>
      </c>
      <c r="L557" s="2" t="s">
        <v>76</v>
      </c>
      <c r="M557" s="155"/>
      <c r="N557" s="155"/>
      <c r="O557" s="2">
        <v>4</v>
      </c>
      <c r="P557" s="6">
        <v>45</v>
      </c>
      <c r="Q557" s="131">
        <f t="shared" si="80"/>
        <v>2.56</v>
      </c>
      <c r="R557" s="33">
        <f t="shared" si="84"/>
        <v>45</v>
      </c>
      <c r="S557" s="132">
        <f t="shared" si="81"/>
        <v>5.625</v>
      </c>
      <c r="T557" s="132">
        <f t="shared" si="82"/>
        <v>5.625</v>
      </c>
      <c r="V557" s="131" t="str">
        <f t="shared" si="83"/>
        <v/>
      </c>
      <c r="W557" s="17"/>
      <c r="X557" s="7"/>
      <c r="Y557" s="161"/>
      <c r="Z557" s="7"/>
      <c r="AA557" s="117"/>
      <c r="AB557" s="117"/>
      <c r="AC557" s="117"/>
      <c r="CH557">
        <v>2</v>
      </c>
      <c r="CI557">
        <v>40</v>
      </c>
    </row>
    <row r="558" spans="1:87" x14ac:dyDescent="0.3">
      <c r="A558" s="2">
        <v>714</v>
      </c>
      <c r="B558" s="2" t="s">
        <v>0</v>
      </c>
      <c r="C558" s="2" t="s">
        <v>1</v>
      </c>
      <c r="D558" s="2" t="s">
        <v>972</v>
      </c>
      <c r="E558" s="2">
        <v>1000</v>
      </c>
      <c r="F558" s="2">
        <v>2.4199999999999999E-2</v>
      </c>
      <c r="G558" s="2">
        <v>2.0400000000000001E-2</v>
      </c>
      <c r="H558" s="4">
        <f t="shared" si="79"/>
        <v>0.15702479338842967</v>
      </c>
      <c r="I558" s="2" t="s">
        <v>98</v>
      </c>
      <c r="J558" s="2" t="s">
        <v>956</v>
      </c>
      <c r="K558" s="2" t="s">
        <v>75</v>
      </c>
      <c r="L558" s="2" t="s">
        <v>76</v>
      </c>
      <c r="M558" s="155"/>
      <c r="N558" s="155"/>
      <c r="O558" s="2">
        <v>4</v>
      </c>
      <c r="P558" s="6">
        <v>45</v>
      </c>
      <c r="Q558" s="131">
        <f t="shared" si="80"/>
        <v>2.56</v>
      </c>
      <c r="R558" s="33">
        <f t="shared" si="84"/>
        <v>45</v>
      </c>
      <c r="S558" s="132">
        <f t="shared" si="81"/>
        <v>5.625</v>
      </c>
      <c r="T558" s="132">
        <f t="shared" si="82"/>
        <v>5.625</v>
      </c>
      <c r="V558" s="131" t="str">
        <f t="shared" si="83"/>
        <v/>
      </c>
      <c r="W558" s="17"/>
      <c r="X558" s="7"/>
      <c r="Y558" s="161"/>
      <c r="Z558" s="7"/>
      <c r="AA558" s="117"/>
      <c r="AB558" s="117"/>
      <c r="AC558" s="117"/>
      <c r="CH558">
        <v>4</v>
      </c>
      <c r="CI558">
        <v>56</v>
      </c>
    </row>
    <row r="559" spans="1:87" x14ac:dyDescent="0.3">
      <c r="A559" s="2">
        <v>715</v>
      </c>
      <c r="B559" s="2" t="s">
        <v>0</v>
      </c>
      <c r="C559" s="2" t="s">
        <v>1</v>
      </c>
      <c r="D559" s="2" t="s">
        <v>973</v>
      </c>
      <c r="E559" s="2">
        <v>1000</v>
      </c>
      <c r="F559" s="2">
        <v>2.4199999999999999E-2</v>
      </c>
      <c r="G559" s="2">
        <v>2.0400000000000001E-2</v>
      </c>
      <c r="H559" s="4">
        <f t="shared" si="79"/>
        <v>0.15702479338842967</v>
      </c>
      <c r="I559" s="2" t="s">
        <v>98</v>
      </c>
      <c r="J559" s="2" t="s">
        <v>956</v>
      </c>
      <c r="K559" s="2" t="s">
        <v>75</v>
      </c>
      <c r="L559" s="2" t="s">
        <v>76</v>
      </c>
      <c r="M559" s="155"/>
      <c r="N559" s="155"/>
      <c r="O559" s="2">
        <v>4</v>
      </c>
      <c r="P559" s="6">
        <v>45</v>
      </c>
      <c r="Q559" s="131">
        <f t="shared" si="80"/>
        <v>2.56</v>
      </c>
      <c r="R559" s="33">
        <f t="shared" si="84"/>
        <v>45</v>
      </c>
      <c r="S559" s="132">
        <f t="shared" si="81"/>
        <v>5.625</v>
      </c>
      <c r="T559" s="132">
        <f t="shared" si="82"/>
        <v>5.625</v>
      </c>
      <c r="V559" s="131" t="str">
        <f t="shared" si="83"/>
        <v/>
      </c>
      <c r="W559" s="17"/>
      <c r="X559" s="7"/>
      <c r="Y559" s="161"/>
      <c r="Z559" s="7"/>
      <c r="AA559" s="117"/>
      <c r="AB559" s="117"/>
      <c r="AC559" s="117"/>
      <c r="CH559">
        <v>4</v>
      </c>
      <c r="CI559">
        <v>66</v>
      </c>
    </row>
    <row r="560" spans="1:87" x14ac:dyDescent="0.3">
      <c r="A560" s="2">
        <v>716</v>
      </c>
      <c r="B560" s="2" t="s">
        <v>0</v>
      </c>
      <c r="C560" s="2" t="s">
        <v>1</v>
      </c>
      <c r="D560" s="2" t="s">
        <v>974</v>
      </c>
      <c r="E560" s="2">
        <v>1000</v>
      </c>
      <c r="F560" s="2">
        <v>2.4199999999999999E-2</v>
      </c>
      <c r="G560" s="2">
        <v>2.0400000000000001E-2</v>
      </c>
      <c r="H560" s="4">
        <f t="shared" si="79"/>
        <v>0.15702479338842967</v>
      </c>
      <c r="I560" s="2" t="s">
        <v>98</v>
      </c>
      <c r="J560" s="2" t="s">
        <v>956</v>
      </c>
      <c r="K560" s="2" t="s">
        <v>75</v>
      </c>
      <c r="L560" s="2" t="s">
        <v>76</v>
      </c>
      <c r="M560" s="155"/>
      <c r="N560" s="155"/>
      <c r="O560" s="2">
        <v>4</v>
      </c>
      <c r="P560" s="6">
        <v>45</v>
      </c>
      <c r="Q560" s="131">
        <f t="shared" si="80"/>
        <v>2.56</v>
      </c>
      <c r="R560" s="33">
        <f t="shared" si="84"/>
        <v>45</v>
      </c>
      <c r="S560" s="132">
        <f t="shared" si="81"/>
        <v>5.625</v>
      </c>
      <c r="T560" s="132">
        <f t="shared" si="82"/>
        <v>5.625</v>
      </c>
      <c r="V560" s="131" t="str">
        <f t="shared" si="83"/>
        <v/>
      </c>
      <c r="W560" s="17"/>
      <c r="X560" s="7"/>
      <c r="Y560" s="161"/>
      <c r="Z560" s="7"/>
      <c r="AA560" s="117"/>
      <c r="AB560" s="117"/>
      <c r="AC560" s="117"/>
      <c r="CH560">
        <v>3</v>
      </c>
      <c r="CI560">
        <v>86</v>
      </c>
    </row>
    <row r="561" spans="1:87" x14ac:dyDescent="0.3">
      <c r="A561" s="2">
        <v>717</v>
      </c>
      <c r="B561" s="2" t="s">
        <v>0</v>
      </c>
      <c r="C561" s="2" t="s">
        <v>1</v>
      </c>
      <c r="D561" s="2" t="s">
        <v>975</v>
      </c>
      <c r="E561" s="2">
        <v>1000</v>
      </c>
      <c r="F561" s="2">
        <v>2.4199999999999999E-2</v>
      </c>
      <c r="G561" s="2">
        <v>2.0400000000000001E-2</v>
      </c>
      <c r="H561" s="4">
        <f t="shared" si="79"/>
        <v>0.15702479338842967</v>
      </c>
      <c r="I561" s="2" t="s">
        <v>98</v>
      </c>
      <c r="J561" s="2" t="s">
        <v>956</v>
      </c>
      <c r="K561" s="2" t="s">
        <v>75</v>
      </c>
      <c r="L561" s="2" t="s">
        <v>76</v>
      </c>
      <c r="M561" s="155"/>
      <c r="N561" s="155"/>
      <c r="O561" s="2">
        <v>4</v>
      </c>
      <c r="P561" s="6">
        <v>45</v>
      </c>
      <c r="Q561" s="131">
        <f t="shared" si="80"/>
        <v>2.56</v>
      </c>
      <c r="R561" s="33">
        <f t="shared" si="84"/>
        <v>45</v>
      </c>
      <c r="S561" s="132">
        <f t="shared" si="81"/>
        <v>5.625</v>
      </c>
      <c r="T561" s="132">
        <f t="shared" si="82"/>
        <v>5.625</v>
      </c>
      <c r="V561" s="131" t="str">
        <f t="shared" si="83"/>
        <v/>
      </c>
      <c r="W561" s="17"/>
      <c r="X561" s="7"/>
      <c r="Y561" s="161"/>
      <c r="Z561" s="7"/>
      <c r="AA561" s="117"/>
      <c r="AB561" s="117"/>
      <c r="AC561" s="117"/>
      <c r="CH561">
        <v>5</v>
      </c>
      <c r="CI561">
        <v>44</v>
      </c>
    </row>
    <row r="562" spans="1:87" x14ac:dyDescent="0.3">
      <c r="A562" s="2">
        <v>718</v>
      </c>
      <c r="B562" s="2" t="s">
        <v>0</v>
      </c>
      <c r="C562" s="2" t="s">
        <v>1</v>
      </c>
      <c r="D562" s="2" t="s">
        <v>976</v>
      </c>
      <c r="E562" s="2">
        <v>1000</v>
      </c>
      <c r="F562" s="2">
        <v>2.4199999999999999E-2</v>
      </c>
      <c r="G562" s="2">
        <v>2.0400000000000001E-2</v>
      </c>
      <c r="H562" s="4">
        <f t="shared" si="79"/>
        <v>0.15702479338842967</v>
      </c>
      <c r="I562" s="2" t="s">
        <v>98</v>
      </c>
      <c r="J562" s="2" t="s">
        <v>956</v>
      </c>
      <c r="K562" s="2" t="s">
        <v>75</v>
      </c>
      <c r="L562" s="2" t="s">
        <v>76</v>
      </c>
      <c r="M562" s="155"/>
      <c r="N562" s="155"/>
      <c r="O562" s="2">
        <v>4</v>
      </c>
      <c r="P562" s="6">
        <v>45</v>
      </c>
      <c r="Q562" s="131">
        <f t="shared" si="80"/>
        <v>2.56</v>
      </c>
      <c r="R562" s="33">
        <f t="shared" si="84"/>
        <v>45</v>
      </c>
      <c r="S562" s="132">
        <f t="shared" si="81"/>
        <v>5.625</v>
      </c>
      <c r="T562" s="132">
        <f t="shared" si="82"/>
        <v>5.625</v>
      </c>
      <c r="V562" s="131" t="str">
        <f t="shared" si="83"/>
        <v/>
      </c>
      <c r="W562" s="17"/>
      <c r="X562" s="7"/>
      <c r="Y562" s="161"/>
      <c r="Z562" s="7"/>
      <c r="AA562" s="117"/>
      <c r="AB562" s="117"/>
      <c r="AC562" s="117"/>
      <c r="CH562">
        <v>1</v>
      </c>
      <c r="CI562">
        <v>77</v>
      </c>
    </row>
    <row r="563" spans="1:87" x14ac:dyDescent="0.3">
      <c r="A563" s="2">
        <v>719</v>
      </c>
      <c r="B563" s="2" t="s">
        <v>0</v>
      </c>
      <c r="C563" s="2" t="s">
        <v>1</v>
      </c>
      <c r="D563" s="2" t="s">
        <v>977</v>
      </c>
      <c r="E563" s="2">
        <v>1000</v>
      </c>
      <c r="F563" s="2">
        <v>2.4199999999999999E-2</v>
      </c>
      <c r="G563" s="2">
        <v>2.0400000000000001E-2</v>
      </c>
      <c r="H563" s="4">
        <f t="shared" si="79"/>
        <v>0.15702479338842967</v>
      </c>
      <c r="I563" s="2" t="s">
        <v>98</v>
      </c>
      <c r="J563" s="2" t="s">
        <v>956</v>
      </c>
      <c r="K563" s="2" t="s">
        <v>75</v>
      </c>
      <c r="L563" s="2" t="s">
        <v>76</v>
      </c>
      <c r="M563" s="155"/>
      <c r="N563" s="155"/>
      <c r="O563" s="2">
        <v>4</v>
      </c>
      <c r="P563" s="6">
        <v>45</v>
      </c>
      <c r="Q563" s="131">
        <f t="shared" si="80"/>
        <v>2.56</v>
      </c>
      <c r="R563" s="33">
        <f t="shared" si="84"/>
        <v>45</v>
      </c>
      <c r="S563" s="132">
        <f t="shared" si="81"/>
        <v>5.625</v>
      </c>
      <c r="T563" s="132">
        <f t="shared" si="82"/>
        <v>5.625</v>
      </c>
      <c r="V563" s="131" t="str">
        <f t="shared" si="83"/>
        <v/>
      </c>
      <c r="W563" s="17"/>
      <c r="X563" s="7"/>
      <c r="Y563" s="161"/>
      <c r="Z563" s="7"/>
      <c r="AA563" s="117"/>
      <c r="AB563" s="117"/>
      <c r="AC563" s="117"/>
      <c r="CH563">
        <v>6</v>
      </c>
      <c r="CI563">
        <v>53</v>
      </c>
    </row>
    <row r="564" spans="1:87" x14ac:dyDescent="0.3">
      <c r="A564" s="2">
        <v>720</v>
      </c>
      <c r="B564" s="2" t="s">
        <v>0</v>
      </c>
      <c r="C564" s="2" t="s">
        <v>1</v>
      </c>
      <c r="D564" s="2" t="s">
        <v>978</v>
      </c>
      <c r="E564" s="2">
        <v>1000</v>
      </c>
      <c r="F564" s="2">
        <v>2.4199999999999999E-2</v>
      </c>
      <c r="G564" s="2">
        <v>2.0400000000000001E-2</v>
      </c>
      <c r="H564" s="4">
        <f t="shared" si="79"/>
        <v>0.15702479338842967</v>
      </c>
      <c r="I564" s="2" t="s">
        <v>98</v>
      </c>
      <c r="J564" s="2" t="s">
        <v>956</v>
      </c>
      <c r="K564" s="2" t="s">
        <v>75</v>
      </c>
      <c r="L564" s="2" t="s">
        <v>76</v>
      </c>
      <c r="M564" s="155"/>
      <c r="N564" s="155"/>
      <c r="O564" s="2">
        <v>4</v>
      </c>
      <c r="P564" s="6">
        <v>45</v>
      </c>
      <c r="Q564" s="131">
        <f t="shared" si="80"/>
        <v>2.56</v>
      </c>
      <c r="R564" s="33">
        <f t="shared" si="84"/>
        <v>45</v>
      </c>
      <c r="S564" s="132">
        <f t="shared" si="81"/>
        <v>5.625</v>
      </c>
      <c r="T564" s="132">
        <f t="shared" si="82"/>
        <v>5.625</v>
      </c>
      <c r="V564" s="131" t="str">
        <f t="shared" si="83"/>
        <v/>
      </c>
      <c r="W564" s="17"/>
      <c r="X564" s="7"/>
      <c r="Y564" s="161"/>
      <c r="Z564" s="7"/>
      <c r="AA564" s="117"/>
      <c r="AB564" s="117"/>
      <c r="AC564" s="117"/>
      <c r="CH564">
        <v>2</v>
      </c>
      <c r="CI564">
        <v>40</v>
      </c>
    </row>
    <row r="565" spans="1:87" x14ac:dyDescent="0.3">
      <c r="A565" s="2">
        <v>721</v>
      </c>
      <c r="B565" s="2" t="s">
        <v>0</v>
      </c>
      <c r="C565" s="2" t="s">
        <v>1</v>
      </c>
      <c r="D565" s="2" t="s">
        <v>979</v>
      </c>
      <c r="E565" s="2">
        <v>1000</v>
      </c>
      <c r="F565" s="2">
        <v>2.4199999999999999E-2</v>
      </c>
      <c r="G565" s="2">
        <v>2.0400000000000001E-2</v>
      </c>
      <c r="H565" s="4">
        <f t="shared" si="79"/>
        <v>0.15702479338842967</v>
      </c>
      <c r="I565" s="2" t="s">
        <v>98</v>
      </c>
      <c r="J565" s="2" t="s">
        <v>956</v>
      </c>
      <c r="K565" s="2" t="s">
        <v>75</v>
      </c>
      <c r="L565" s="2" t="s">
        <v>76</v>
      </c>
      <c r="M565" s="155"/>
      <c r="N565" s="155"/>
      <c r="O565" s="2">
        <v>4</v>
      </c>
      <c r="P565" s="6">
        <v>45</v>
      </c>
      <c r="Q565" s="131">
        <f t="shared" si="80"/>
        <v>2.56</v>
      </c>
      <c r="R565" s="33">
        <f t="shared" si="84"/>
        <v>45</v>
      </c>
      <c r="S565" s="132">
        <f t="shared" si="81"/>
        <v>5.625</v>
      </c>
      <c r="T565" s="132">
        <f t="shared" si="82"/>
        <v>5.625</v>
      </c>
      <c r="V565" s="131" t="str">
        <f t="shared" si="83"/>
        <v/>
      </c>
      <c r="W565" s="17"/>
      <c r="X565" s="7"/>
      <c r="Y565" s="161"/>
      <c r="Z565" s="7"/>
      <c r="AA565" s="117"/>
      <c r="AB565" s="117"/>
      <c r="AC565" s="117"/>
      <c r="CH565">
        <v>4</v>
      </c>
      <c r="CI565">
        <v>63</v>
      </c>
    </row>
    <row r="566" spans="1:87" x14ac:dyDescent="0.3">
      <c r="A566" s="2">
        <v>722</v>
      </c>
      <c r="B566" s="2" t="s">
        <v>0</v>
      </c>
      <c r="C566" s="2" t="s">
        <v>1</v>
      </c>
      <c r="D566" s="2" t="s">
        <v>980</v>
      </c>
      <c r="E566" s="2">
        <v>1000</v>
      </c>
      <c r="F566" s="2">
        <v>6.6E-3</v>
      </c>
      <c r="G566" s="2">
        <v>4.1999999999999997E-3</v>
      </c>
      <c r="H566" s="4">
        <f t="shared" si="79"/>
        <v>0.36363636363636365</v>
      </c>
      <c r="I566" s="2" t="s">
        <v>98</v>
      </c>
      <c r="J566" s="2" t="s">
        <v>981</v>
      </c>
      <c r="K566" s="2" t="s">
        <v>982</v>
      </c>
      <c r="L566" s="2" t="s">
        <v>983</v>
      </c>
      <c r="M566" s="155"/>
      <c r="N566" s="155"/>
      <c r="O566" s="2">
        <v>24</v>
      </c>
      <c r="P566" s="6">
        <v>40</v>
      </c>
      <c r="Q566" s="131">
        <f t="shared" si="80"/>
        <v>17.28</v>
      </c>
      <c r="R566" s="33">
        <f t="shared" si="84"/>
        <v>40</v>
      </c>
      <c r="S566" s="132">
        <f t="shared" si="81"/>
        <v>5</v>
      </c>
      <c r="T566" s="132">
        <f t="shared" si="82"/>
        <v>5</v>
      </c>
      <c r="V566" s="131" t="str">
        <f t="shared" si="83"/>
        <v/>
      </c>
      <c r="W566" s="17"/>
      <c r="X566" s="7"/>
      <c r="Y566" s="161"/>
      <c r="Z566" s="7"/>
      <c r="AA566" s="117"/>
      <c r="AB566" s="117"/>
      <c r="AC566" s="117"/>
      <c r="CH566">
        <v>4</v>
      </c>
      <c r="CI566">
        <v>32</v>
      </c>
    </row>
    <row r="567" spans="1:87" x14ac:dyDescent="0.3">
      <c r="A567" s="2">
        <v>725</v>
      </c>
      <c r="B567" s="2" t="s">
        <v>0</v>
      </c>
      <c r="C567" s="2" t="s">
        <v>1</v>
      </c>
      <c r="D567" s="2" t="s">
        <v>984</v>
      </c>
      <c r="E567" s="2">
        <v>1320</v>
      </c>
      <c r="F567" s="2">
        <v>7.1999999999999998E-3</v>
      </c>
      <c r="G567" s="2">
        <v>5.4000000000000003E-3</v>
      </c>
      <c r="H567" s="4">
        <f t="shared" ref="H567:H630" si="85">(F567-G567)/F567</f>
        <v>0.24999999999999994</v>
      </c>
      <c r="I567" s="2" t="s">
        <v>98</v>
      </c>
      <c r="J567" s="2" t="s">
        <v>985</v>
      </c>
      <c r="K567" s="2" t="s">
        <v>105</v>
      </c>
      <c r="L567" s="2" t="s">
        <v>76</v>
      </c>
      <c r="M567" s="155"/>
      <c r="N567" s="155"/>
      <c r="O567" s="2">
        <v>30</v>
      </c>
      <c r="P567" s="6">
        <v>8</v>
      </c>
      <c r="Q567" s="131">
        <f t="shared" ref="Q567:Q630" si="86">IFERROR(60*60*8*O567/E567/P567,"")</f>
        <v>81.818181818181813</v>
      </c>
      <c r="R567" s="33">
        <f t="shared" si="84"/>
        <v>8</v>
      </c>
      <c r="S567" s="132">
        <f t="shared" ref="S567:S630" si="87">IFERROR(R567/8,"")</f>
        <v>1</v>
      </c>
      <c r="T567" s="132">
        <f t="shared" ref="T567:T630" si="88">IFERROR(IF(R567&gt;2,S567,""),"")</f>
        <v>1</v>
      </c>
      <c r="V567" s="131" t="str">
        <f t="shared" ref="V567:V630" si="89">IF(X567&gt;10,X567*O567/E567,"")</f>
        <v/>
      </c>
      <c r="W567" s="17"/>
      <c r="X567" s="7"/>
      <c r="Y567" s="161"/>
      <c r="Z567" s="7"/>
      <c r="AA567" s="117"/>
      <c r="AB567" s="117"/>
      <c r="AC567" s="117"/>
      <c r="CH567">
        <v>1</v>
      </c>
      <c r="CI567">
        <v>59</v>
      </c>
    </row>
    <row r="568" spans="1:87" x14ac:dyDescent="0.3">
      <c r="A568" s="2">
        <v>733</v>
      </c>
      <c r="B568" s="2" t="s">
        <v>0</v>
      </c>
      <c r="C568" s="2" t="s">
        <v>1</v>
      </c>
      <c r="D568" s="2" t="s">
        <v>986</v>
      </c>
      <c r="E568" s="2">
        <v>750</v>
      </c>
      <c r="F568" s="2">
        <v>4.0099999999999997E-2</v>
      </c>
      <c r="G568" s="2">
        <v>3.3099999999999997E-2</v>
      </c>
      <c r="H568" s="4">
        <f t="shared" si="85"/>
        <v>0.1745635910224439</v>
      </c>
      <c r="I568" s="2" t="s">
        <v>98</v>
      </c>
      <c r="J568" s="2" t="s">
        <v>987</v>
      </c>
      <c r="K568" s="2" t="s">
        <v>413</v>
      </c>
      <c r="L568" s="2" t="s">
        <v>76</v>
      </c>
      <c r="M568" s="155"/>
      <c r="N568" s="155"/>
      <c r="O568" s="2">
        <v>3</v>
      </c>
      <c r="P568" s="6">
        <v>45</v>
      </c>
      <c r="Q568" s="131">
        <f t="shared" si="86"/>
        <v>2.56</v>
      </c>
      <c r="R568" s="33">
        <f t="shared" si="84"/>
        <v>45</v>
      </c>
      <c r="S568" s="132">
        <f t="shared" si="87"/>
        <v>5.625</v>
      </c>
      <c r="T568" s="132">
        <f t="shared" si="88"/>
        <v>5.625</v>
      </c>
      <c r="V568" s="131" t="str">
        <f t="shared" si="89"/>
        <v/>
      </c>
      <c r="W568" s="17"/>
      <c r="X568" s="7"/>
      <c r="Y568" s="161"/>
      <c r="Z568" s="7"/>
      <c r="AA568" s="117"/>
      <c r="AB568" s="117"/>
      <c r="AC568" s="117"/>
      <c r="CH568">
        <v>3</v>
      </c>
      <c r="CI568">
        <v>38</v>
      </c>
    </row>
    <row r="569" spans="1:87" x14ac:dyDescent="0.3">
      <c r="A569" s="2">
        <v>734</v>
      </c>
      <c r="B569" s="2" t="s">
        <v>0</v>
      </c>
      <c r="C569" s="2" t="s">
        <v>1</v>
      </c>
      <c r="D569" s="2" t="s">
        <v>988</v>
      </c>
      <c r="E569" s="2">
        <v>750</v>
      </c>
      <c r="F569" s="2">
        <v>4.0099999999999997E-2</v>
      </c>
      <c r="G569" s="2">
        <v>3.3099999999999997E-2</v>
      </c>
      <c r="H569" s="4">
        <f t="shared" si="85"/>
        <v>0.1745635910224439</v>
      </c>
      <c r="I569" s="2" t="s">
        <v>98</v>
      </c>
      <c r="J569" s="2" t="s">
        <v>987</v>
      </c>
      <c r="K569" s="2" t="s">
        <v>413</v>
      </c>
      <c r="L569" s="2" t="s">
        <v>76</v>
      </c>
      <c r="M569" s="155"/>
      <c r="N569" s="155"/>
      <c r="O569" s="2">
        <v>3</v>
      </c>
      <c r="P569" s="6">
        <v>45</v>
      </c>
      <c r="Q569" s="131">
        <f t="shared" si="86"/>
        <v>2.56</v>
      </c>
      <c r="R569" s="33">
        <f t="shared" si="84"/>
        <v>45</v>
      </c>
      <c r="S569" s="132">
        <f t="shared" si="87"/>
        <v>5.625</v>
      </c>
      <c r="T569" s="132">
        <f t="shared" si="88"/>
        <v>5.625</v>
      </c>
      <c r="V569" s="131" t="str">
        <f t="shared" si="89"/>
        <v/>
      </c>
      <c r="W569" s="17"/>
      <c r="X569" s="7"/>
      <c r="Y569" s="161"/>
      <c r="Z569" s="7"/>
      <c r="AA569" s="117"/>
      <c r="AB569" s="117"/>
      <c r="AC569" s="117"/>
      <c r="CH569">
        <v>1</v>
      </c>
      <c r="CI569">
        <v>56</v>
      </c>
    </row>
    <row r="570" spans="1:87" x14ac:dyDescent="0.3">
      <c r="A570" s="2">
        <v>2069</v>
      </c>
      <c r="B570" s="2" t="s">
        <v>0</v>
      </c>
      <c r="C570" s="2" t="s">
        <v>1</v>
      </c>
      <c r="D570" s="2" t="s">
        <v>989</v>
      </c>
      <c r="E570" s="2">
        <v>750</v>
      </c>
      <c r="F570" s="2">
        <v>4.0099999999999997E-2</v>
      </c>
      <c r="G570" s="2">
        <v>3.3099999999999997E-2</v>
      </c>
      <c r="H570" s="4">
        <f t="shared" si="85"/>
        <v>0.1745635910224439</v>
      </c>
      <c r="I570" s="2" t="s">
        <v>98</v>
      </c>
      <c r="J570" s="2" t="s">
        <v>990</v>
      </c>
      <c r="K570" s="2" t="s">
        <v>413</v>
      </c>
      <c r="L570" s="2" t="s">
        <v>76</v>
      </c>
      <c r="M570" s="155"/>
      <c r="N570" s="155"/>
      <c r="O570" s="2">
        <v>3</v>
      </c>
      <c r="P570" s="6">
        <v>45</v>
      </c>
      <c r="Q570" s="131">
        <f t="shared" si="86"/>
        <v>2.56</v>
      </c>
      <c r="R570" s="33">
        <f t="shared" si="84"/>
        <v>45</v>
      </c>
      <c r="S570" s="132">
        <f t="shared" si="87"/>
        <v>5.625</v>
      </c>
      <c r="T570" s="132">
        <f t="shared" si="88"/>
        <v>5.625</v>
      </c>
      <c r="V570" s="131" t="str">
        <f t="shared" si="89"/>
        <v/>
      </c>
      <c r="W570" s="17"/>
      <c r="X570" s="7"/>
      <c r="Y570" s="161"/>
      <c r="Z570" s="7"/>
      <c r="AA570" s="117"/>
      <c r="AB570" s="117"/>
      <c r="AC570" s="117"/>
      <c r="CH570">
        <v>2</v>
      </c>
      <c r="CI570">
        <v>39</v>
      </c>
    </row>
    <row r="571" spans="1:87" x14ac:dyDescent="0.3">
      <c r="A571" s="2">
        <v>2070</v>
      </c>
      <c r="B571" s="2" t="s">
        <v>0</v>
      </c>
      <c r="C571" s="2" t="s">
        <v>1</v>
      </c>
      <c r="D571" s="2" t="s">
        <v>991</v>
      </c>
      <c r="E571" s="2">
        <v>750</v>
      </c>
      <c r="F571" s="2">
        <v>4.0099999999999997E-2</v>
      </c>
      <c r="G571" s="2">
        <v>3.3099999999999997E-2</v>
      </c>
      <c r="H571" s="4">
        <f t="shared" si="85"/>
        <v>0.1745635910224439</v>
      </c>
      <c r="I571" s="2" t="s">
        <v>98</v>
      </c>
      <c r="J571" s="2" t="s">
        <v>990</v>
      </c>
      <c r="K571" s="2" t="s">
        <v>413</v>
      </c>
      <c r="L571" s="2" t="s">
        <v>76</v>
      </c>
      <c r="M571" s="155"/>
      <c r="N571" s="155"/>
      <c r="O571" s="2">
        <v>3</v>
      </c>
      <c r="P571" s="6">
        <v>45</v>
      </c>
      <c r="Q571" s="131">
        <f t="shared" si="86"/>
        <v>2.56</v>
      </c>
      <c r="R571" s="33">
        <f t="shared" si="84"/>
        <v>45</v>
      </c>
      <c r="S571" s="132">
        <f t="shared" si="87"/>
        <v>5.625</v>
      </c>
      <c r="T571" s="132">
        <f t="shared" si="88"/>
        <v>5.625</v>
      </c>
      <c r="V571" s="131" t="str">
        <f t="shared" si="89"/>
        <v/>
      </c>
      <c r="W571" s="17"/>
      <c r="X571" s="7"/>
      <c r="Y571" s="161"/>
      <c r="Z571" s="7"/>
      <c r="AA571" s="117"/>
      <c r="AB571" s="117"/>
      <c r="AC571" s="117"/>
      <c r="CH571">
        <v>2</v>
      </c>
      <c r="CI571">
        <v>39</v>
      </c>
    </row>
    <row r="572" spans="1:87" x14ac:dyDescent="0.3">
      <c r="A572" s="2">
        <v>2066</v>
      </c>
      <c r="B572" s="2" t="s">
        <v>0</v>
      </c>
      <c r="C572" s="2" t="s">
        <v>1</v>
      </c>
      <c r="D572" s="2" t="s">
        <v>992</v>
      </c>
      <c r="E572" s="2">
        <v>750</v>
      </c>
      <c r="F572" s="2">
        <v>4.0099999999999997E-2</v>
      </c>
      <c r="G572" s="2">
        <v>3.3099999999999997E-2</v>
      </c>
      <c r="H572" s="4">
        <f t="shared" si="85"/>
        <v>0.1745635910224439</v>
      </c>
      <c r="I572" s="2" t="s">
        <v>98</v>
      </c>
      <c r="J572" s="2" t="s">
        <v>990</v>
      </c>
      <c r="K572" s="2" t="s">
        <v>413</v>
      </c>
      <c r="L572" s="2" t="s">
        <v>76</v>
      </c>
      <c r="M572" s="155"/>
      <c r="N572" s="155"/>
      <c r="O572" s="2">
        <v>3</v>
      </c>
      <c r="P572" s="6">
        <v>45</v>
      </c>
      <c r="Q572" s="131">
        <f t="shared" si="86"/>
        <v>2.56</v>
      </c>
      <c r="R572" s="33">
        <f t="shared" si="84"/>
        <v>45</v>
      </c>
      <c r="S572" s="132">
        <f t="shared" si="87"/>
        <v>5.625</v>
      </c>
      <c r="T572" s="132">
        <f t="shared" si="88"/>
        <v>5.625</v>
      </c>
      <c r="V572" s="131" t="str">
        <f t="shared" si="89"/>
        <v/>
      </c>
      <c r="W572" s="17"/>
      <c r="X572" s="7"/>
      <c r="Y572" s="161"/>
      <c r="Z572" s="7"/>
      <c r="AA572" s="117"/>
      <c r="AB572" s="117"/>
      <c r="AC572" s="117"/>
      <c r="CH572">
        <v>3</v>
      </c>
      <c r="CI572">
        <v>71</v>
      </c>
    </row>
    <row r="573" spans="1:87" x14ac:dyDescent="0.3">
      <c r="A573" s="2">
        <v>2068</v>
      </c>
      <c r="B573" s="2" t="s">
        <v>0</v>
      </c>
      <c r="C573" s="2" t="s">
        <v>1</v>
      </c>
      <c r="D573" s="2" t="s">
        <v>993</v>
      </c>
      <c r="E573" s="2">
        <v>750</v>
      </c>
      <c r="F573" s="2">
        <v>4.0099999999999997E-2</v>
      </c>
      <c r="G573" s="2">
        <v>3.3099999999999997E-2</v>
      </c>
      <c r="H573" s="4">
        <f t="shared" si="85"/>
        <v>0.1745635910224439</v>
      </c>
      <c r="I573" s="2" t="s">
        <v>98</v>
      </c>
      <c r="J573" s="2" t="s">
        <v>990</v>
      </c>
      <c r="K573" s="2" t="s">
        <v>413</v>
      </c>
      <c r="L573" s="2" t="s">
        <v>76</v>
      </c>
      <c r="M573" s="155"/>
      <c r="N573" s="155"/>
      <c r="O573" s="2">
        <v>3</v>
      </c>
      <c r="P573" s="6">
        <v>45</v>
      </c>
      <c r="Q573" s="131">
        <f t="shared" si="86"/>
        <v>2.56</v>
      </c>
      <c r="R573" s="33">
        <f t="shared" ref="R573:R636" si="90">IFERROR(60*60*8*O573/E573/Q573,"")</f>
        <v>45</v>
      </c>
      <c r="S573" s="132">
        <f t="shared" si="87"/>
        <v>5.625</v>
      </c>
      <c r="T573" s="132">
        <f t="shared" si="88"/>
        <v>5.625</v>
      </c>
      <c r="V573" s="131" t="str">
        <f t="shared" si="89"/>
        <v/>
      </c>
      <c r="W573" s="17"/>
      <c r="X573" s="7"/>
      <c r="Y573" s="161"/>
      <c r="Z573" s="7"/>
      <c r="AA573" s="117"/>
      <c r="AB573" s="117"/>
      <c r="AC573" s="117"/>
      <c r="CH573">
        <v>1</v>
      </c>
      <c r="CI573">
        <v>54</v>
      </c>
    </row>
    <row r="574" spans="1:87" x14ac:dyDescent="0.3">
      <c r="A574" s="2">
        <v>736</v>
      </c>
      <c r="B574" s="2" t="s">
        <v>0</v>
      </c>
      <c r="C574" s="2" t="s">
        <v>1</v>
      </c>
      <c r="D574" s="2" t="s">
        <v>994</v>
      </c>
      <c r="E574" s="2">
        <v>750</v>
      </c>
      <c r="F574" s="2">
        <v>4.0099999999999997E-2</v>
      </c>
      <c r="G574" s="2">
        <v>3.3099999999999997E-2</v>
      </c>
      <c r="H574" s="4">
        <f t="shared" si="85"/>
        <v>0.1745635910224439</v>
      </c>
      <c r="I574" s="2" t="s">
        <v>98</v>
      </c>
      <c r="J574" s="2" t="s">
        <v>987</v>
      </c>
      <c r="K574" s="2" t="s">
        <v>413</v>
      </c>
      <c r="L574" s="2" t="s">
        <v>76</v>
      </c>
      <c r="M574" s="155"/>
      <c r="N574" s="155"/>
      <c r="O574" s="2">
        <v>3</v>
      </c>
      <c r="P574" s="6">
        <v>45</v>
      </c>
      <c r="Q574" s="131">
        <f t="shared" si="86"/>
        <v>2.56</v>
      </c>
      <c r="R574" s="33">
        <f t="shared" si="90"/>
        <v>45</v>
      </c>
      <c r="S574" s="132">
        <f t="shared" si="87"/>
        <v>5.625</v>
      </c>
      <c r="T574" s="132">
        <f t="shared" si="88"/>
        <v>5.625</v>
      </c>
      <c r="V574" s="131" t="str">
        <f t="shared" si="89"/>
        <v/>
      </c>
      <c r="W574" s="17"/>
      <c r="X574" s="7"/>
      <c r="Y574" s="161"/>
      <c r="Z574" s="7"/>
      <c r="AA574" s="117"/>
      <c r="AB574" s="117"/>
      <c r="AC574" s="117"/>
      <c r="CH574">
        <v>1</v>
      </c>
      <c r="CI574">
        <v>35</v>
      </c>
    </row>
    <row r="575" spans="1:87" x14ac:dyDescent="0.3">
      <c r="A575" s="2">
        <v>737</v>
      </c>
      <c r="B575" s="2" t="s">
        <v>0</v>
      </c>
      <c r="C575" s="2" t="s">
        <v>1</v>
      </c>
      <c r="D575" s="2" t="s">
        <v>995</v>
      </c>
      <c r="E575" s="2">
        <v>1000</v>
      </c>
      <c r="F575" s="2">
        <v>6.6E-3</v>
      </c>
      <c r="G575" s="2">
        <v>4.1999999999999997E-3</v>
      </c>
      <c r="H575" s="4">
        <f t="shared" si="85"/>
        <v>0.36363636363636365</v>
      </c>
      <c r="I575" s="2" t="s">
        <v>98</v>
      </c>
      <c r="J575" s="2" t="s">
        <v>996</v>
      </c>
      <c r="K575" s="2" t="s">
        <v>982</v>
      </c>
      <c r="L575" s="2" t="s">
        <v>983</v>
      </c>
      <c r="M575" s="155"/>
      <c r="N575" s="155"/>
      <c r="O575" s="2">
        <v>24</v>
      </c>
      <c r="P575" s="6">
        <v>40</v>
      </c>
      <c r="Q575" s="131">
        <f t="shared" si="86"/>
        <v>17.28</v>
      </c>
      <c r="R575" s="33">
        <f t="shared" si="90"/>
        <v>40</v>
      </c>
      <c r="S575" s="132">
        <f t="shared" si="87"/>
        <v>5</v>
      </c>
      <c r="T575" s="132">
        <f t="shared" si="88"/>
        <v>5</v>
      </c>
      <c r="V575" s="131" t="str">
        <f t="shared" si="89"/>
        <v/>
      </c>
      <c r="W575" s="17"/>
      <c r="X575" s="7"/>
      <c r="Y575" s="161"/>
      <c r="Z575" s="7"/>
      <c r="AA575" s="117"/>
      <c r="AB575" s="117"/>
      <c r="AC575" s="117"/>
      <c r="CH575">
        <v>3</v>
      </c>
      <c r="CI575">
        <v>32</v>
      </c>
    </row>
    <row r="576" spans="1:87" x14ac:dyDescent="0.3">
      <c r="A576" s="2">
        <v>738</v>
      </c>
      <c r="B576" s="2" t="s">
        <v>0</v>
      </c>
      <c r="C576" s="2" t="s">
        <v>1</v>
      </c>
      <c r="D576" s="2" t="s">
        <v>997</v>
      </c>
      <c r="E576" s="2">
        <v>750</v>
      </c>
      <c r="F576" s="2">
        <v>4.0099999999999997E-2</v>
      </c>
      <c r="G576" s="2">
        <v>3.3099999999999997E-2</v>
      </c>
      <c r="H576" s="4">
        <f t="shared" si="85"/>
        <v>0.1745635910224439</v>
      </c>
      <c r="I576" s="2" t="s">
        <v>98</v>
      </c>
      <c r="J576" s="2" t="s">
        <v>987</v>
      </c>
      <c r="K576" s="2" t="s">
        <v>413</v>
      </c>
      <c r="L576" s="2" t="s">
        <v>76</v>
      </c>
      <c r="M576" s="155"/>
      <c r="N576" s="155"/>
      <c r="O576" s="2">
        <v>3</v>
      </c>
      <c r="P576" s="6">
        <v>45</v>
      </c>
      <c r="Q576" s="131">
        <f t="shared" si="86"/>
        <v>2.56</v>
      </c>
      <c r="R576" s="33">
        <f t="shared" si="90"/>
        <v>45</v>
      </c>
      <c r="S576" s="132">
        <f t="shared" si="87"/>
        <v>5.625</v>
      </c>
      <c r="T576" s="132">
        <f t="shared" si="88"/>
        <v>5.625</v>
      </c>
      <c r="V576" s="131" t="str">
        <f t="shared" si="89"/>
        <v/>
      </c>
      <c r="W576" s="17"/>
      <c r="X576" s="7"/>
      <c r="Y576" s="161"/>
      <c r="Z576" s="7"/>
      <c r="AA576" s="117"/>
      <c r="AB576" s="117"/>
      <c r="AC576" s="117"/>
      <c r="CH576">
        <v>5</v>
      </c>
      <c r="CI576">
        <v>41</v>
      </c>
    </row>
    <row r="577" spans="1:87" x14ac:dyDescent="0.3">
      <c r="A577" s="2">
        <v>739</v>
      </c>
      <c r="B577" s="2" t="s">
        <v>0</v>
      </c>
      <c r="C577" s="2" t="s">
        <v>1</v>
      </c>
      <c r="D577" s="2" t="s">
        <v>998</v>
      </c>
      <c r="E577" s="2">
        <v>750</v>
      </c>
      <c r="F577" s="2">
        <v>4.0099999999999997E-2</v>
      </c>
      <c r="G577" s="2">
        <v>3.3099999999999997E-2</v>
      </c>
      <c r="H577" s="4">
        <f t="shared" si="85"/>
        <v>0.1745635910224439</v>
      </c>
      <c r="I577" s="2" t="s">
        <v>98</v>
      </c>
      <c r="J577" s="2" t="s">
        <v>987</v>
      </c>
      <c r="K577" s="2" t="s">
        <v>413</v>
      </c>
      <c r="L577" s="2" t="s">
        <v>76</v>
      </c>
      <c r="M577" s="155"/>
      <c r="N577" s="155"/>
      <c r="O577" s="2">
        <v>3</v>
      </c>
      <c r="P577" s="6">
        <v>45</v>
      </c>
      <c r="Q577" s="131">
        <f t="shared" si="86"/>
        <v>2.56</v>
      </c>
      <c r="R577" s="33">
        <f t="shared" si="90"/>
        <v>45</v>
      </c>
      <c r="S577" s="132">
        <f t="shared" si="87"/>
        <v>5.625</v>
      </c>
      <c r="T577" s="132">
        <f t="shared" si="88"/>
        <v>5.625</v>
      </c>
      <c r="V577" s="131" t="str">
        <f t="shared" si="89"/>
        <v/>
      </c>
      <c r="W577" s="17"/>
      <c r="X577" s="7"/>
      <c r="Y577" s="161"/>
      <c r="Z577" s="7"/>
      <c r="AA577" s="117"/>
      <c r="AB577" s="117"/>
      <c r="AC577" s="117"/>
      <c r="CH577">
        <v>5</v>
      </c>
      <c r="CI577">
        <v>43</v>
      </c>
    </row>
    <row r="578" spans="1:87" x14ac:dyDescent="0.3">
      <c r="A578" s="23">
        <v>740</v>
      </c>
      <c r="B578" s="2" t="s">
        <v>0</v>
      </c>
      <c r="C578" s="2" t="s">
        <v>1</v>
      </c>
      <c r="D578" s="2" t="s">
        <v>999</v>
      </c>
      <c r="E578" s="2">
        <v>750</v>
      </c>
      <c r="F578" s="2">
        <v>4.0099999999999997E-2</v>
      </c>
      <c r="G578" s="2">
        <v>3.3099999999999997E-2</v>
      </c>
      <c r="H578" s="4">
        <f t="shared" si="85"/>
        <v>0.1745635910224439</v>
      </c>
      <c r="I578" s="2" t="s">
        <v>98</v>
      </c>
      <c r="J578" s="2" t="s">
        <v>987</v>
      </c>
      <c r="K578" s="2" t="s">
        <v>413</v>
      </c>
      <c r="L578" s="2" t="s">
        <v>76</v>
      </c>
      <c r="M578" s="155"/>
      <c r="N578" s="155"/>
      <c r="O578" s="2">
        <v>3</v>
      </c>
      <c r="P578" s="6">
        <v>45</v>
      </c>
      <c r="Q578" s="131">
        <f t="shared" si="86"/>
        <v>2.56</v>
      </c>
      <c r="R578" s="33">
        <f t="shared" si="90"/>
        <v>45</v>
      </c>
      <c r="S578" s="132">
        <f t="shared" si="87"/>
        <v>5.625</v>
      </c>
      <c r="T578" s="132">
        <f t="shared" si="88"/>
        <v>5.625</v>
      </c>
      <c r="V578" s="131">
        <f t="shared" si="89"/>
        <v>4.6639676113360329</v>
      </c>
      <c r="W578" s="17">
        <v>24.7</v>
      </c>
      <c r="X578" s="8">
        <f>60*60*8/W578</f>
        <v>1165.9919028340082</v>
      </c>
      <c r="Y578" s="161">
        <v>45595</v>
      </c>
      <c r="Z578" s="7" t="s">
        <v>7</v>
      </c>
      <c r="AA578" s="117"/>
      <c r="AB578" s="117"/>
      <c r="AC578" s="117"/>
      <c r="CH578">
        <v>1</v>
      </c>
      <c r="CI578">
        <v>60</v>
      </c>
    </row>
    <row r="579" spans="1:87" x14ac:dyDescent="0.3">
      <c r="A579" s="2">
        <v>741</v>
      </c>
      <c r="B579" s="2" t="s">
        <v>0</v>
      </c>
      <c r="C579" s="2" t="s">
        <v>1</v>
      </c>
      <c r="D579" s="2" t="s">
        <v>1000</v>
      </c>
      <c r="E579" s="2">
        <v>750</v>
      </c>
      <c r="F579" s="2">
        <v>4.0099999999999997E-2</v>
      </c>
      <c r="G579" s="2">
        <v>3.3099999999999997E-2</v>
      </c>
      <c r="H579" s="4">
        <f t="shared" si="85"/>
        <v>0.1745635910224439</v>
      </c>
      <c r="I579" s="2" t="s">
        <v>98</v>
      </c>
      <c r="J579" s="2" t="s">
        <v>987</v>
      </c>
      <c r="K579" s="2" t="s">
        <v>413</v>
      </c>
      <c r="L579" s="2" t="s">
        <v>76</v>
      </c>
      <c r="M579" s="155"/>
      <c r="N579" s="155"/>
      <c r="O579" s="2">
        <v>3</v>
      </c>
      <c r="P579" s="6">
        <v>45</v>
      </c>
      <c r="Q579" s="131">
        <f t="shared" si="86"/>
        <v>2.56</v>
      </c>
      <c r="R579" s="33">
        <f t="shared" si="90"/>
        <v>45</v>
      </c>
      <c r="S579" s="132">
        <f t="shared" si="87"/>
        <v>5.625</v>
      </c>
      <c r="T579" s="132">
        <f t="shared" si="88"/>
        <v>5.625</v>
      </c>
      <c r="V579" s="131" t="str">
        <f t="shared" si="89"/>
        <v/>
      </c>
      <c r="W579" s="17"/>
      <c r="X579" s="7"/>
      <c r="Y579" s="161"/>
      <c r="Z579" s="7"/>
      <c r="AA579" s="117"/>
      <c r="AB579" s="117"/>
      <c r="AC579" s="117"/>
      <c r="CH579">
        <v>6</v>
      </c>
      <c r="CI579">
        <v>70</v>
      </c>
    </row>
    <row r="580" spans="1:87" x14ac:dyDescent="0.3">
      <c r="A580" s="23">
        <v>742</v>
      </c>
      <c r="B580" s="2" t="s">
        <v>0</v>
      </c>
      <c r="C580" s="2" t="s">
        <v>1</v>
      </c>
      <c r="D580" s="2" t="s">
        <v>1001</v>
      </c>
      <c r="E580" s="2">
        <v>750</v>
      </c>
      <c r="F580" s="2">
        <v>4.0099999999999997E-2</v>
      </c>
      <c r="G580" s="2">
        <v>3.3099999999999997E-2</v>
      </c>
      <c r="H580" s="4">
        <f t="shared" si="85"/>
        <v>0.1745635910224439</v>
      </c>
      <c r="I580" s="2" t="s">
        <v>98</v>
      </c>
      <c r="J580" s="2" t="s">
        <v>987</v>
      </c>
      <c r="K580" s="2" t="s">
        <v>413</v>
      </c>
      <c r="L580" s="2" t="s">
        <v>76</v>
      </c>
      <c r="M580" s="155"/>
      <c r="N580" s="155"/>
      <c r="O580" s="2">
        <v>3</v>
      </c>
      <c r="P580" s="6">
        <v>45</v>
      </c>
      <c r="Q580" s="131">
        <f t="shared" si="86"/>
        <v>2.56</v>
      </c>
      <c r="R580" s="33">
        <f t="shared" si="90"/>
        <v>45</v>
      </c>
      <c r="S580" s="132">
        <f t="shared" si="87"/>
        <v>5.625</v>
      </c>
      <c r="T580" s="132">
        <f t="shared" si="88"/>
        <v>5.625</v>
      </c>
      <c r="V580" s="131">
        <f t="shared" si="89"/>
        <v>4.6639676113360329</v>
      </c>
      <c r="W580" s="17">
        <v>24.7</v>
      </c>
      <c r="X580" s="8">
        <f>60*60*8/W580</f>
        <v>1165.9919028340082</v>
      </c>
      <c r="Y580" s="161">
        <v>45596</v>
      </c>
      <c r="Z580" s="7" t="s">
        <v>7</v>
      </c>
      <c r="AA580" s="117"/>
      <c r="AB580" s="117"/>
      <c r="AC580" s="117"/>
      <c r="CH580">
        <v>5</v>
      </c>
      <c r="CI580">
        <v>69</v>
      </c>
    </row>
    <row r="581" spans="1:87" x14ac:dyDescent="0.3">
      <c r="A581" s="2">
        <v>743</v>
      </c>
      <c r="B581" s="2" t="s">
        <v>0</v>
      </c>
      <c r="C581" s="2" t="s">
        <v>1</v>
      </c>
      <c r="D581" s="2" t="s">
        <v>1002</v>
      </c>
      <c r="E581" s="2">
        <v>1000</v>
      </c>
      <c r="F581" s="2">
        <v>6.6E-3</v>
      </c>
      <c r="G581" s="2">
        <v>4.1999999999999997E-3</v>
      </c>
      <c r="H581" s="4">
        <f t="shared" si="85"/>
        <v>0.36363636363636365</v>
      </c>
      <c r="I581" s="2" t="s">
        <v>98</v>
      </c>
      <c r="J581" s="2" t="s">
        <v>1003</v>
      </c>
      <c r="K581" s="2" t="s">
        <v>982</v>
      </c>
      <c r="L581" s="2" t="s">
        <v>983</v>
      </c>
      <c r="M581" s="155"/>
      <c r="N581" s="155"/>
      <c r="O581" s="2">
        <v>24</v>
      </c>
      <c r="P581" s="6">
        <v>40</v>
      </c>
      <c r="Q581" s="131">
        <f t="shared" si="86"/>
        <v>17.28</v>
      </c>
      <c r="R581" s="33">
        <f t="shared" si="90"/>
        <v>40</v>
      </c>
      <c r="S581" s="132">
        <f t="shared" si="87"/>
        <v>5</v>
      </c>
      <c r="T581" s="132">
        <f t="shared" si="88"/>
        <v>5</v>
      </c>
      <c r="V581" s="131" t="str">
        <f t="shared" si="89"/>
        <v/>
      </c>
      <c r="W581" s="17"/>
      <c r="X581" s="7"/>
      <c r="Y581" s="161"/>
      <c r="Z581" s="7"/>
      <c r="AA581" s="117"/>
      <c r="AB581" s="117"/>
      <c r="AC581" s="117"/>
      <c r="CH581">
        <v>6</v>
      </c>
      <c r="CI581">
        <v>65</v>
      </c>
    </row>
    <row r="582" spans="1:87" x14ac:dyDescent="0.3">
      <c r="A582" s="2">
        <v>744</v>
      </c>
      <c r="B582" s="2" t="s">
        <v>0</v>
      </c>
      <c r="C582" s="2" t="s">
        <v>1</v>
      </c>
      <c r="D582" s="2" t="s">
        <v>1004</v>
      </c>
      <c r="E582" s="2">
        <v>750</v>
      </c>
      <c r="F582" s="2">
        <v>4.0099999999999997E-2</v>
      </c>
      <c r="G582" s="2">
        <v>3.3099999999999997E-2</v>
      </c>
      <c r="H582" s="4">
        <f t="shared" si="85"/>
        <v>0.1745635910224439</v>
      </c>
      <c r="I582" s="2" t="s">
        <v>98</v>
      </c>
      <c r="J582" s="2" t="s">
        <v>495</v>
      </c>
      <c r="K582" s="2" t="s">
        <v>413</v>
      </c>
      <c r="L582" s="2" t="s">
        <v>76</v>
      </c>
      <c r="M582" s="155"/>
      <c r="N582" s="155"/>
      <c r="O582" s="2">
        <v>3</v>
      </c>
      <c r="P582" s="6">
        <v>45</v>
      </c>
      <c r="Q582" s="131">
        <f t="shared" si="86"/>
        <v>2.56</v>
      </c>
      <c r="R582" s="33">
        <f t="shared" si="90"/>
        <v>45</v>
      </c>
      <c r="S582" s="132">
        <f t="shared" si="87"/>
        <v>5.625</v>
      </c>
      <c r="T582" s="132">
        <f t="shared" si="88"/>
        <v>5.625</v>
      </c>
      <c r="V582" s="131" t="str">
        <f t="shared" si="89"/>
        <v/>
      </c>
      <c r="W582" s="17"/>
      <c r="X582" s="7"/>
      <c r="Y582" s="161"/>
      <c r="Z582" s="7"/>
      <c r="AA582" s="117"/>
      <c r="AB582" s="117"/>
      <c r="AC582" s="117"/>
      <c r="CH582">
        <v>5</v>
      </c>
      <c r="CI582">
        <v>77</v>
      </c>
    </row>
    <row r="583" spans="1:87" x14ac:dyDescent="0.3">
      <c r="A583" s="2">
        <v>745</v>
      </c>
      <c r="B583" s="2" t="s">
        <v>0</v>
      </c>
      <c r="C583" s="2" t="s">
        <v>1</v>
      </c>
      <c r="D583" s="2" t="s">
        <v>1005</v>
      </c>
      <c r="E583" s="2">
        <v>750</v>
      </c>
      <c r="F583" s="2">
        <v>4.0099999999999997E-2</v>
      </c>
      <c r="G583" s="2">
        <v>3.3099999999999997E-2</v>
      </c>
      <c r="H583" s="4">
        <f t="shared" si="85"/>
        <v>0.1745635910224439</v>
      </c>
      <c r="I583" s="2" t="s">
        <v>98</v>
      </c>
      <c r="J583" s="2" t="s">
        <v>987</v>
      </c>
      <c r="K583" s="2" t="s">
        <v>413</v>
      </c>
      <c r="L583" s="2" t="s">
        <v>76</v>
      </c>
      <c r="M583" s="155"/>
      <c r="N583" s="155"/>
      <c r="O583" s="2">
        <v>3</v>
      </c>
      <c r="P583" s="6">
        <v>45</v>
      </c>
      <c r="Q583" s="131">
        <f t="shared" si="86"/>
        <v>2.56</v>
      </c>
      <c r="R583" s="33">
        <f t="shared" si="90"/>
        <v>45</v>
      </c>
      <c r="S583" s="132">
        <f t="shared" si="87"/>
        <v>5.625</v>
      </c>
      <c r="T583" s="132">
        <f t="shared" si="88"/>
        <v>5.625</v>
      </c>
      <c r="V583" s="131" t="str">
        <f t="shared" si="89"/>
        <v/>
      </c>
      <c r="W583" s="17"/>
      <c r="X583" s="7"/>
      <c r="Y583" s="161"/>
      <c r="Z583" s="7"/>
      <c r="AA583" s="117"/>
      <c r="AB583" s="117"/>
      <c r="AC583" s="117"/>
      <c r="CH583">
        <v>5</v>
      </c>
      <c r="CI583">
        <v>43</v>
      </c>
    </row>
    <row r="584" spans="1:87" x14ac:dyDescent="0.3">
      <c r="A584" s="2">
        <v>746</v>
      </c>
      <c r="B584" s="2" t="s">
        <v>0</v>
      </c>
      <c r="C584" s="2" t="s">
        <v>1</v>
      </c>
      <c r="D584" s="2" t="s">
        <v>1006</v>
      </c>
      <c r="E584" s="2">
        <v>1000</v>
      </c>
      <c r="F584" s="2">
        <v>6.6E-3</v>
      </c>
      <c r="G584" s="2">
        <v>4.1999999999999997E-3</v>
      </c>
      <c r="H584" s="4">
        <f t="shared" si="85"/>
        <v>0.36363636363636365</v>
      </c>
      <c r="I584" s="2" t="s">
        <v>98</v>
      </c>
      <c r="J584" s="2" t="s">
        <v>1007</v>
      </c>
      <c r="K584" s="2" t="s">
        <v>982</v>
      </c>
      <c r="L584" s="2" t="s">
        <v>983</v>
      </c>
      <c r="M584" s="155"/>
      <c r="N584" s="155"/>
      <c r="O584" s="2">
        <v>24</v>
      </c>
      <c r="P584" s="6">
        <v>40</v>
      </c>
      <c r="Q584" s="131">
        <f t="shared" si="86"/>
        <v>17.28</v>
      </c>
      <c r="R584" s="33">
        <f t="shared" si="90"/>
        <v>40</v>
      </c>
      <c r="S584" s="132">
        <f t="shared" si="87"/>
        <v>5</v>
      </c>
      <c r="T584" s="132">
        <f t="shared" si="88"/>
        <v>5</v>
      </c>
      <c r="V584" s="131" t="str">
        <f t="shared" si="89"/>
        <v/>
      </c>
      <c r="W584" s="17"/>
      <c r="X584" s="7"/>
      <c r="Y584" s="161"/>
      <c r="Z584" s="7"/>
      <c r="AA584" s="117"/>
      <c r="AB584" s="117"/>
      <c r="AC584" s="117"/>
      <c r="CH584">
        <v>4</v>
      </c>
      <c r="CI584">
        <v>48</v>
      </c>
    </row>
    <row r="585" spans="1:87" x14ac:dyDescent="0.3">
      <c r="A585" s="2">
        <v>747</v>
      </c>
      <c r="B585" s="2" t="s">
        <v>0</v>
      </c>
      <c r="C585" s="2" t="s">
        <v>1</v>
      </c>
      <c r="D585" s="2" t="s">
        <v>1008</v>
      </c>
      <c r="E585" s="2">
        <v>1000</v>
      </c>
      <c r="F585" s="2">
        <v>6.6E-3</v>
      </c>
      <c r="G585" s="2">
        <v>4.1999999999999997E-3</v>
      </c>
      <c r="H585" s="4">
        <f t="shared" si="85"/>
        <v>0.36363636363636365</v>
      </c>
      <c r="I585" s="2" t="s">
        <v>98</v>
      </c>
      <c r="J585" s="2" t="s">
        <v>1009</v>
      </c>
      <c r="K585" s="2" t="s">
        <v>982</v>
      </c>
      <c r="L585" s="2" t="s">
        <v>983</v>
      </c>
      <c r="M585" s="164"/>
      <c r="N585" s="155"/>
      <c r="O585" s="2">
        <v>24</v>
      </c>
      <c r="P585" s="6">
        <v>40</v>
      </c>
      <c r="Q585" s="131">
        <f t="shared" si="86"/>
        <v>17.28</v>
      </c>
      <c r="R585" s="33">
        <f t="shared" si="90"/>
        <v>40</v>
      </c>
      <c r="S585" s="132">
        <f t="shared" si="87"/>
        <v>5</v>
      </c>
      <c r="T585" s="132">
        <f t="shared" si="88"/>
        <v>5</v>
      </c>
      <c r="V585" s="131" t="str">
        <f t="shared" si="89"/>
        <v/>
      </c>
      <c r="W585" s="17"/>
      <c r="X585" s="7"/>
      <c r="Y585" s="161"/>
      <c r="Z585" s="7"/>
      <c r="AA585" s="117"/>
      <c r="AB585" s="117"/>
      <c r="AC585" s="117"/>
      <c r="CH585">
        <v>4</v>
      </c>
      <c r="CI585">
        <v>55</v>
      </c>
    </row>
    <row r="586" spans="1:87" x14ac:dyDescent="0.3">
      <c r="A586" s="2">
        <v>748</v>
      </c>
      <c r="B586" s="2" t="s">
        <v>0</v>
      </c>
      <c r="C586" s="2" t="s">
        <v>1</v>
      </c>
      <c r="D586" s="2" t="s">
        <v>1010</v>
      </c>
      <c r="E586" s="2">
        <v>750</v>
      </c>
      <c r="F586" s="2">
        <v>4.0099999999999997E-2</v>
      </c>
      <c r="G586" s="2">
        <v>3.3099999999999997E-2</v>
      </c>
      <c r="H586" s="4">
        <f t="shared" si="85"/>
        <v>0.1745635910224439</v>
      </c>
      <c r="I586" s="2" t="s">
        <v>98</v>
      </c>
      <c r="J586" s="2" t="s">
        <v>495</v>
      </c>
      <c r="K586" s="2" t="s">
        <v>413</v>
      </c>
      <c r="L586" s="2" t="s">
        <v>76</v>
      </c>
      <c r="M586" s="155"/>
      <c r="N586" s="155"/>
      <c r="O586" s="2">
        <v>3</v>
      </c>
      <c r="P586" s="6">
        <v>45</v>
      </c>
      <c r="Q586" s="131">
        <f t="shared" si="86"/>
        <v>2.56</v>
      </c>
      <c r="R586" s="33">
        <f t="shared" si="90"/>
        <v>45</v>
      </c>
      <c r="S586" s="132">
        <f t="shared" si="87"/>
        <v>5.625</v>
      </c>
      <c r="T586" s="132">
        <f t="shared" si="88"/>
        <v>5.625</v>
      </c>
      <c r="V586" s="131" t="str">
        <f t="shared" si="89"/>
        <v/>
      </c>
      <c r="W586" s="17"/>
      <c r="X586" s="7"/>
      <c r="Y586" s="161"/>
      <c r="Z586" s="7"/>
      <c r="AA586" s="117"/>
      <c r="AB586" s="117"/>
      <c r="AC586" s="117"/>
      <c r="CH586">
        <v>3</v>
      </c>
      <c r="CI586">
        <v>31</v>
      </c>
    </row>
    <row r="587" spans="1:87" x14ac:dyDescent="0.3">
      <c r="A587" s="23">
        <v>751</v>
      </c>
      <c r="B587" s="2" t="s">
        <v>0</v>
      </c>
      <c r="C587" s="2" t="s">
        <v>1</v>
      </c>
      <c r="D587" s="2" t="s">
        <v>1011</v>
      </c>
      <c r="E587" s="2">
        <v>480</v>
      </c>
      <c r="F587" s="2">
        <v>6.4999999999999997E-3</v>
      </c>
      <c r="G587" s="2">
        <v>3.0000000000000001E-3</v>
      </c>
      <c r="H587" s="4">
        <f t="shared" si="85"/>
        <v>0.53846153846153844</v>
      </c>
      <c r="I587" s="2" t="s">
        <v>98</v>
      </c>
      <c r="J587" s="2" t="s">
        <v>596</v>
      </c>
      <c r="K587" s="2" t="s">
        <v>5</v>
      </c>
      <c r="L587" s="2" t="s">
        <v>6</v>
      </c>
      <c r="M587" s="155">
        <v>5</v>
      </c>
      <c r="N587" s="155">
        <v>96</v>
      </c>
      <c r="O587" s="2">
        <v>48</v>
      </c>
      <c r="P587" s="6">
        <v>25</v>
      </c>
      <c r="Q587" s="131">
        <f t="shared" si="86"/>
        <v>115.2</v>
      </c>
      <c r="R587" s="33">
        <f t="shared" si="90"/>
        <v>25</v>
      </c>
      <c r="S587" s="132">
        <f t="shared" si="87"/>
        <v>3.125</v>
      </c>
      <c r="T587" s="132">
        <f t="shared" si="88"/>
        <v>3.125</v>
      </c>
      <c r="V587" s="131">
        <f t="shared" si="89"/>
        <v>84.210526315789465</v>
      </c>
      <c r="W587" s="17">
        <v>34.200000000000003</v>
      </c>
      <c r="X587" s="8">
        <f>60*60*8/W587</f>
        <v>842.10526315789468</v>
      </c>
      <c r="Y587" s="161">
        <v>45504</v>
      </c>
      <c r="Z587" s="7" t="s">
        <v>7</v>
      </c>
      <c r="AA587" s="117"/>
      <c r="AB587" s="117"/>
      <c r="AC587" s="117"/>
      <c r="AD587" s="24">
        <v>45504</v>
      </c>
      <c r="AE587">
        <v>6</v>
      </c>
      <c r="AF587">
        <v>7.5</v>
      </c>
      <c r="AG587">
        <v>2</v>
      </c>
      <c r="AI587">
        <v>0.4</v>
      </c>
      <c r="AJ587">
        <v>0.3</v>
      </c>
      <c r="AK587">
        <v>7</v>
      </c>
      <c r="AL587">
        <v>6.5</v>
      </c>
      <c r="AN587">
        <v>11</v>
      </c>
      <c r="AO587">
        <v>0.6</v>
      </c>
      <c r="AS587">
        <v>34.200000000000003</v>
      </c>
      <c r="AT587">
        <v>9.5</v>
      </c>
      <c r="AU587">
        <v>16.5</v>
      </c>
      <c r="AV587">
        <v>89.5</v>
      </c>
      <c r="AW587">
        <v>100</v>
      </c>
      <c r="AX587">
        <v>18</v>
      </c>
      <c r="AY587">
        <v>41</v>
      </c>
      <c r="AZ587">
        <v>81</v>
      </c>
      <c r="BA587">
        <v>113</v>
      </c>
      <c r="BB587">
        <v>400</v>
      </c>
      <c r="CH587">
        <v>4</v>
      </c>
      <c r="CI587">
        <v>49</v>
      </c>
    </row>
    <row r="588" spans="1:87" x14ac:dyDescent="0.3">
      <c r="A588" s="23">
        <v>752</v>
      </c>
      <c r="B588" s="2" t="s">
        <v>0</v>
      </c>
      <c r="C588" s="2" t="s">
        <v>1</v>
      </c>
      <c r="D588" s="2" t="s">
        <v>1012</v>
      </c>
      <c r="E588" s="2">
        <v>480</v>
      </c>
      <c r="F588" s="2">
        <v>4.5999999999999999E-3</v>
      </c>
      <c r="G588" s="2">
        <v>2E-3</v>
      </c>
      <c r="H588" s="4">
        <f t="shared" si="85"/>
        <v>0.56521739130434778</v>
      </c>
      <c r="I588" s="2" t="s">
        <v>98</v>
      </c>
      <c r="J588" s="2" t="s">
        <v>596</v>
      </c>
      <c r="K588" s="2"/>
      <c r="L588" s="2"/>
      <c r="M588" s="155" t="s">
        <v>1013</v>
      </c>
      <c r="N588" s="155"/>
      <c r="O588" s="2">
        <v>70</v>
      </c>
      <c r="P588" s="6">
        <v>25</v>
      </c>
      <c r="Q588" s="131">
        <f t="shared" si="86"/>
        <v>168</v>
      </c>
      <c r="R588" s="33">
        <f t="shared" si="90"/>
        <v>25</v>
      </c>
      <c r="S588" s="132">
        <f t="shared" si="87"/>
        <v>3.125</v>
      </c>
      <c r="T588" s="132">
        <f t="shared" si="88"/>
        <v>3.125</v>
      </c>
      <c r="V588" s="131">
        <f t="shared" si="89"/>
        <v>122.80701754385964</v>
      </c>
      <c r="W588" s="17">
        <v>34.200000000000003</v>
      </c>
      <c r="X588" s="8">
        <f>60*60*8/W588</f>
        <v>842.10526315789468</v>
      </c>
      <c r="Y588" s="161">
        <v>45477</v>
      </c>
      <c r="Z588" s="7" t="s">
        <v>7</v>
      </c>
      <c r="AA588" s="117"/>
      <c r="AB588" s="117"/>
      <c r="AC588" s="117"/>
      <c r="AD588" s="24">
        <v>45509</v>
      </c>
      <c r="AE588">
        <v>6</v>
      </c>
      <c r="AF588">
        <v>7.4</v>
      </c>
      <c r="AG588">
        <v>2</v>
      </c>
      <c r="AI588">
        <v>0.3</v>
      </c>
      <c r="AJ588">
        <v>0.4</v>
      </c>
      <c r="AK588">
        <v>8</v>
      </c>
      <c r="AL588">
        <v>7.5</v>
      </c>
      <c r="AN588">
        <v>12</v>
      </c>
      <c r="AO588">
        <v>0.6</v>
      </c>
      <c r="AS588">
        <v>34.200000000000003</v>
      </c>
      <c r="AT588">
        <v>10</v>
      </c>
      <c r="AU588">
        <v>18</v>
      </c>
      <c r="AV588">
        <v>92.5</v>
      </c>
      <c r="AW588">
        <v>102.5</v>
      </c>
      <c r="AX588">
        <v>18</v>
      </c>
      <c r="AY588">
        <v>41</v>
      </c>
      <c r="AZ588">
        <v>81</v>
      </c>
      <c r="BA588">
        <v>112.5</v>
      </c>
      <c r="BB588">
        <v>400</v>
      </c>
      <c r="CH588">
        <v>1</v>
      </c>
      <c r="CI588">
        <v>82</v>
      </c>
    </row>
    <row r="589" spans="1:87" x14ac:dyDescent="0.3">
      <c r="A589" s="23">
        <v>753</v>
      </c>
      <c r="B589" s="2" t="s">
        <v>0</v>
      </c>
      <c r="C589" s="2" t="s">
        <v>1</v>
      </c>
      <c r="D589" s="2" t="s">
        <v>1014</v>
      </c>
      <c r="E589" s="2">
        <v>480</v>
      </c>
      <c r="F589" s="2">
        <v>6.4999999999999997E-3</v>
      </c>
      <c r="G589" s="2">
        <v>3.0000000000000001E-3</v>
      </c>
      <c r="H589" s="4">
        <f t="shared" si="85"/>
        <v>0.53846153846153844</v>
      </c>
      <c r="I589" s="2" t="s">
        <v>98</v>
      </c>
      <c r="J589" s="2" t="s">
        <v>596</v>
      </c>
      <c r="K589" s="2"/>
      <c r="L589" s="2"/>
      <c r="M589" s="155">
        <v>10</v>
      </c>
      <c r="N589" s="155">
        <v>48</v>
      </c>
      <c r="O589" s="2">
        <v>48</v>
      </c>
      <c r="P589" s="6">
        <v>20</v>
      </c>
      <c r="Q589" s="131">
        <f t="shared" si="86"/>
        <v>144</v>
      </c>
      <c r="R589" s="33">
        <f t="shared" si="90"/>
        <v>20</v>
      </c>
      <c r="S589" s="132">
        <f t="shared" si="87"/>
        <v>2.5</v>
      </c>
      <c r="T589" s="132">
        <f t="shared" si="88"/>
        <v>2.5</v>
      </c>
      <c r="V589" s="131">
        <f t="shared" si="89"/>
        <v>69.902912621359221</v>
      </c>
      <c r="W589" s="17">
        <v>41.2</v>
      </c>
      <c r="X589" s="8">
        <f>60*60*8/W589</f>
        <v>699.02912621359224</v>
      </c>
      <c r="Y589" s="161">
        <v>45477</v>
      </c>
      <c r="Z589" s="7" t="s">
        <v>7</v>
      </c>
      <c r="AA589" s="117"/>
      <c r="AB589" s="117"/>
      <c r="AC589" s="117"/>
      <c r="CH589">
        <v>4</v>
      </c>
      <c r="CI589">
        <v>52</v>
      </c>
    </row>
    <row r="590" spans="1:87" x14ac:dyDescent="0.3">
      <c r="A590" s="2">
        <v>758</v>
      </c>
      <c r="B590" s="2" t="s">
        <v>84</v>
      </c>
      <c r="C590" s="2" t="s">
        <v>1</v>
      </c>
      <c r="D590" s="2" t="s">
        <v>1015</v>
      </c>
      <c r="E590" s="2">
        <v>4</v>
      </c>
      <c r="F590" s="2">
        <v>3.9E-2</v>
      </c>
      <c r="G590" s="2">
        <v>3.9E-2</v>
      </c>
      <c r="H590" s="4">
        <f t="shared" si="85"/>
        <v>0</v>
      </c>
      <c r="I590" s="2" t="s">
        <v>82</v>
      </c>
      <c r="J590" s="2" t="s">
        <v>610</v>
      </c>
      <c r="K590" s="2"/>
      <c r="L590" s="2"/>
      <c r="M590" s="155"/>
      <c r="N590" s="155"/>
      <c r="O590" s="2">
        <v>4</v>
      </c>
      <c r="P590" s="6"/>
      <c r="Q590" s="131" t="str">
        <f t="shared" si="86"/>
        <v/>
      </c>
      <c r="R590" s="33" t="str">
        <f t="shared" si="90"/>
        <v/>
      </c>
      <c r="S590" s="132" t="str">
        <f t="shared" si="87"/>
        <v/>
      </c>
      <c r="T590" s="132" t="str">
        <f t="shared" si="88"/>
        <v/>
      </c>
      <c r="V590" s="131" t="str">
        <f t="shared" si="89"/>
        <v/>
      </c>
      <c r="W590" s="17"/>
      <c r="X590" s="7"/>
      <c r="Y590" s="161"/>
      <c r="Z590" s="7"/>
      <c r="AA590" s="117"/>
      <c r="AB590" s="117"/>
      <c r="AC590" s="117"/>
      <c r="CH590">
        <v>4</v>
      </c>
      <c r="CI590">
        <v>51</v>
      </c>
    </row>
    <row r="591" spans="1:87" x14ac:dyDescent="0.3">
      <c r="A591" s="2">
        <v>760</v>
      </c>
      <c r="B591" s="2" t="s">
        <v>84</v>
      </c>
      <c r="C591" s="2" t="s">
        <v>1</v>
      </c>
      <c r="D591" s="2" t="s">
        <v>1016</v>
      </c>
      <c r="E591" s="2">
        <v>3</v>
      </c>
      <c r="F591" s="2">
        <v>2.1600000000000001E-2</v>
      </c>
      <c r="G591" s="2">
        <v>2.1600000000000001E-2</v>
      </c>
      <c r="H591" s="4">
        <f t="shared" si="85"/>
        <v>0</v>
      </c>
      <c r="I591" s="2" t="s">
        <v>82</v>
      </c>
      <c r="J591" s="2" t="s">
        <v>1017</v>
      </c>
      <c r="K591" s="2"/>
      <c r="L591" s="2"/>
      <c r="M591" s="155"/>
      <c r="N591" s="155"/>
      <c r="O591" s="2">
        <v>3</v>
      </c>
      <c r="P591" s="6"/>
      <c r="Q591" s="131" t="str">
        <f t="shared" si="86"/>
        <v/>
      </c>
      <c r="R591" s="33" t="str">
        <f t="shared" si="90"/>
        <v/>
      </c>
      <c r="S591" s="132" t="str">
        <f t="shared" si="87"/>
        <v/>
      </c>
      <c r="T591" s="132" t="str">
        <f t="shared" si="88"/>
        <v/>
      </c>
      <c r="V591" s="131" t="str">
        <f t="shared" si="89"/>
        <v/>
      </c>
      <c r="W591" s="17"/>
      <c r="X591" s="7"/>
      <c r="Y591" s="161"/>
      <c r="Z591" s="7"/>
      <c r="AA591" s="117"/>
      <c r="AB591" s="117"/>
      <c r="AC591" s="117"/>
      <c r="CH591">
        <v>5</v>
      </c>
      <c r="CI591">
        <v>50</v>
      </c>
    </row>
    <row r="592" spans="1:87" x14ac:dyDescent="0.3">
      <c r="A592" s="2">
        <v>761</v>
      </c>
      <c r="B592" s="2" t="s">
        <v>84</v>
      </c>
      <c r="C592" s="2" t="s">
        <v>1</v>
      </c>
      <c r="D592" s="2" t="s">
        <v>1018</v>
      </c>
      <c r="E592" s="2">
        <v>300</v>
      </c>
      <c r="F592" s="2">
        <v>4.9799999999999997E-2</v>
      </c>
      <c r="G592" s="2">
        <v>3.5000000000000003E-2</v>
      </c>
      <c r="H592" s="4">
        <f t="shared" si="85"/>
        <v>0.29718875502008019</v>
      </c>
      <c r="I592" s="2" t="s">
        <v>82</v>
      </c>
      <c r="J592" s="2" t="s">
        <v>598</v>
      </c>
      <c r="K592" s="2" t="s">
        <v>105</v>
      </c>
      <c r="L592" s="2" t="s">
        <v>76</v>
      </c>
      <c r="M592" s="155"/>
      <c r="N592" s="155"/>
      <c r="O592" s="2">
        <v>4</v>
      </c>
      <c r="P592" s="6">
        <v>16</v>
      </c>
      <c r="Q592" s="131">
        <f t="shared" si="86"/>
        <v>24</v>
      </c>
      <c r="R592" s="33">
        <f t="shared" si="90"/>
        <v>16</v>
      </c>
      <c r="S592" s="132">
        <f t="shared" si="87"/>
        <v>2</v>
      </c>
      <c r="T592" s="132">
        <f t="shared" si="88"/>
        <v>2</v>
      </c>
      <c r="V592" s="131" t="str">
        <f t="shared" si="89"/>
        <v/>
      </c>
      <c r="W592" s="17"/>
      <c r="X592" s="7"/>
      <c r="Y592" s="161"/>
      <c r="Z592" s="7"/>
      <c r="AA592" s="117"/>
      <c r="AB592" s="117"/>
      <c r="AC592" s="117"/>
      <c r="CH592">
        <v>4</v>
      </c>
      <c r="CI592">
        <v>33</v>
      </c>
    </row>
    <row r="593" spans="1:87" x14ac:dyDescent="0.3">
      <c r="A593" s="2">
        <v>772</v>
      </c>
      <c r="B593" s="2" t="s">
        <v>0</v>
      </c>
      <c r="C593" s="2" t="s">
        <v>1</v>
      </c>
      <c r="D593" s="2" t="s">
        <v>1019</v>
      </c>
      <c r="E593" s="2">
        <v>1200</v>
      </c>
      <c r="F593" s="2">
        <v>9.5999999999999992E-3</v>
      </c>
      <c r="G593" s="2">
        <v>6.4000000000000003E-3</v>
      </c>
      <c r="H593" s="4">
        <f t="shared" si="85"/>
        <v>0.33333333333333326</v>
      </c>
      <c r="I593" s="2" t="s">
        <v>370</v>
      </c>
      <c r="J593" s="2" t="s">
        <v>1020</v>
      </c>
      <c r="K593" s="2" t="s">
        <v>5</v>
      </c>
      <c r="L593" s="2" t="s">
        <v>6</v>
      </c>
      <c r="M593" s="155"/>
      <c r="N593" s="155"/>
      <c r="O593" s="2">
        <v>12</v>
      </c>
      <c r="P593" s="6">
        <v>10</v>
      </c>
      <c r="Q593" s="131">
        <f t="shared" si="86"/>
        <v>28.8</v>
      </c>
      <c r="R593" s="33">
        <f t="shared" si="90"/>
        <v>10</v>
      </c>
      <c r="S593" s="132">
        <f t="shared" si="87"/>
        <v>1.25</v>
      </c>
      <c r="T593" s="132">
        <f t="shared" si="88"/>
        <v>1.25</v>
      </c>
      <c r="V593" s="131" t="str">
        <f t="shared" si="89"/>
        <v/>
      </c>
      <c r="W593" s="17"/>
      <c r="X593" s="7"/>
      <c r="Y593" s="161"/>
      <c r="Z593" s="7"/>
      <c r="AA593" s="117"/>
      <c r="AB593" s="117"/>
      <c r="AC593" s="117"/>
      <c r="CH593">
        <v>3</v>
      </c>
      <c r="CI593">
        <v>45</v>
      </c>
    </row>
    <row r="594" spans="1:87" x14ac:dyDescent="0.3">
      <c r="A594" s="23">
        <v>781</v>
      </c>
      <c r="B594" s="2" t="s">
        <v>0</v>
      </c>
      <c r="C594" s="2" t="s">
        <v>1</v>
      </c>
      <c r="D594" s="2" t="s">
        <v>1021</v>
      </c>
      <c r="E594" s="2">
        <v>1900</v>
      </c>
      <c r="F594" s="2">
        <v>3.3999999999999998E-3</v>
      </c>
      <c r="G594" s="2">
        <v>2.3999999999999998E-3</v>
      </c>
      <c r="H594" s="4">
        <f t="shared" si="85"/>
        <v>0.29411764705882354</v>
      </c>
      <c r="I594" s="2" t="s">
        <v>98</v>
      </c>
      <c r="J594" s="2" t="s">
        <v>1022</v>
      </c>
      <c r="K594" s="2" t="s">
        <v>163</v>
      </c>
      <c r="L594" s="2" t="s">
        <v>6</v>
      </c>
      <c r="M594" s="155"/>
      <c r="N594" s="155"/>
      <c r="O594" s="2">
        <v>48</v>
      </c>
      <c r="P594" s="6">
        <v>13</v>
      </c>
      <c r="Q594" s="131">
        <f t="shared" si="86"/>
        <v>55.967611336032391</v>
      </c>
      <c r="R594" s="33">
        <f t="shared" si="90"/>
        <v>13</v>
      </c>
      <c r="S594" s="132">
        <f t="shared" si="87"/>
        <v>1.625</v>
      </c>
      <c r="T594" s="132">
        <f t="shared" si="88"/>
        <v>1.625</v>
      </c>
      <c r="V594" s="131">
        <f t="shared" si="89"/>
        <v>26.36155606407323</v>
      </c>
      <c r="W594" s="17">
        <v>27.6</v>
      </c>
      <c r="X594" s="8">
        <f>60*60*8/W594</f>
        <v>1043.4782608695652</v>
      </c>
      <c r="Y594" s="161">
        <v>45532</v>
      </c>
      <c r="Z594" s="7" t="s">
        <v>7</v>
      </c>
      <c r="AA594" s="117"/>
      <c r="AB594" s="117"/>
      <c r="AC594" s="117"/>
      <c r="AD594" s="22">
        <v>45532</v>
      </c>
      <c r="AE594">
        <v>6</v>
      </c>
      <c r="AF594">
        <v>3.5</v>
      </c>
      <c r="AG594">
        <v>1.6</v>
      </c>
      <c r="AI594">
        <v>0.1</v>
      </c>
      <c r="AJ594">
        <v>0.2</v>
      </c>
      <c r="AK594">
        <v>6</v>
      </c>
      <c r="AL594">
        <v>5.5</v>
      </c>
      <c r="AN594">
        <v>9</v>
      </c>
      <c r="AO594">
        <v>0.2</v>
      </c>
      <c r="AS594">
        <v>27.6</v>
      </c>
      <c r="AT594">
        <v>9.5</v>
      </c>
      <c r="AU594">
        <v>17.5</v>
      </c>
      <c r="AV594">
        <v>106.5</v>
      </c>
      <c r="AW594">
        <v>117.5</v>
      </c>
      <c r="AX594">
        <v>18</v>
      </c>
      <c r="AY594">
        <v>41</v>
      </c>
      <c r="AZ594">
        <v>81</v>
      </c>
      <c r="BA594">
        <v>113</v>
      </c>
      <c r="BB594">
        <v>420</v>
      </c>
      <c r="CH594">
        <v>5</v>
      </c>
      <c r="CI594">
        <v>47</v>
      </c>
    </row>
    <row r="595" spans="1:87" x14ac:dyDescent="0.3">
      <c r="A595" s="2">
        <v>791</v>
      </c>
      <c r="B595" s="2" t="s">
        <v>0</v>
      </c>
      <c r="C595" s="2" t="s">
        <v>1</v>
      </c>
      <c r="D595" s="2" t="s">
        <v>1023</v>
      </c>
      <c r="E595" s="2">
        <v>1000</v>
      </c>
      <c r="F595" s="2">
        <v>6.6E-3</v>
      </c>
      <c r="G595" s="2">
        <v>4.1999999999999997E-3</v>
      </c>
      <c r="H595" s="4">
        <f t="shared" si="85"/>
        <v>0.36363636363636365</v>
      </c>
      <c r="I595" s="2" t="s">
        <v>98</v>
      </c>
      <c r="J595" s="2" t="s">
        <v>1024</v>
      </c>
      <c r="K595" s="2" t="s">
        <v>982</v>
      </c>
      <c r="L595" s="2" t="s">
        <v>983</v>
      </c>
      <c r="M595" s="155"/>
      <c r="N595" s="155"/>
      <c r="O595" s="2">
        <v>24</v>
      </c>
      <c r="P595" s="6">
        <v>40</v>
      </c>
      <c r="Q595" s="131">
        <f t="shared" si="86"/>
        <v>17.28</v>
      </c>
      <c r="R595" s="33">
        <f t="shared" si="90"/>
        <v>40</v>
      </c>
      <c r="S595" s="132">
        <f t="shared" si="87"/>
        <v>5</v>
      </c>
      <c r="T595" s="132">
        <f t="shared" si="88"/>
        <v>5</v>
      </c>
      <c r="V595" s="131" t="str">
        <f t="shared" si="89"/>
        <v/>
      </c>
      <c r="W595" s="17"/>
      <c r="X595" s="7"/>
      <c r="Y595" s="161"/>
      <c r="Z595" s="7"/>
      <c r="AA595" s="117"/>
      <c r="AB595" s="117"/>
      <c r="AC595" s="117"/>
      <c r="CH595">
        <v>5</v>
      </c>
      <c r="CI595">
        <v>44</v>
      </c>
    </row>
    <row r="596" spans="1:87" x14ac:dyDescent="0.3">
      <c r="A596" s="2">
        <v>800</v>
      </c>
      <c r="B596" s="2" t="s">
        <v>0</v>
      </c>
      <c r="C596" s="2" t="s">
        <v>1</v>
      </c>
      <c r="D596" s="2" t="s">
        <v>1025</v>
      </c>
      <c r="E596" s="2">
        <v>700</v>
      </c>
      <c r="F596" s="2">
        <v>1.6E-2</v>
      </c>
      <c r="G596" s="2">
        <v>1.32E-2</v>
      </c>
      <c r="H596" s="4">
        <f t="shared" si="85"/>
        <v>0.17500000000000002</v>
      </c>
      <c r="I596" s="2" t="s">
        <v>98</v>
      </c>
      <c r="J596" s="2" t="s">
        <v>912</v>
      </c>
      <c r="K596" s="2" t="s">
        <v>105</v>
      </c>
      <c r="L596" s="2" t="s">
        <v>76</v>
      </c>
      <c r="M596" s="155"/>
      <c r="N596" s="155"/>
      <c r="O596" s="2">
        <v>16</v>
      </c>
      <c r="P596" s="6">
        <v>40</v>
      </c>
      <c r="Q596" s="131">
        <f t="shared" si="86"/>
        <v>16.457142857142859</v>
      </c>
      <c r="R596" s="33">
        <f t="shared" si="90"/>
        <v>40</v>
      </c>
      <c r="S596" s="132">
        <f t="shared" si="87"/>
        <v>5</v>
      </c>
      <c r="T596" s="132">
        <f t="shared" si="88"/>
        <v>5</v>
      </c>
      <c r="V596" s="131" t="str">
        <f t="shared" si="89"/>
        <v/>
      </c>
      <c r="W596" s="17"/>
      <c r="X596" s="7"/>
      <c r="Y596" s="161"/>
      <c r="Z596" s="7"/>
      <c r="AA596" s="117"/>
      <c r="AB596" s="117"/>
      <c r="AC596" s="117"/>
      <c r="CH596">
        <v>1</v>
      </c>
      <c r="CI596">
        <v>64</v>
      </c>
    </row>
    <row r="597" spans="1:87" x14ac:dyDescent="0.3">
      <c r="A597" s="2">
        <v>803</v>
      </c>
      <c r="B597" s="2" t="s">
        <v>0</v>
      </c>
      <c r="C597" s="2" t="s">
        <v>1</v>
      </c>
      <c r="D597" s="2" t="s">
        <v>1026</v>
      </c>
      <c r="E597" s="2">
        <v>800</v>
      </c>
      <c r="F597" s="2">
        <v>1.72E-2</v>
      </c>
      <c r="G597" s="2">
        <v>1.18E-2</v>
      </c>
      <c r="H597" s="4">
        <f t="shared" si="85"/>
        <v>0.31395348837209303</v>
      </c>
      <c r="I597" s="2" t="s">
        <v>82</v>
      </c>
      <c r="J597" s="2" t="s">
        <v>598</v>
      </c>
      <c r="K597" s="2" t="s">
        <v>105</v>
      </c>
      <c r="L597" s="2" t="s">
        <v>76</v>
      </c>
      <c r="M597" s="155"/>
      <c r="N597" s="155"/>
      <c r="O597" s="2">
        <v>16</v>
      </c>
      <c r="P597" s="6">
        <v>10</v>
      </c>
      <c r="Q597" s="131">
        <f t="shared" si="86"/>
        <v>57.6</v>
      </c>
      <c r="R597" s="33">
        <f t="shared" si="90"/>
        <v>10</v>
      </c>
      <c r="S597" s="132">
        <f t="shared" si="87"/>
        <v>1.25</v>
      </c>
      <c r="T597" s="132">
        <f t="shared" si="88"/>
        <v>1.25</v>
      </c>
      <c r="V597" s="131" t="str">
        <f t="shared" si="89"/>
        <v/>
      </c>
      <c r="W597" s="17"/>
      <c r="X597" s="7"/>
      <c r="Y597" s="161"/>
      <c r="Z597" s="7"/>
      <c r="AA597" s="117"/>
      <c r="AB597" s="117"/>
      <c r="AC597" s="117"/>
      <c r="CH597">
        <v>5</v>
      </c>
      <c r="CI597">
        <v>50</v>
      </c>
    </row>
    <row r="598" spans="1:87" x14ac:dyDescent="0.3">
      <c r="A598" s="2">
        <v>804</v>
      </c>
      <c r="B598" s="2" t="s">
        <v>0</v>
      </c>
      <c r="C598" s="2" t="s">
        <v>1</v>
      </c>
      <c r="D598" s="2" t="s">
        <v>1027</v>
      </c>
      <c r="E598" s="2">
        <v>200</v>
      </c>
      <c r="F598" s="2">
        <v>3.61E-2</v>
      </c>
      <c r="G598" s="2">
        <v>2.8000000000000001E-2</v>
      </c>
      <c r="H598" s="4">
        <f t="shared" si="85"/>
        <v>0.22437673130193905</v>
      </c>
      <c r="I598" s="2" t="s">
        <v>82</v>
      </c>
      <c r="J598" s="2" t="s">
        <v>626</v>
      </c>
      <c r="K598" s="2" t="s">
        <v>90</v>
      </c>
      <c r="L598" s="2" t="s">
        <v>6</v>
      </c>
      <c r="M598" s="155"/>
      <c r="N598" s="155"/>
      <c r="O598" s="2">
        <v>8</v>
      </c>
      <c r="P598" s="6">
        <v>45</v>
      </c>
      <c r="Q598" s="131">
        <f t="shared" si="86"/>
        <v>25.6</v>
      </c>
      <c r="R598" s="33">
        <f t="shared" si="90"/>
        <v>45</v>
      </c>
      <c r="S598" s="132">
        <f t="shared" si="87"/>
        <v>5.625</v>
      </c>
      <c r="T598" s="132">
        <f t="shared" si="88"/>
        <v>5.625</v>
      </c>
      <c r="V598" s="131" t="str">
        <f t="shared" si="89"/>
        <v/>
      </c>
      <c r="W598" s="17"/>
      <c r="X598" s="7"/>
      <c r="Y598" s="161"/>
      <c r="Z598" s="7"/>
      <c r="AA598" s="117"/>
      <c r="AB598" s="117"/>
      <c r="AC598" s="117"/>
      <c r="CH598">
        <v>3</v>
      </c>
      <c r="CI598">
        <v>85</v>
      </c>
    </row>
    <row r="599" spans="1:87" x14ac:dyDescent="0.3">
      <c r="A599" s="2">
        <v>806</v>
      </c>
      <c r="B599" s="2" t="s">
        <v>0</v>
      </c>
      <c r="C599" s="2" t="s">
        <v>1</v>
      </c>
      <c r="D599" s="2" t="s">
        <v>1028</v>
      </c>
      <c r="E599" s="2">
        <v>440</v>
      </c>
      <c r="F599" s="2">
        <v>4.9099999999999998E-2</v>
      </c>
      <c r="G599" s="2">
        <v>3.6299999999999999E-2</v>
      </c>
      <c r="H599" s="4">
        <f t="shared" si="85"/>
        <v>0.26069246435845211</v>
      </c>
      <c r="I599" s="2" t="s">
        <v>82</v>
      </c>
      <c r="J599" s="2" t="s">
        <v>598</v>
      </c>
      <c r="K599" s="2" t="s">
        <v>105</v>
      </c>
      <c r="L599" s="2" t="s">
        <v>76</v>
      </c>
      <c r="M599" s="155"/>
      <c r="N599" s="155"/>
      <c r="O599" s="2">
        <v>6</v>
      </c>
      <c r="P599" s="6">
        <v>15</v>
      </c>
      <c r="Q599" s="131">
        <f t="shared" si="86"/>
        <v>26.181818181818183</v>
      </c>
      <c r="R599" s="33">
        <f t="shared" si="90"/>
        <v>15</v>
      </c>
      <c r="S599" s="132">
        <f t="shared" si="87"/>
        <v>1.875</v>
      </c>
      <c r="T599" s="132">
        <f t="shared" si="88"/>
        <v>1.875</v>
      </c>
      <c r="V599" s="131" t="str">
        <f t="shared" si="89"/>
        <v/>
      </c>
      <c r="W599" s="17"/>
      <c r="X599" s="7"/>
      <c r="Y599" s="161"/>
      <c r="Z599" s="7"/>
      <c r="AA599" s="117"/>
      <c r="AB599" s="117"/>
      <c r="AC599" s="117"/>
      <c r="CH599">
        <v>3</v>
      </c>
      <c r="CI599">
        <v>38</v>
      </c>
    </row>
    <row r="600" spans="1:87" x14ac:dyDescent="0.3">
      <c r="A600" s="2">
        <v>807</v>
      </c>
      <c r="B600" s="2" t="s">
        <v>0</v>
      </c>
      <c r="C600" s="2" t="s">
        <v>1</v>
      </c>
      <c r="D600" s="2" t="s">
        <v>1029</v>
      </c>
      <c r="E600" s="2">
        <v>230</v>
      </c>
      <c r="F600" s="2">
        <v>8.7499999999999994E-2</v>
      </c>
      <c r="G600" s="2">
        <v>6.3E-2</v>
      </c>
      <c r="H600" s="4">
        <f t="shared" si="85"/>
        <v>0.27999999999999997</v>
      </c>
      <c r="I600" s="2" t="s">
        <v>82</v>
      </c>
      <c r="J600" s="2" t="s">
        <v>1030</v>
      </c>
      <c r="K600" s="2" t="s">
        <v>230</v>
      </c>
      <c r="L600" s="2" t="s">
        <v>76</v>
      </c>
      <c r="M600" s="155"/>
      <c r="N600" s="155"/>
      <c r="O600" s="2">
        <v>3</v>
      </c>
      <c r="P600" s="6">
        <v>12</v>
      </c>
      <c r="Q600" s="131">
        <f t="shared" si="86"/>
        <v>31.304347826086957</v>
      </c>
      <c r="R600" s="33">
        <f t="shared" si="90"/>
        <v>12</v>
      </c>
      <c r="S600" s="132">
        <f t="shared" si="87"/>
        <v>1.5</v>
      </c>
      <c r="T600" s="132">
        <f t="shared" si="88"/>
        <v>1.5</v>
      </c>
      <c r="V600" s="131" t="str">
        <f t="shared" si="89"/>
        <v/>
      </c>
      <c r="W600" s="17"/>
      <c r="X600" s="7"/>
      <c r="Y600" s="161"/>
      <c r="Z600" s="7"/>
      <c r="AA600" s="117"/>
      <c r="AB600" s="117"/>
      <c r="AC600" s="117"/>
      <c r="CH600">
        <v>4</v>
      </c>
      <c r="CI600">
        <v>36</v>
      </c>
    </row>
    <row r="601" spans="1:87" x14ac:dyDescent="0.3">
      <c r="A601" s="23">
        <v>820</v>
      </c>
      <c r="B601" s="2" t="s">
        <v>0</v>
      </c>
      <c r="C601" s="2" t="s">
        <v>1</v>
      </c>
      <c r="D601" s="2" t="s">
        <v>1031</v>
      </c>
      <c r="E601" s="2">
        <v>180</v>
      </c>
      <c r="F601" s="2">
        <v>6.4199999999999993E-2</v>
      </c>
      <c r="G601" s="2">
        <v>5.3600000000000002E-2</v>
      </c>
      <c r="H601" s="4">
        <f t="shared" si="85"/>
        <v>0.16510903426791265</v>
      </c>
      <c r="I601" s="2" t="s">
        <v>82</v>
      </c>
      <c r="J601" s="2" t="s">
        <v>1032</v>
      </c>
      <c r="K601" s="2" t="s">
        <v>222</v>
      </c>
      <c r="L601" s="2" t="s">
        <v>76</v>
      </c>
      <c r="M601" s="155"/>
      <c r="N601" s="155"/>
      <c r="O601" s="2">
        <v>6</v>
      </c>
      <c r="P601" s="6">
        <v>17</v>
      </c>
      <c r="Q601" s="131">
        <f t="shared" si="86"/>
        <v>56.470588235294116</v>
      </c>
      <c r="R601" s="33">
        <f t="shared" si="90"/>
        <v>17</v>
      </c>
      <c r="S601" s="132">
        <f t="shared" si="87"/>
        <v>2.125</v>
      </c>
      <c r="T601" s="132">
        <f t="shared" si="88"/>
        <v>2.125</v>
      </c>
      <c r="V601" s="131">
        <f t="shared" si="89"/>
        <v>24.742268041237114</v>
      </c>
      <c r="W601" s="17">
        <v>38.799999999999997</v>
      </c>
      <c r="X601" s="8">
        <f>60*60*8/W601</f>
        <v>742.26804123711349</v>
      </c>
      <c r="Y601" s="161">
        <v>45385</v>
      </c>
      <c r="Z601" s="7" t="s">
        <v>7</v>
      </c>
      <c r="AA601" s="117"/>
      <c r="AB601" s="117"/>
      <c r="AC601" s="117"/>
      <c r="CH601">
        <v>3</v>
      </c>
      <c r="CI601">
        <v>81</v>
      </c>
    </row>
    <row r="602" spans="1:87" x14ac:dyDescent="0.3">
      <c r="A602" s="2">
        <v>821</v>
      </c>
      <c r="B602" s="2" t="s">
        <v>0</v>
      </c>
      <c r="C602" s="2" t="s">
        <v>1</v>
      </c>
      <c r="D602" s="2" t="s">
        <v>1033</v>
      </c>
      <c r="E602" s="2">
        <v>120</v>
      </c>
      <c r="F602" s="2">
        <v>5.1499999999999997E-2</v>
      </c>
      <c r="G602" s="2">
        <v>3.95E-2</v>
      </c>
      <c r="H602" s="4">
        <f t="shared" si="85"/>
        <v>0.23300970873786403</v>
      </c>
      <c r="I602" s="2" t="s">
        <v>82</v>
      </c>
      <c r="J602" s="2" t="s">
        <v>610</v>
      </c>
      <c r="K602" s="2" t="s">
        <v>5</v>
      </c>
      <c r="L602" s="2" t="s">
        <v>6</v>
      </c>
      <c r="M602" s="155">
        <v>1</v>
      </c>
      <c r="N602" s="155">
        <v>120</v>
      </c>
      <c r="O602" s="2">
        <v>6</v>
      </c>
      <c r="P602" s="6">
        <v>32</v>
      </c>
      <c r="Q602" s="131">
        <f t="shared" si="86"/>
        <v>45</v>
      </c>
      <c r="R602" s="33">
        <f t="shared" si="90"/>
        <v>32</v>
      </c>
      <c r="S602" s="132">
        <f t="shared" si="87"/>
        <v>4</v>
      </c>
      <c r="T602" s="132">
        <f t="shared" si="88"/>
        <v>4</v>
      </c>
      <c r="V602" s="131" t="str">
        <f t="shared" si="89"/>
        <v/>
      </c>
      <c r="W602" s="17"/>
      <c r="X602" s="7"/>
      <c r="Y602" s="161"/>
      <c r="Z602" s="7"/>
      <c r="AA602" s="117"/>
      <c r="AB602" s="117"/>
      <c r="AC602" s="117"/>
      <c r="CH602">
        <v>6</v>
      </c>
      <c r="CI602">
        <v>84</v>
      </c>
    </row>
    <row r="603" spans="1:87" x14ac:dyDescent="0.3">
      <c r="A603" s="23">
        <v>822</v>
      </c>
      <c r="B603" s="2" t="s">
        <v>0</v>
      </c>
      <c r="C603" s="2" t="s">
        <v>1</v>
      </c>
      <c r="D603" s="2" t="s">
        <v>1034</v>
      </c>
      <c r="E603" s="2">
        <v>720</v>
      </c>
      <c r="F603" s="2">
        <v>1.06E-2</v>
      </c>
      <c r="G603" s="2">
        <v>7.1999999999999998E-3</v>
      </c>
      <c r="H603" s="4">
        <f t="shared" si="85"/>
        <v>0.32075471698113212</v>
      </c>
      <c r="I603" s="2" t="s">
        <v>82</v>
      </c>
      <c r="J603" s="2" t="s">
        <v>645</v>
      </c>
      <c r="K603" s="2" t="s">
        <v>5</v>
      </c>
      <c r="L603" s="2" t="s">
        <v>6</v>
      </c>
      <c r="M603" s="155">
        <v>5</v>
      </c>
      <c r="N603" s="155">
        <v>144</v>
      </c>
      <c r="O603" s="2">
        <v>16</v>
      </c>
      <c r="P603" s="6">
        <v>17</v>
      </c>
      <c r="Q603" s="131">
        <f t="shared" si="86"/>
        <v>37.647058823529413</v>
      </c>
      <c r="R603" s="33">
        <f t="shared" si="90"/>
        <v>17</v>
      </c>
      <c r="S603" s="132">
        <f t="shared" si="87"/>
        <v>2.125</v>
      </c>
      <c r="T603" s="132">
        <f t="shared" si="88"/>
        <v>2.125</v>
      </c>
      <c r="V603" s="131">
        <f t="shared" si="89"/>
        <v>17.728531855955676</v>
      </c>
      <c r="W603" s="17">
        <v>36.1</v>
      </c>
      <c r="X603" s="8">
        <f t="shared" ref="X603:X610" si="91">60*60*8/W603</f>
        <v>797.78393351800548</v>
      </c>
      <c r="Y603" s="161">
        <v>45523</v>
      </c>
      <c r="Z603" s="7" t="s">
        <v>7</v>
      </c>
      <c r="AA603" s="117"/>
      <c r="AB603" s="117"/>
      <c r="AC603" s="117"/>
      <c r="AD603" s="24">
        <v>45523</v>
      </c>
      <c r="AE603">
        <v>1</v>
      </c>
      <c r="AF603">
        <v>5.2</v>
      </c>
      <c r="AG603">
        <v>1.8</v>
      </c>
      <c r="AI603">
        <v>0.6</v>
      </c>
      <c r="AJ603">
        <v>0.1</v>
      </c>
      <c r="AK603">
        <v>8</v>
      </c>
      <c r="AL603">
        <v>7.5</v>
      </c>
      <c r="AN603">
        <v>12</v>
      </c>
      <c r="AS603">
        <v>36.1</v>
      </c>
      <c r="AT603">
        <v>7.5</v>
      </c>
      <c r="AU603">
        <v>19.5</v>
      </c>
      <c r="AV603">
        <v>111</v>
      </c>
      <c r="AW603">
        <v>122</v>
      </c>
      <c r="AX603">
        <v>9</v>
      </c>
      <c r="AY603">
        <v>42</v>
      </c>
      <c r="AZ603">
        <v>91</v>
      </c>
      <c r="BA603">
        <v>108</v>
      </c>
      <c r="BB603">
        <v>420</v>
      </c>
      <c r="CH603">
        <v>1</v>
      </c>
      <c r="CI603">
        <v>37</v>
      </c>
    </row>
    <row r="604" spans="1:87" x14ac:dyDescent="0.3">
      <c r="A604" s="23">
        <v>823</v>
      </c>
      <c r="B604" s="2" t="s">
        <v>0</v>
      </c>
      <c r="C604" s="2" t="s">
        <v>1</v>
      </c>
      <c r="D604" s="2" t="s">
        <v>1035</v>
      </c>
      <c r="E604" s="2">
        <v>720</v>
      </c>
      <c r="F604" s="2">
        <v>1.67E-2</v>
      </c>
      <c r="G604" s="2">
        <v>1.26E-2</v>
      </c>
      <c r="H604" s="4">
        <f t="shared" si="85"/>
        <v>0.24550898203592811</v>
      </c>
      <c r="I604" s="2" t="s">
        <v>82</v>
      </c>
      <c r="J604" s="2" t="s">
        <v>598</v>
      </c>
      <c r="K604" s="2" t="s">
        <v>105</v>
      </c>
      <c r="L604" s="2" t="s">
        <v>76</v>
      </c>
      <c r="M604" s="155">
        <v>6</v>
      </c>
      <c r="N604" s="155">
        <v>120</v>
      </c>
      <c r="O604" s="2">
        <v>8</v>
      </c>
      <c r="P604" s="6">
        <v>17</v>
      </c>
      <c r="Q604" s="131">
        <f t="shared" si="86"/>
        <v>18.823529411764707</v>
      </c>
      <c r="R604" s="33">
        <f t="shared" si="90"/>
        <v>17</v>
      </c>
      <c r="S604" s="132">
        <f t="shared" si="87"/>
        <v>2.125</v>
      </c>
      <c r="T604" s="132">
        <f t="shared" si="88"/>
        <v>2.125</v>
      </c>
      <c r="V604" s="131">
        <f t="shared" si="89"/>
        <v>8.6486486486486474</v>
      </c>
      <c r="W604" s="17">
        <v>37</v>
      </c>
      <c r="X604" s="8">
        <f t="shared" si="91"/>
        <v>778.37837837837833</v>
      </c>
      <c r="Y604" s="161">
        <v>45385</v>
      </c>
      <c r="Z604" s="7" t="s">
        <v>7</v>
      </c>
      <c r="AA604" s="117"/>
      <c r="AB604" s="117"/>
      <c r="AC604" s="117"/>
      <c r="AD604" s="24">
        <v>45520</v>
      </c>
      <c r="AE604">
        <v>6</v>
      </c>
      <c r="AF604">
        <v>8.6</v>
      </c>
      <c r="AH604">
        <v>3</v>
      </c>
      <c r="AI604">
        <v>0.6</v>
      </c>
      <c r="AJ604">
        <v>0.8</v>
      </c>
      <c r="AK604">
        <v>8</v>
      </c>
      <c r="AL604">
        <v>7.5</v>
      </c>
      <c r="AN604">
        <v>12</v>
      </c>
      <c r="AO604">
        <v>0.1</v>
      </c>
      <c r="AS604">
        <v>37.5</v>
      </c>
      <c r="AT604">
        <v>9.5</v>
      </c>
      <c r="AU604">
        <v>17</v>
      </c>
      <c r="AV604">
        <v>66.5</v>
      </c>
      <c r="AW604">
        <v>77</v>
      </c>
      <c r="AX604">
        <v>18</v>
      </c>
      <c r="AY604">
        <v>41</v>
      </c>
      <c r="AZ604">
        <v>81</v>
      </c>
      <c r="BA604">
        <v>111.3</v>
      </c>
      <c r="BB604">
        <v>410</v>
      </c>
      <c r="CH604">
        <v>6</v>
      </c>
      <c r="CI604">
        <v>71</v>
      </c>
    </row>
    <row r="605" spans="1:87" x14ac:dyDescent="0.3">
      <c r="A605" s="23">
        <v>824</v>
      </c>
      <c r="B605" s="2" t="s">
        <v>0</v>
      </c>
      <c r="C605" s="2" t="s">
        <v>1</v>
      </c>
      <c r="D605" s="2" t="s">
        <v>1036</v>
      </c>
      <c r="E605" s="2">
        <v>720</v>
      </c>
      <c r="F605" s="2">
        <v>1.67E-2</v>
      </c>
      <c r="G605" s="2">
        <v>1.26E-2</v>
      </c>
      <c r="H605" s="4">
        <f t="shared" si="85"/>
        <v>0.24550898203592811</v>
      </c>
      <c r="I605" s="2" t="s">
        <v>82</v>
      </c>
      <c r="J605" s="2" t="s">
        <v>598</v>
      </c>
      <c r="K605" s="2" t="s">
        <v>5</v>
      </c>
      <c r="L605" s="2" t="s">
        <v>6</v>
      </c>
      <c r="M605" s="155"/>
      <c r="N605" s="155"/>
      <c r="O605" s="2">
        <v>8</v>
      </c>
      <c r="P605" s="6">
        <v>17</v>
      </c>
      <c r="Q605" s="131">
        <f t="shared" si="86"/>
        <v>18.823529411764707</v>
      </c>
      <c r="R605" s="33">
        <f t="shared" si="90"/>
        <v>17</v>
      </c>
      <c r="S605" s="132">
        <f t="shared" si="87"/>
        <v>2.125</v>
      </c>
      <c r="T605" s="132">
        <f t="shared" si="88"/>
        <v>2.125</v>
      </c>
      <c r="V605" s="131">
        <f t="shared" si="89"/>
        <v>8.6486486486486474</v>
      </c>
      <c r="W605" s="17">
        <v>37</v>
      </c>
      <c r="X605" s="8">
        <f t="shared" si="91"/>
        <v>778.37837837837833</v>
      </c>
      <c r="Y605" s="161">
        <v>45385</v>
      </c>
      <c r="Z605" s="7" t="s">
        <v>7</v>
      </c>
      <c r="AA605" s="117"/>
      <c r="AB605" s="117"/>
      <c r="AC605" s="117"/>
      <c r="AD605" s="24">
        <v>45520</v>
      </c>
      <c r="AE605">
        <v>6</v>
      </c>
      <c r="AF605">
        <v>8.6</v>
      </c>
      <c r="AH605">
        <v>3</v>
      </c>
      <c r="AI605">
        <v>0.6</v>
      </c>
      <c r="AJ605">
        <v>0.8</v>
      </c>
      <c r="AK605">
        <v>8</v>
      </c>
      <c r="AL605">
        <v>7.5</v>
      </c>
      <c r="AN605">
        <v>12</v>
      </c>
      <c r="AO605">
        <v>0.1</v>
      </c>
      <c r="AS605">
        <v>37.299999999999997</v>
      </c>
      <c r="AT605">
        <v>9.5</v>
      </c>
      <c r="AU605">
        <v>17</v>
      </c>
      <c r="AV605">
        <v>66.5</v>
      </c>
      <c r="AW605">
        <v>77</v>
      </c>
      <c r="AX605">
        <v>18</v>
      </c>
      <c r="AY605">
        <v>41</v>
      </c>
      <c r="AZ605">
        <v>81</v>
      </c>
      <c r="BA605">
        <v>111.3</v>
      </c>
      <c r="BB605">
        <v>410</v>
      </c>
      <c r="CH605">
        <v>1</v>
      </c>
      <c r="CI605">
        <v>45</v>
      </c>
    </row>
    <row r="606" spans="1:87" x14ac:dyDescent="0.3">
      <c r="A606" s="23">
        <v>825</v>
      </c>
      <c r="B606" s="2" t="s">
        <v>0</v>
      </c>
      <c r="C606" s="2" t="s">
        <v>1</v>
      </c>
      <c r="D606" s="2" t="s">
        <v>1037</v>
      </c>
      <c r="E606" s="2">
        <v>720</v>
      </c>
      <c r="F606" s="2">
        <v>1.3899999999999999E-2</v>
      </c>
      <c r="G606" s="2">
        <v>1.04E-2</v>
      </c>
      <c r="H606" s="4">
        <f t="shared" si="85"/>
        <v>0.25179856115107913</v>
      </c>
      <c r="I606" s="2" t="s">
        <v>82</v>
      </c>
      <c r="J606" s="2" t="s">
        <v>600</v>
      </c>
      <c r="K606" s="2" t="s">
        <v>5</v>
      </c>
      <c r="L606" s="2" t="s">
        <v>6</v>
      </c>
      <c r="M606" s="155">
        <v>5</v>
      </c>
      <c r="N606" s="155">
        <v>144</v>
      </c>
      <c r="O606" s="2">
        <v>8</v>
      </c>
      <c r="P606" s="6">
        <v>17</v>
      </c>
      <c r="Q606" s="131">
        <f t="shared" si="86"/>
        <v>18.823529411764707</v>
      </c>
      <c r="R606" s="33">
        <f t="shared" si="90"/>
        <v>17</v>
      </c>
      <c r="S606" s="132">
        <f t="shared" si="87"/>
        <v>2.125</v>
      </c>
      <c r="T606" s="132">
        <f t="shared" si="88"/>
        <v>2.125</v>
      </c>
      <c r="V606" s="131">
        <f t="shared" si="89"/>
        <v>8.7984602694528462</v>
      </c>
      <c r="W606" s="17">
        <v>36.369999999999997</v>
      </c>
      <c r="X606" s="8">
        <f t="shared" si="91"/>
        <v>791.86142425075616</v>
      </c>
      <c r="Y606" s="161">
        <v>45379</v>
      </c>
      <c r="Z606" s="7" t="s">
        <v>7</v>
      </c>
      <c r="AA606" s="117"/>
      <c r="AB606" s="117"/>
      <c r="AC606" s="117"/>
      <c r="CH606">
        <v>5</v>
      </c>
      <c r="CI606">
        <v>69</v>
      </c>
    </row>
    <row r="607" spans="1:87" x14ac:dyDescent="0.3">
      <c r="A607" s="23">
        <v>826</v>
      </c>
      <c r="B607" s="2" t="s">
        <v>0</v>
      </c>
      <c r="C607" s="2" t="s">
        <v>1</v>
      </c>
      <c r="D607" s="2" t="s">
        <v>1038</v>
      </c>
      <c r="E607" s="2">
        <v>720</v>
      </c>
      <c r="F607" s="2">
        <v>1.3899999999999999E-2</v>
      </c>
      <c r="G607" s="2">
        <v>1.04E-2</v>
      </c>
      <c r="H607" s="4">
        <f t="shared" si="85"/>
        <v>0.25179856115107913</v>
      </c>
      <c r="I607" s="2" t="s">
        <v>82</v>
      </c>
      <c r="J607" s="2" t="s">
        <v>600</v>
      </c>
      <c r="K607" s="2" t="s">
        <v>90</v>
      </c>
      <c r="L607" s="2" t="s">
        <v>6</v>
      </c>
      <c r="M607" s="155"/>
      <c r="N607" s="155"/>
      <c r="O607" s="2">
        <v>8</v>
      </c>
      <c r="P607" s="6">
        <v>17</v>
      </c>
      <c r="Q607" s="131">
        <f t="shared" si="86"/>
        <v>18.823529411764707</v>
      </c>
      <c r="R607" s="33">
        <f t="shared" si="90"/>
        <v>17</v>
      </c>
      <c r="S607" s="132">
        <f t="shared" si="87"/>
        <v>2.125</v>
      </c>
      <c r="T607" s="132">
        <f t="shared" si="88"/>
        <v>2.125</v>
      </c>
      <c r="V607" s="131">
        <f t="shared" si="89"/>
        <v>8.7984602694528462</v>
      </c>
      <c r="W607" s="17">
        <v>36.369999999999997</v>
      </c>
      <c r="X607" s="8">
        <f t="shared" si="91"/>
        <v>791.86142425075616</v>
      </c>
      <c r="Y607" s="161">
        <v>45385</v>
      </c>
      <c r="Z607" s="7" t="s">
        <v>7</v>
      </c>
      <c r="AA607" s="117"/>
      <c r="AB607" s="117"/>
      <c r="AC607" s="117"/>
      <c r="CH607">
        <v>2</v>
      </c>
      <c r="CI607">
        <v>54</v>
      </c>
    </row>
    <row r="608" spans="1:87" x14ac:dyDescent="0.3">
      <c r="A608" s="23">
        <v>827</v>
      </c>
      <c r="B608" s="2" t="s">
        <v>0</v>
      </c>
      <c r="C608" s="2" t="s">
        <v>1</v>
      </c>
      <c r="D608" s="2" t="s">
        <v>1039</v>
      </c>
      <c r="E608" s="2">
        <v>180</v>
      </c>
      <c r="F608" s="2">
        <v>6.3200000000000006E-2</v>
      </c>
      <c r="G608" s="2">
        <v>5.1200000000000002E-2</v>
      </c>
      <c r="H608" s="4">
        <f t="shared" si="85"/>
        <v>0.18987341772151903</v>
      </c>
      <c r="I608" s="2" t="s">
        <v>82</v>
      </c>
      <c r="J608" s="2" t="s">
        <v>1032</v>
      </c>
      <c r="K608" s="2" t="s">
        <v>5</v>
      </c>
      <c r="L608" s="2" t="s">
        <v>6</v>
      </c>
      <c r="M608" s="155"/>
      <c r="N608" s="155"/>
      <c r="O608" s="2">
        <v>6</v>
      </c>
      <c r="P608" s="6">
        <v>12</v>
      </c>
      <c r="Q608" s="131">
        <f t="shared" si="86"/>
        <v>80</v>
      </c>
      <c r="R608" s="33">
        <f t="shared" si="90"/>
        <v>12</v>
      </c>
      <c r="S608" s="132">
        <f t="shared" si="87"/>
        <v>1.5</v>
      </c>
      <c r="T608" s="132">
        <f t="shared" si="88"/>
        <v>1.5</v>
      </c>
      <c r="V608" s="131">
        <f t="shared" si="89"/>
        <v>25.065274151436032</v>
      </c>
      <c r="W608" s="17">
        <v>38.299999999999997</v>
      </c>
      <c r="X608" s="8">
        <f t="shared" si="91"/>
        <v>751.95822454308097</v>
      </c>
      <c r="Y608" s="161">
        <v>45385</v>
      </c>
      <c r="Z608" s="7" t="s">
        <v>7</v>
      </c>
      <c r="AA608" s="117"/>
      <c r="AB608" s="117"/>
      <c r="AC608" s="117"/>
      <c r="AD608" s="24">
        <v>45520</v>
      </c>
      <c r="AE608">
        <v>8</v>
      </c>
      <c r="AF608">
        <v>6.2</v>
      </c>
      <c r="AG608">
        <v>1.8</v>
      </c>
      <c r="AI608">
        <v>0.1</v>
      </c>
      <c r="AJ608">
        <v>0.2</v>
      </c>
      <c r="AK608">
        <v>7</v>
      </c>
      <c r="AL608">
        <v>6.5</v>
      </c>
      <c r="AN608">
        <v>13</v>
      </c>
      <c r="AO608">
        <v>0.7</v>
      </c>
      <c r="AP608">
        <v>0.2</v>
      </c>
      <c r="AS608">
        <v>38</v>
      </c>
      <c r="AT608">
        <v>6.5</v>
      </c>
      <c r="AU608">
        <v>16</v>
      </c>
      <c r="AV608">
        <v>129</v>
      </c>
      <c r="AW608">
        <v>140</v>
      </c>
      <c r="AX608">
        <v>12</v>
      </c>
      <c r="AY608">
        <v>24</v>
      </c>
      <c r="AZ608">
        <v>101</v>
      </c>
      <c r="BA608">
        <v>111.2</v>
      </c>
      <c r="BB608">
        <v>420</v>
      </c>
      <c r="CH608">
        <v>6</v>
      </c>
      <c r="CI608">
        <v>69</v>
      </c>
    </row>
    <row r="609" spans="1:87" x14ac:dyDescent="0.3">
      <c r="A609" s="23">
        <v>828</v>
      </c>
      <c r="B609" s="2" t="s">
        <v>0</v>
      </c>
      <c r="C609" s="2" t="s">
        <v>1</v>
      </c>
      <c r="D609" s="2" t="s">
        <v>1040</v>
      </c>
      <c r="E609" s="2">
        <v>450</v>
      </c>
      <c r="F609" s="2">
        <v>3.04E-2</v>
      </c>
      <c r="G609" s="2">
        <v>2.3300000000000001E-2</v>
      </c>
      <c r="H609" s="4">
        <f t="shared" si="85"/>
        <v>0.23355263157894732</v>
      </c>
      <c r="I609" s="2" t="s">
        <v>82</v>
      </c>
      <c r="J609" s="2" t="s">
        <v>610</v>
      </c>
      <c r="K609" s="2" t="s">
        <v>5</v>
      </c>
      <c r="L609" s="2" t="s">
        <v>6</v>
      </c>
      <c r="M609" s="155"/>
      <c r="N609" s="155"/>
      <c r="O609" s="2">
        <v>12</v>
      </c>
      <c r="P609" s="6">
        <v>12</v>
      </c>
      <c r="Q609" s="131">
        <f t="shared" si="86"/>
        <v>64</v>
      </c>
      <c r="R609" s="33">
        <f t="shared" si="90"/>
        <v>12</v>
      </c>
      <c r="S609" s="132">
        <f t="shared" si="87"/>
        <v>1.5</v>
      </c>
      <c r="T609" s="132">
        <f t="shared" si="88"/>
        <v>1.5</v>
      </c>
      <c r="V609" s="131">
        <f t="shared" si="89"/>
        <v>19.74293059125964</v>
      </c>
      <c r="W609" s="17">
        <v>38.9</v>
      </c>
      <c r="X609" s="8">
        <f t="shared" si="91"/>
        <v>740.35989717223651</v>
      </c>
      <c r="Y609" s="161">
        <v>45385</v>
      </c>
      <c r="Z609" s="7" t="s">
        <v>7</v>
      </c>
      <c r="AA609" s="117"/>
      <c r="AB609" s="117"/>
      <c r="AC609" s="117"/>
      <c r="CH609">
        <v>5</v>
      </c>
      <c r="CI609">
        <v>76</v>
      </c>
    </row>
    <row r="610" spans="1:87" x14ac:dyDescent="0.3">
      <c r="A610" s="23">
        <v>829</v>
      </c>
      <c r="B610" s="2" t="s">
        <v>0</v>
      </c>
      <c r="C610" s="2" t="s">
        <v>1</v>
      </c>
      <c r="D610" s="2" t="s">
        <v>1041</v>
      </c>
      <c r="E610" s="2">
        <v>720</v>
      </c>
      <c r="F610" s="2">
        <v>1.3899999999999999E-2</v>
      </c>
      <c r="G610" s="2">
        <v>1.04E-2</v>
      </c>
      <c r="H610" s="4">
        <f t="shared" si="85"/>
        <v>0.25179856115107913</v>
      </c>
      <c r="I610" s="2" t="s">
        <v>82</v>
      </c>
      <c r="J610" s="2" t="s">
        <v>600</v>
      </c>
      <c r="K610" s="2" t="s">
        <v>5</v>
      </c>
      <c r="L610" s="2" t="s">
        <v>6</v>
      </c>
      <c r="M610" s="155"/>
      <c r="N610" s="155"/>
      <c r="O610" s="2">
        <v>8</v>
      </c>
      <c r="P610" s="6">
        <v>17</v>
      </c>
      <c r="Q610" s="131">
        <f t="shared" si="86"/>
        <v>18.823529411764707</v>
      </c>
      <c r="R610" s="33">
        <f t="shared" si="90"/>
        <v>17</v>
      </c>
      <c r="S610" s="132">
        <f t="shared" si="87"/>
        <v>2.125</v>
      </c>
      <c r="T610" s="132">
        <f t="shared" si="88"/>
        <v>2.125</v>
      </c>
      <c r="V610" s="131">
        <f t="shared" si="89"/>
        <v>8.5790884718498663</v>
      </c>
      <c r="W610" s="17">
        <v>37.299999999999997</v>
      </c>
      <c r="X610" s="8">
        <f t="shared" si="91"/>
        <v>772.11796246648794</v>
      </c>
      <c r="Y610" s="161">
        <v>45573</v>
      </c>
      <c r="Z610" s="7" t="s">
        <v>7</v>
      </c>
      <c r="AA610" s="117"/>
      <c r="AB610" s="117"/>
      <c r="AC610" s="117"/>
      <c r="CH610">
        <v>6</v>
      </c>
      <c r="CI610">
        <v>60</v>
      </c>
    </row>
    <row r="611" spans="1:87" x14ac:dyDescent="0.3">
      <c r="A611" s="2">
        <v>830</v>
      </c>
      <c r="B611" s="2" t="s">
        <v>0</v>
      </c>
      <c r="C611" s="2" t="s">
        <v>1</v>
      </c>
      <c r="D611" s="2" t="s">
        <v>1042</v>
      </c>
      <c r="E611" s="2">
        <v>720</v>
      </c>
      <c r="F611" s="2">
        <v>1.3899999999999999E-2</v>
      </c>
      <c r="G611" s="2">
        <v>1.04E-2</v>
      </c>
      <c r="H611" s="4">
        <f t="shared" si="85"/>
        <v>0.25179856115107913</v>
      </c>
      <c r="I611" s="2" t="s">
        <v>82</v>
      </c>
      <c r="J611" s="2" t="s">
        <v>600</v>
      </c>
      <c r="K611" s="2" t="s">
        <v>90</v>
      </c>
      <c r="L611" s="2" t="s">
        <v>6</v>
      </c>
      <c r="M611" s="155"/>
      <c r="N611" s="155"/>
      <c r="O611" s="2">
        <v>8</v>
      </c>
      <c r="P611" s="6">
        <v>17</v>
      </c>
      <c r="Q611" s="131">
        <f t="shared" si="86"/>
        <v>18.823529411764707</v>
      </c>
      <c r="R611" s="33">
        <f t="shared" si="90"/>
        <v>17</v>
      </c>
      <c r="S611" s="132">
        <f t="shared" si="87"/>
        <v>2.125</v>
      </c>
      <c r="T611" s="132">
        <f t="shared" si="88"/>
        <v>2.125</v>
      </c>
      <c r="V611" s="131" t="str">
        <f t="shared" si="89"/>
        <v/>
      </c>
      <c r="W611" s="17"/>
      <c r="X611" s="7"/>
      <c r="Y611" s="161"/>
      <c r="Z611" s="7"/>
      <c r="AA611" s="117"/>
      <c r="AB611" s="117"/>
      <c r="AC611" s="117"/>
      <c r="CH611">
        <v>1</v>
      </c>
      <c r="CI611">
        <v>89</v>
      </c>
    </row>
    <row r="612" spans="1:87" x14ac:dyDescent="0.3">
      <c r="A612" s="23">
        <v>831</v>
      </c>
      <c r="B612" s="2" t="s">
        <v>0</v>
      </c>
      <c r="C612" s="2" t="s">
        <v>1</v>
      </c>
      <c r="D612" s="2" t="s">
        <v>1043</v>
      </c>
      <c r="E612" s="2">
        <v>720</v>
      </c>
      <c r="F612" s="2">
        <v>1.67E-2</v>
      </c>
      <c r="G612" s="2">
        <v>1.26E-2</v>
      </c>
      <c r="H612" s="4">
        <f t="shared" si="85"/>
        <v>0.24550898203592811</v>
      </c>
      <c r="I612" s="2" t="s">
        <v>82</v>
      </c>
      <c r="J612" s="2" t="s">
        <v>598</v>
      </c>
      <c r="K612" s="2" t="s">
        <v>105</v>
      </c>
      <c r="L612" s="2" t="s">
        <v>76</v>
      </c>
      <c r="M612" s="155">
        <v>6</v>
      </c>
      <c r="N612" s="155">
        <v>120</v>
      </c>
      <c r="O612" s="2">
        <v>8</v>
      </c>
      <c r="P612" s="6">
        <v>17</v>
      </c>
      <c r="Q612" s="131">
        <f t="shared" si="86"/>
        <v>18.823529411764707</v>
      </c>
      <c r="R612" s="33">
        <f t="shared" si="90"/>
        <v>17</v>
      </c>
      <c r="S612" s="132">
        <f t="shared" si="87"/>
        <v>2.125</v>
      </c>
      <c r="T612" s="132">
        <f t="shared" si="88"/>
        <v>2.125</v>
      </c>
      <c r="V612" s="131">
        <f t="shared" si="89"/>
        <v>8.5790884718498663</v>
      </c>
      <c r="W612" s="17">
        <v>37.299999999999997</v>
      </c>
      <c r="X612" s="8">
        <f>60*60*8/W612</f>
        <v>772.11796246648794</v>
      </c>
      <c r="Y612" s="161">
        <v>45523</v>
      </c>
      <c r="Z612" s="7" t="s">
        <v>7</v>
      </c>
      <c r="AA612" s="117"/>
      <c r="AB612" s="117"/>
      <c r="AC612" s="117"/>
      <c r="CH612">
        <v>4</v>
      </c>
      <c r="CI612">
        <v>47</v>
      </c>
    </row>
    <row r="613" spans="1:87" x14ac:dyDescent="0.3">
      <c r="A613" s="2">
        <v>832</v>
      </c>
      <c r="B613" s="23" t="s">
        <v>0</v>
      </c>
      <c r="C613" s="2" t="s">
        <v>1</v>
      </c>
      <c r="D613" s="2" t="s">
        <v>1044</v>
      </c>
      <c r="E613" s="2">
        <v>720</v>
      </c>
      <c r="F613" s="2">
        <v>1.67E-2</v>
      </c>
      <c r="G613" s="2">
        <v>1.26E-2</v>
      </c>
      <c r="H613" s="4">
        <f t="shared" si="85"/>
        <v>0.24550898203592811</v>
      </c>
      <c r="I613" s="2" t="s">
        <v>82</v>
      </c>
      <c r="J613" s="2" t="s">
        <v>598</v>
      </c>
      <c r="K613" s="2" t="s">
        <v>5</v>
      </c>
      <c r="L613" s="2" t="s">
        <v>6</v>
      </c>
      <c r="M613" s="155"/>
      <c r="N613" s="155"/>
      <c r="O613" s="2">
        <v>8</v>
      </c>
      <c r="P613" s="6">
        <v>17</v>
      </c>
      <c r="Q613" s="131">
        <f t="shared" si="86"/>
        <v>18.823529411764707</v>
      </c>
      <c r="R613" s="33">
        <f t="shared" si="90"/>
        <v>17</v>
      </c>
      <c r="S613" s="132">
        <f t="shared" si="87"/>
        <v>2.125</v>
      </c>
      <c r="T613" s="132">
        <f t="shared" si="88"/>
        <v>2.125</v>
      </c>
      <c r="V613" s="131" t="str">
        <f t="shared" si="89"/>
        <v/>
      </c>
      <c r="W613" s="17"/>
      <c r="X613" s="7"/>
      <c r="Y613" s="161"/>
      <c r="Z613" s="7"/>
      <c r="AA613" s="117"/>
      <c r="AB613" s="117"/>
      <c r="AC613" s="117"/>
      <c r="CH613">
        <v>3</v>
      </c>
      <c r="CI613">
        <v>85</v>
      </c>
    </row>
    <row r="614" spans="1:87" x14ac:dyDescent="0.3">
      <c r="A614" s="23">
        <v>833</v>
      </c>
      <c r="B614" s="2" t="s">
        <v>0</v>
      </c>
      <c r="C614" s="2" t="s">
        <v>1</v>
      </c>
      <c r="D614" s="2" t="s">
        <v>1045</v>
      </c>
      <c r="E614" s="2">
        <v>360</v>
      </c>
      <c r="F614" s="2">
        <v>4.53E-2</v>
      </c>
      <c r="G614" s="2">
        <v>4.0399999999999998E-2</v>
      </c>
      <c r="H614" s="4">
        <f t="shared" si="85"/>
        <v>0.10816777041942609</v>
      </c>
      <c r="I614" s="2" t="s">
        <v>98</v>
      </c>
      <c r="J614" s="2" t="s">
        <v>229</v>
      </c>
      <c r="K614" s="2" t="s">
        <v>413</v>
      </c>
      <c r="L614" s="2"/>
      <c r="M614" s="155"/>
      <c r="N614" s="155"/>
      <c r="O614" s="2">
        <v>6</v>
      </c>
      <c r="P614" s="6">
        <v>70</v>
      </c>
      <c r="Q614" s="131">
        <f t="shared" si="86"/>
        <v>6.8571428571428568</v>
      </c>
      <c r="R614" s="33">
        <f t="shared" si="90"/>
        <v>70</v>
      </c>
      <c r="S614" s="132">
        <f t="shared" si="87"/>
        <v>8.75</v>
      </c>
      <c r="T614" s="132">
        <f t="shared" si="88"/>
        <v>8.75</v>
      </c>
      <c r="V614" s="131">
        <f t="shared" si="89"/>
        <v>14.436090225563911</v>
      </c>
      <c r="W614" s="17">
        <v>33.25</v>
      </c>
      <c r="X614" s="8">
        <f>60*60*8/W614</f>
        <v>866.16541353383457</v>
      </c>
      <c r="Y614" s="161">
        <v>45476</v>
      </c>
      <c r="Z614" s="7" t="s">
        <v>7</v>
      </c>
      <c r="AA614" s="117"/>
      <c r="AB614" s="117"/>
      <c r="AC614" s="117"/>
      <c r="CH614">
        <v>1</v>
      </c>
      <c r="CI614">
        <v>70</v>
      </c>
    </row>
    <row r="615" spans="1:87" x14ac:dyDescent="0.3">
      <c r="A615" s="2">
        <v>836</v>
      </c>
      <c r="B615" s="2" t="s">
        <v>0</v>
      </c>
      <c r="C615" s="2" t="s">
        <v>1</v>
      </c>
      <c r="D615" s="2" t="s">
        <v>1046</v>
      </c>
      <c r="E615" s="2">
        <v>1000</v>
      </c>
      <c r="F615" s="2">
        <v>6.6E-3</v>
      </c>
      <c r="G615" s="2">
        <v>4.1999999999999997E-3</v>
      </c>
      <c r="H615" s="4">
        <f t="shared" si="85"/>
        <v>0.36363636363636365</v>
      </c>
      <c r="I615" s="2" t="s">
        <v>98</v>
      </c>
      <c r="J615" s="2" t="s">
        <v>1047</v>
      </c>
      <c r="K615" s="2" t="s">
        <v>982</v>
      </c>
      <c r="L615" s="2" t="s">
        <v>983</v>
      </c>
      <c r="M615" s="155"/>
      <c r="N615" s="155"/>
      <c r="O615" s="2">
        <v>24</v>
      </c>
      <c r="P615" s="6">
        <v>40</v>
      </c>
      <c r="Q615" s="131">
        <f t="shared" si="86"/>
        <v>17.28</v>
      </c>
      <c r="R615" s="33">
        <f t="shared" si="90"/>
        <v>40</v>
      </c>
      <c r="S615" s="132">
        <f t="shared" si="87"/>
        <v>5</v>
      </c>
      <c r="T615" s="132">
        <f t="shared" si="88"/>
        <v>5</v>
      </c>
      <c r="V615" s="131" t="str">
        <f t="shared" si="89"/>
        <v/>
      </c>
      <c r="W615" s="17"/>
      <c r="X615" s="7"/>
      <c r="Y615" s="161"/>
      <c r="Z615" s="7"/>
      <c r="AA615" s="117"/>
      <c r="AB615" s="117"/>
      <c r="AC615" s="117"/>
      <c r="CH615">
        <v>6</v>
      </c>
      <c r="CI615">
        <v>55</v>
      </c>
    </row>
    <row r="616" spans="1:87" x14ac:dyDescent="0.3">
      <c r="A616" s="23">
        <v>837</v>
      </c>
      <c r="B616" s="2" t="s">
        <v>0</v>
      </c>
      <c r="C616" s="2" t="s">
        <v>1</v>
      </c>
      <c r="D616" s="2" t="s">
        <v>1048</v>
      </c>
      <c r="E616" s="2">
        <v>1000</v>
      </c>
      <c r="F616" s="2">
        <v>6.6E-3</v>
      </c>
      <c r="G616" s="2">
        <v>4.1999999999999997E-3</v>
      </c>
      <c r="H616" s="4">
        <f t="shared" si="85"/>
        <v>0.36363636363636365</v>
      </c>
      <c r="I616" s="2" t="s">
        <v>98</v>
      </c>
      <c r="J616" s="2" t="s">
        <v>1049</v>
      </c>
      <c r="K616" s="2" t="s">
        <v>982</v>
      </c>
      <c r="L616" s="2" t="s">
        <v>983</v>
      </c>
      <c r="M616" s="155"/>
      <c r="N616" s="155"/>
      <c r="O616" s="2">
        <v>24</v>
      </c>
      <c r="P616" s="6">
        <v>40</v>
      </c>
      <c r="Q616" s="131">
        <f t="shared" si="86"/>
        <v>17.28</v>
      </c>
      <c r="R616" s="33">
        <f t="shared" si="90"/>
        <v>40</v>
      </c>
      <c r="S616" s="132">
        <f t="shared" si="87"/>
        <v>5</v>
      </c>
      <c r="T616" s="132">
        <f t="shared" si="88"/>
        <v>5</v>
      </c>
      <c r="V616" s="131">
        <f t="shared" si="89"/>
        <v>29.589041095890412</v>
      </c>
      <c r="W616" s="17">
        <v>23.36</v>
      </c>
      <c r="X616" s="8">
        <f>60*60*8/W616</f>
        <v>1232.8767123287671</v>
      </c>
      <c r="Y616" s="161">
        <v>45348</v>
      </c>
      <c r="Z616" s="7" t="s">
        <v>7</v>
      </c>
      <c r="AA616" s="117"/>
      <c r="AB616" s="117"/>
      <c r="AC616" s="117"/>
      <c r="AD616" s="24">
        <v>45553</v>
      </c>
      <c r="AE616">
        <v>4</v>
      </c>
      <c r="AF616">
        <v>2.2999999999999998</v>
      </c>
      <c r="AG616">
        <v>1.4</v>
      </c>
      <c r="AJ616">
        <v>0.1</v>
      </c>
      <c r="AK616">
        <v>7</v>
      </c>
      <c r="AL616">
        <v>6.5</v>
      </c>
      <c r="AN616">
        <v>6</v>
      </c>
      <c r="AS616">
        <v>24.4</v>
      </c>
      <c r="AT616">
        <v>6</v>
      </c>
      <c r="AU616">
        <v>18</v>
      </c>
      <c r="AV616">
        <v>127</v>
      </c>
      <c r="AW616">
        <v>138</v>
      </c>
      <c r="AX616">
        <v>15.5</v>
      </c>
      <c r="AY616">
        <v>31.5</v>
      </c>
      <c r="AZ616">
        <v>95</v>
      </c>
      <c r="BA616">
        <v>110</v>
      </c>
      <c r="BB616">
        <v>420</v>
      </c>
      <c r="CH616">
        <v>3</v>
      </c>
      <c r="CI616">
        <v>65</v>
      </c>
    </row>
    <row r="617" spans="1:87" x14ac:dyDescent="0.3">
      <c r="A617" s="2">
        <v>838</v>
      </c>
      <c r="B617" s="2" t="s">
        <v>1050</v>
      </c>
      <c r="C617" s="2" t="s">
        <v>1</v>
      </c>
      <c r="D617" s="2" t="s">
        <v>1051</v>
      </c>
      <c r="E617" s="2">
        <v>1000</v>
      </c>
      <c r="F617" s="2">
        <v>6.6E-3</v>
      </c>
      <c r="G617" s="2">
        <v>4.1999999999999997E-3</v>
      </c>
      <c r="H617" s="4">
        <f t="shared" si="85"/>
        <v>0.36363636363636365</v>
      </c>
      <c r="I617" s="2" t="s">
        <v>98</v>
      </c>
      <c r="J617" s="2" t="s">
        <v>1052</v>
      </c>
      <c r="K617" s="2" t="s">
        <v>982</v>
      </c>
      <c r="L617" s="2" t="s">
        <v>983</v>
      </c>
      <c r="M617" s="155"/>
      <c r="N617" s="155"/>
      <c r="O617" s="2">
        <v>24</v>
      </c>
      <c r="P617" s="6">
        <v>40</v>
      </c>
      <c r="Q617" s="131">
        <f t="shared" si="86"/>
        <v>17.28</v>
      </c>
      <c r="R617" s="33">
        <f t="shared" si="90"/>
        <v>40</v>
      </c>
      <c r="S617" s="132">
        <f t="shared" si="87"/>
        <v>5</v>
      </c>
      <c r="T617" s="132">
        <f t="shared" si="88"/>
        <v>5</v>
      </c>
      <c r="V617" s="131" t="str">
        <f t="shared" si="89"/>
        <v/>
      </c>
      <c r="W617" s="17"/>
      <c r="X617" s="7"/>
      <c r="Y617" s="161"/>
      <c r="Z617" s="7"/>
      <c r="AA617" s="117"/>
      <c r="AB617" s="117"/>
      <c r="AC617" s="117"/>
      <c r="CH617">
        <v>2</v>
      </c>
      <c r="CI617">
        <v>32</v>
      </c>
    </row>
    <row r="618" spans="1:87" x14ac:dyDescent="0.3">
      <c r="A618" s="2">
        <v>839</v>
      </c>
      <c r="B618" s="2" t="s">
        <v>0</v>
      </c>
      <c r="C618" s="2" t="s">
        <v>1</v>
      </c>
      <c r="D618" s="2" t="s">
        <v>1053</v>
      </c>
      <c r="E618" s="2">
        <v>1000</v>
      </c>
      <c r="F618" s="2">
        <v>6.6E-3</v>
      </c>
      <c r="G618" s="2">
        <v>4.1999999999999997E-3</v>
      </c>
      <c r="H618" s="4">
        <f t="shared" si="85"/>
        <v>0.36363636363636365</v>
      </c>
      <c r="I618" s="2" t="s">
        <v>98</v>
      </c>
      <c r="J618" s="2" t="s">
        <v>1054</v>
      </c>
      <c r="K618" s="2" t="s">
        <v>982</v>
      </c>
      <c r="L618" s="2" t="s">
        <v>983</v>
      </c>
      <c r="M618" s="155"/>
      <c r="N618" s="155"/>
      <c r="O618" s="2">
        <v>24</v>
      </c>
      <c r="P618" s="6">
        <v>40</v>
      </c>
      <c r="Q618" s="131">
        <f t="shared" si="86"/>
        <v>17.28</v>
      </c>
      <c r="R618" s="33">
        <f t="shared" si="90"/>
        <v>40</v>
      </c>
      <c r="S618" s="132">
        <f t="shared" si="87"/>
        <v>5</v>
      </c>
      <c r="T618" s="132">
        <f t="shared" si="88"/>
        <v>5</v>
      </c>
      <c r="V618" s="131" t="str">
        <f t="shared" si="89"/>
        <v/>
      </c>
      <c r="W618" s="17"/>
      <c r="X618" s="7"/>
      <c r="Y618" s="161"/>
      <c r="Z618" s="7"/>
      <c r="AA618" s="117"/>
      <c r="AB618" s="117"/>
      <c r="AC618" s="117"/>
      <c r="CH618">
        <v>4</v>
      </c>
      <c r="CI618">
        <v>73</v>
      </c>
    </row>
    <row r="619" spans="1:87" x14ac:dyDescent="0.3">
      <c r="A619" s="23">
        <v>841</v>
      </c>
      <c r="B619" s="2" t="s">
        <v>0</v>
      </c>
      <c r="C619" s="2" t="s">
        <v>1</v>
      </c>
      <c r="D619" s="2" t="s">
        <v>1055</v>
      </c>
      <c r="E619" s="2">
        <v>1000</v>
      </c>
      <c r="F619" s="2">
        <v>1.0800000000000001E-2</v>
      </c>
      <c r="G619" s="2">
        <v>6.7000000000000002E-3</v>
      </c>
      <c r="H619" s="4">
        <f t="shared" si="85"/>
        <v>0.37962962962962965</v>
      </c>
      <c r="I619" s="2" t="s">
        <v>98</v>
      </c>
      <c r="J619" s="2" t="s">
        <v>1056</v>
      </c>
      <c r="K619" s="2" t="s">
        <v>435</v>
      </c>
      <c r="L619" s="2" t="s">
        <v>1057</v>
      </c>
      <c r="M619" s="155"/>
      <c r="N619" s="155"/>
      <c r="O619" s="2">
        <v>15</v>
      </c>
      <c r="P619" s="6">
        <v>28</v>
      </c>
      <c r="Q619" s="131">
        <f t="shared" si="86"/>
        <v>15.428571428571429</v>
      </c>
      <c r="R619" s="33">
        <f t="shared" si="90"/>
        <v>28</v>
      </c>
      <c r="S619" s="132">
        <f t="shared" si="87"/>
        <v>3.5</v>
      </c>
      <c r="T619" s="132">
        <f t="shared" si="88"/>
        <v>3.5</v>
      </c>
      <c r="V619" s="131">
        <f t="shared" si="89"/>
        <v>14.545454545454547</v>
      </c>
      <c r="W619" s="17">
        <v>29.7</v>
      </c>
      <c r="X619" s="8">
        <f>60*60*8/W619</f>
        <v>969.69696969696975</v>
      </c>
      <c r="Y619" s="161">
        <v>45553</v>
      </c>
      <c r="Z619" s="7" t="s">
        <v>7</v>
      </c>
      <c r="AA619" s="117"/>
      <c r="AB619" s="117"/>
      <c r="AC619" s="117"/>
      <c r="AD619" s="24">
        <v>45553</v>
      </c>
      <c r="AE619">
        <v>1</v>
      </c>
      <c r="AF619">
        <v>2.2999999999999998</v>
      </c>
      <c r="AG619">
        <v>2.5</v>
      </c>
      <c r="AJ619">
        <v>0.1</v>
      </c>
      <c r="AK619">
        <v>7</v>
      </c>
      <c r="AL619">
        <v>6.5</v>
      </c>
      <c r="AN619">
        <v>10</v>
      </c>
      <c r="AO619">
        <v>0.3</v>
      </c>
      <c r="AS619">
        <v>29.7</v>
      </c>
      <c r="AT619">
        <v>9</v>
      </c>
      <c r="AU619">
        <v>18</v>
      </c>
      <c r="AV619">
        <v>127</v>
      </c>
      <c r="AW619">
        <v>138</v>
      </c>
      <c r="AX619">
        <v>12</v>
      </c>
      <c r="AY619">
        <v>47</v>
      </c>
      <c r="AZ619">
        <v>95</v>
      </c>
      <c r="BA619">
        <v>102</v>
      </c>
      <c r="BB619">
        <v>420</v>
      </c>
      <c r="CH619">
        <v>3</v>
      </c>
      <c r="CI619">
        <v>62</v>
      </c>
    </row>
    <row r="620" spans="1:87" x14ac:dyDescent="0.3">
      <c r="A620" s="23">
        <v>842</v>
      </c>
      <c r="B620" s="2" t="s">
        <v>0</v>
      </c>
      <c r="C620" s="2" t="s">
        <v>1</v>
      </c>
      <c r="D620" s="2" t="s">
        <v>1058</v>
      </c>
      <c r="E620" s="2">
        <v>450</v>
      </c>
      <c r="F620" s="2">
        <v>3.9199999999999999E-2</v>
      </c>
      <c r="G620" s="2">
        <v>2.9700000000000001E-2</v>
      </c>
      <c r="H620" s="4">
        <f t="shared" si="85"/>
        <v>0.24234693877551017</v>
      </c>
      <c r="I620" s="2" t="s">
        <v>73</v>
      </c>
      <c r="J620" s="2" t="s">
        <v>666</v>
      </c>
      <c r="K620" s="2" t="s">
        <v>105</v>
      </c>
      <c r="L620" s="2" t="s">
        <v>76</v>
      </c>
      <c r="M620" s="155"/>
      <c r="N620" s="155"/>
      <c r="O620" s="2">
        <v>12</v>
      </c>
      <c r="P620" s="6">
        <v>20</v>
      </c>
      <c r="Q620" s="131">
        <f t="shared" si="86"/>
        <v>38.4</v>
      </c>
      <c r="R620" s="33">
        <f t="shared" si="90"/>
        <v>20</v>
      </c>
      <c r="S620" s="132">
        <f t="shared" si="87"/>
        <v>2.5</v>
      </c>
      <c r="T620" s="132">
        <f t="shared" si="88"/>
        <v>2.5</v>
      </c>
      <c r="V620" s="131">
        <f t="shared" si="89"/>
        <v>18.506024096385541</v>
      </c>
      <c r="W620" s="17">
        <v>41.5</v>
      </c>
      <c r="X620" s="8">
        <f>60*60*8/W620</f>
        <v>693.97590361445782</v>
      </c>
      <c r="Y620" s="161">
        <v>45308</v>
      </c>
      <c r="Z620" s="7" t="s">
        <v>704</v>
      </c>
      <c r="AA620" s="117"/>
      <c r="AB620" s="117"/>
      <c r="AC620" s="117"/>
      <c r="CH620">
        <v>6</v>
      </c>
      <c r="CI620">
        <v>49</v>
      </c>
    </row>
    <row r="621" spans="1:87" x14ac:dyDescent="0.3">
      <c r="A621" s="2">
        <v>843</v>
      </c>
      <c r="B621" s="2" t="s">
        <v>0</v>
      </c>
      <c r="C621" s="2" t="s">
        <v>1</v>
      </c>
      <c r="D621" s="2" t="s">
        <v>667</v>
      </c>
      <c r="E621" s="2">
        <v>400</v>
      </c>
      <c r="F621" s="2">
        <v>4.2700000000000002E-2</v>
      </c>
      <c r="G621" s="2">
        <v>3.2300000000000002E-2</v>
      </c>
      <c r="H621" s="4">
        <f t="shared" si="85"/>
        <v>0.243559718969555</v>
      </c>
      <c r="I621" s="2" t="s">
        <v>73</v>
      </c>
      <c r="J621" s="2" t="s">
        <v>668</v>
      </c>
      <c r="K621" s="2" t="s">
        <v>105</v>
      </c>
      <c r="L621" s="2" t="s">
        <v>76</v>
      </c>
      <c r="M621" s="155"/>
      <c r="N621" s="155"/>
      <c r="O621" s="2">
        <v>12</v>
      </c>
      <c r="P621" s="6">
        <v>22</v>
      </c>
      <c r="Q621" s="131">
        <f t="shared" si="86"/>
        <v>39.272727272727273</v>
      </c>
      <c r="R621" s="33">
        <f t="shared" si="90"/>
        <v>22</v>
      </c>
      <c r="S621" s="132">
        <f t="shared" si="87"/>
        <v>2.75</v>
      </c>
      <c r="T621" s="132">
        <f t="shared" si="88"/>
        <v>2.75</v>
      </c>
      <c r="V621" s="131" t="str">
        <f t="shared" si="89"/>
        <v/>
      </c>
      <c r="W621" s="17"/>
      <c r="X621" s="7"/>
      <c r="Y621" s="161"/>
      <c r="Z621" s="7"/>
      <c r="AA621" s="117"/>
      <c r="AB621" s="117"/>
      <c r="AC621" s="117"/>
      <c r="CH621">
        <v>6</v>
      </c>
      <c r="CI621">
        <v>90</v>
      </c>
    </row>
    <row r="622" spans="1:87" x14ac:dyDescent="0.3">
      <c r="A622" s="23">
        <v>844</v>
      </c>
      <c r="B622" s="2" t="s">
        <v>0</v>
      </c>
      <c r="C622" s="2" t="s">
        <v>1</v>
      </c>
      <c r="D622" s="2" t="s">
        <v>1059</v>
      </c>
      <c r="E622" s="2">
        <v>400</v>
      </c>
      <c r="F622" s="2">
        <v>3.7900000000000003E-2</v>
      </c>
      <c r="G622" s="2">
        <v>2.9000000000000001E-2</v>
      </c>
      <c r="H622" s="4">
        <f t="shared" si="85"/>
        <v>0.23482849604221639</v>
      </c>
      <c r="I622" s="2" t="s">
        <v>73</v>
      </c>
      <c r="J622" s="2" t="s">
        <v>652</v>
      </c>
      <c r="K622" s="2" t="s">
        <v>105</v>
      </c>
      <c r="L622" s="2" t="s">
        <v>76</v>
      </c>
      <c r="M622" s="155"/>
      <c r="N622" s="155"/>
      <c r="O622" s="2">
        <v>12</v>
      </c>
      <c r="P622" s="6">
        <v>23</v>
      </c>
      <c r="Q622" s="131">
        <f t="shared" si="86"/>
        <v>37.565217391304351</v>
      </c>
      <c r="R622" s="33">
        <f t="shared" si="90"/>
        <v>22.999999999999996</v>
      </c>
      <c r="S622" s="132">
        <f t="shared" si="87"/>
        <v>2.8749999999999996</v>
      </c>
      <c r="T622" s="132">
        <f t="shared" si="88"/>
        <v>2.8749999999999996</v>
      </c>
      <c r="V622" s="131">
        <f t="shared" si="89"/>
        <v>24.420576596947427</v>
      </c>
      <c r="W622" s="17">
        <v>35.380000000000003</v>
      </c>
      <c r="X622" s="8">
        <f>60*60*8/W622</f>
        <v>814.01921989824757</v>
      </c>
      <c r="Y622" s="161">
        <v>45308</v>
      </c>
      <c r="Z622" s="7" t="s">
        <v>704</v>
      </c>
      <c r="AA622" s="117"/>
      <c r="AB622" s="117"/>
      <c r="AC622" s="117"/>
      <c r="AD622" s="24">
        <v>45610</v>
      </c>
      <c r="AE622">
        <v>6</v>
      </c>
      <c r="AF622">
        <v>6.1</v>
      </c>
      <c r="AG622">
        <v>1.8</v>
      </c>
      <c r="AI622">
        <v>0.4</v>
      </c>
      <c r="AJ622">
        <v>0.4</v>
      </c>
      <c r="AK622">
        <v>8</v>
      </c>
      <c r="AL622">
        <v>7.5</v>
      </c>
      <c r="AM622">
        <v>0</v>
      </c>
      <c r="AN622">
        <v>12</v>
      </c>
      <c r="AS622">
        <v>35.700000000000003</v>
      </c>
      <c r="AT622">
        <v>9</v>
      </c>
      <c r="AU622">
        <v>16</v>
      </c>
      <c r="AV622">
        <v>122.2</v>
      </c>
      <c r="AW622">
        <v>133</v>
      </c>
      <c r="AX622">
        <v>18</v>
      </c>
      <c r="AY622">
        <v>41</v>
      </c>
      <c r="AZ622">
        <v>81</v>
      </c>
      <c r="BA622">
        <v>112</v>
      </c>
      <c r="BB622">
        <v>420</v>
      </c>
      <c r="CH622">
        <v>6</v>
      </c>
      <c r="CI622">
        <v>41</v>
      </c>
    </row>
    <row r="623" spans="1:87" x14ac:dyDescent="0.3">
      <c r="A623" s="23">
        <v>845</v>
      </c>
      <c r="B623" s="2" t="s">
        <v>0</v>
      </c>
      <c r="C623" s="2" t="s">
        <v>1</v>
      </c>
      <c r="D623" s="2" t="s">
        <v>1060</v>
      </c>
      <c r="E623" s="2">
        <v>360</v>
      </c>
      <c r="F623" s="2">
        <v>4.2099999999999999E-2</v>
      </c>
      <c r="G623" s="2">
        <v>3.1800000000000002E-2</v>
      </c>
      <c r="H623" s="4">
        <f t="shared" si="85"/>
        <v>0.24465558194774339</v>
      </c>
      <c r="I623" s="2" t="s">
        <v>73</v>
      </c>
      <c r="J623" s="2" t="s">
        <v>654</v>
      </c>
      <c r="K623" s="2" t="s">
        <v>105</v>
      </c>
      <c r="L623" s="2" t="s">
        <v>76</v>
      </c>
      <c r="M623" s="155"/>
      <c r="N623" s="155"/>
      <c r="O623" s="2">
        <v>12</v>
      </c>
      <c r="P623" s="6">
        <v>26</v>
      </c>
      <c r="Q623" s="131">
        <f t="shared" si="86"/>
        <v>36.92307692307692</v>
      </c>
      <c r="R623" s="33">
        <f t="shared" si="90"/>
        <v>26.000000000000004</v>
      </c>
      <c r="S623" s="132">
        <f t="shared" si="87"/>
        <v>3.2500000000000004</v>
      </c>
      <c r="T623" s="132">
        <f t="shared" si="88"/>
        <v>3.2500000000000004</v>
      </c>
      <c r="V623" s="131">
        <f t="shared" si="89"/>
        <v>24</v>
      </c>
      <c r="W623" s="17">
        <v>40</v>
      </c>
      <c r="X623" s="8">
        <f>60*60*8/W623</f>
        <v>720</v>
      </c>
      <c r="Y623" s="161">
        <v>45309</v>
      </c>
      <c r="Z623" s="7" t="s">
        <v>704</v>
      </c>
      <c r="AA623" s="117"/>
      <c r="AB623" s="117"/>
      <c r="AC623" s="117"/>
      <c r="CH623">
        <v>5</v>
      </c>
      <c r="CI623">
        <v>78</v>
      </c>
    </row>
    <row r="624" spans="1:87" x14ac:dyDescent="0.3">
      <c r="A624" s="2">
        <v>846</v>
      </c>
      <c r="B624" s="2" t="s">
        <v>0</v>
      </c>
      <c r="C624" s="2" t="s">
        <v>1</v>
      </c>
      <c r="D624" s="2" t="s">
        <v>1061</v>
      </c>
      <c r="E624" s="2">
        <v>450</v>
      </c>
      <c r="F624" s="2">
        <v>2.23E-2</v>
      </c>
      <c r="G624" s="2">
        <v>1.41E-2</v>
      </c>
      <c r="H624" s="4">
        <f t="shared" si="85"/>
        <v>0.36771300448430494</v>
      </c>
      <c r="I624" s="2" t="s">
        <v>98</v>
      </c>
      <c r="J624" s="2" t="s">
        <v>912</v>
      </c>
      <c r="K624" s="2" t="s">
        <v>163</v>
      </c>
      <c r="L624" s="2" t="s">
        <v>6</v>
      </c>
      <c r="M624" s="155"/>
      <c r="N624" s="155"/>
      <c r="O624" s="2">
        <v>12</v>
      </c>
      <c r="P624" s="6">
        <v>30</v>
      </c>
      <c r="Q624" s="131">
        <f t="shared" si="86"/>
        <v>25.6</v>
      </c>
      <c r="R624" s="33">
        <f t="shared" si="90"/>
        <v>30</v>
      </c>
      <c r="S624" s="132">
        <f t="shared" si="87"/>
        <v>3.75</v>
      </c>
      <c r="T624" s="132">
        <f t="shared" si="88"/>
        <v>3.75</v>
      </c>
      <c r="V624" s="131" t="str">
        <f t="shared" si="89"/>
        <v/>
      </c>
      <c r="W624" s="17"/>
      <c r="X624" s="7"/>
      <c r="Y624" s="161"/>
      <c r="Z624" s="7"/>
      <c r="AA624" s="117"/>
      <c r="AB624" s="117"/>
      <c r="AC624" s="117"/>
      <c r="CH624">
        <v>1</v>
      </c>
      <c r="CI624">
        <v>32</v>
      </c>
    </row>
    <row r="625" spans="1:87" x14ac:dyDescent="0.3">
      <c r="A625" s="2">
        <v>847</v>
      </c>
      <c r="B625" s="2" t="s">
        <v>0</v>
      </c>
      <c r="C625" s="2" t="s">
        <v>1</v>
      </c>
      <c r="D625" s="2" t="s">
        <v>1062</v>
      </c>
      <c r="E625" s="2">
        <v>700</v>
      </c>
      <c r="F625" s="2">
        <v>1.89E-2</v>
      </c>
      <c r="G625" s="2">
        <v>1.4E-2</v>
      </c>
      <c r="H625" s="4">
        <f t="shared" si="85"/>
        <v>0.25925925925925924</v>
      </c>
      <c r="I625" s="2" t="s">
        <v>73</v>
      </c>
      <c r="J625" s="2" t="s">
        <v>1063</v>
      </c>
      <c r="K625" s="2" t="s">
        <v>105</v>
      </c>
      <c r="L625" s="2" t="s">
        <v>76</v>
      </c>
      <c r="M625" s="155"/>
      <c r="N625" s="155"/>
      <c r="O625" s="2">
        <v>24</v>
      </c>
      <c r="P625" s="6">
        <v>14</v>
      </c>
      <c r="Q625" s="131">
        <f t="shared" si="86"/>
        <v>70.530612244897966</v>
      </c>
      <c r="R625" s="33">
        <f t="shared" si="90"/>
        <v>13.999999999999998</v>
      </c>
      <c r="S625" s="132">
        <f t="shared" si="87"/>
        <v>1.7499999999999998</v>
      </c>
      <c r="T625" s="132">
        <f t="shared" si="88"/>
        <v>1.7499999999999998</v>
      </c>
      <c r="V625" s="131" t="str">
        <f t="shared" si="89"/>
        <v/>
      </c>
      <c r="W625" s="17"/>
      <c r="X625" s="7"/>
      <c r="Y625" s="161"/>
      <c r="Z625" s="7"/>
      <c r="AA625" s="117"/>
      <c r="AB625" s="117"/>
      <c r="AC625" s="117"/>
      <c r="CH625">
        <v>1</v>
      </c>
      <c r="CI625">
        <v>89</v>
      </c>
    </row>
    <row r="626" spans="1:87" x14ac:dyDescent="0.3">
      <c r="A626" s="2">
        <v>848</v>
      </c>
      <c r="B626" s="2" t="s">
        <v>0</v>
      </c>
      <c r="C626" s="2" t="s">
        <v>1</v>
      </c>
      <c r="D626" s="2" t="s">
        <v>1064</v>
      </c>
      <c r="E626" s="2">
        <v>900</v>
      </c>
      <c r="F626" s="2">
        <v>1.7899999999999999E-2</v>
      </c>
      <c r="G626" s="2">
        <v>1.0200000000000001E-2</v>
      </c>
      <c r="H626" s="4">
        <f t="shared" si="85"/>
        <v>0.43016759776536306</v>
      </c>
      <c r="I626" s="2" t="s">
        <v>98</v>
      </c>
      <c r="J626" s="2" t="s">
        <v>393</v>
      </c>
      <c r="K626" s="2" t="s">
        <v>90</v>
      </c>
      <c r="L626" s="2" t="s">
        <v>6</v>
      </c>
      <c r="M626" s="155"/>
      <c r="N626" s="155"/>
      <c r="O626" s="2">
        <v>8</v>
      </c>
      <c r="P626" s="6">
        <v>20</v>
      </c>
      <c r="Q626" s="131">
        <f t="shared" si="86"/>
        <v>12.8</v>
      </c>
      <c r="R626" s="33">
        <f t="shared" si="90"/>
        <v>20</v>
      </c>
      <c r="S626" s="132">
        <f t="shared" si="87"/>
        <v>2.5</v>
      </c>
      <c r="T626" s="132">
        <f t="shared" si="88"/>
        <v>2.5</v>
      </c>
      <c r="V626" s="131" t="str">
        <f t="shared" si="89"/>
        <v/>
      </c>
      <c r="W626" s="17"/>
      <c r="X626" s="7"/>
      <c r="Y626" s="161"/>
      <c r="Z626" s="7"/>
      <c r="AA626" s="117"/>
      <c r="AB626" s="117"/>
      <c r="AC626" s="117"/>
      <c r="CH626">
        <v>4</v>
      </c>
      <c r="CI626">
        <v>88</v>
      </c>
    </row>
    <row r="627" spans="1:87" x14ac:dyDescent="0.3">
      <c r="A627" s="2">
        <v>852</v>
      </c>
      <c r="B627" s="2" t="s">
        <v>0</v>
      </c>
      <c r="C627" s="2" t="s">
        <v>1</v>
      </c>
      <c r="D627" s="2" t="s">
        <v>1065</v>
      </c>
      <c r="E627" s="2">
        <v>1450</v>
      </c>
      <c r="F627" s="2">
        <v>2.0400000000000001E-2</v>
      </c>
      <c r="G627" s="2">
        <v>1.49E-2</v>
      </c>
      <c r="H627" s="4">
        <f t="shared" si="85"/>
        <v>0.26960784313725494</v>
      </c>
      <c r="I627" s="2" t="s">
        <v>98</v>
      </c>
      <c r="J627" s="2" t="s">
        <v>1066</v>
      </c>
      <c r="K627" s="2" t="s">
        <v>105</v>
      </c>
      <c r="L627" s="2" t="s">
        <v>76</v>
      </c>
      <c r="M627" s="155"/>
      <c r="N627" s="155"/>
      <c r="O627" s="2">
        <v>15</v>
      </c>
      <c r="P627" s="6">
        <v>20</v>
      </c>
      <c r="Q627" s="131">
        <f t="shared" si="86"/>
        <v>14.896551724137931</v>
      </c>
      <c r="R627" s="33">
        <f t="shared" si="90"/>
        <v>20</v>
      </c>
      <c r="S627" s="132">
        <f t="shared" si="87"/>
        <v>2.5</v>
      </c>
      <c r="T627" s="132">
        <f t="shared" si="88"/>
        <v>2.5</v>
      </c>
      <c r="V627" s="131" t="str">
        <f t="shared" si="89"/>
        <v/>
      </c>
      <c r="W627" s="17"/>
      <c r="X627" s="7"/>
      <c r="Y627" s="161"/>
      <c r="Z627" s="7"/>
      <c r="AA627" s="117"/>
      <c r="AB627" s="117"/>
      <c r="AC627" s="117"/>
      <c r="CH627">
        <v>1</v>
      </c>
      <c r="CI627">
        <v>54</v>
      </c>
    </row>
    <row r="628" spans="1:87" x14ac:dyDescent="0.3">
      <c r="A628" s="2">
        <v>854</v>
      </c>
      <c r="B628" s="2" t="s">
        <v>84</v>
      </c>
      <c r="C628" s="2" t="s">
        <v>1</v>
      </c>
      <c r="D628" s="2" t="s">
        <v>1067</v>
      </c>
      <c r="E628" s="2">
        <v>3000</v>
      </c>
      <c r="F628" s="2">
        <v>2.8999999999999998E-3</v>
      </c>
      <c r="G628" s="2">
        <v>2.0999999999999999E-3</v>
      </c>
      <c r="H628" s="4">
        <f t="shared" si="85"/>
        <v>0.27586206896551724</v>
      </c>
      <c r="I628" s="2" t="s">
        <v>82</v>
      </c>
      <c r="J628" s="2" t="s">
        <v>645</v>
      </c>
      <c r="K628" s="2" t="s">
        <v>357</v>
      </c>
      <c r="L628" s="2" t="s">
        <v>6</v>
      </c>
      <c r="M628" s="155"/>
      <c r="N628" s="155"/>
      <c r="O628" s="2">
        <v>40</v>
      </c>
      <c r="P628" s="6">
        <v>13</v>
      </c>
      <c r="Q628" s="131">
        <f t="shared" si="86"/>
        <v>29.53846153846154</v>
      </c>
      <c r="R628" s="33">
        <f t="shared" si="90"/>
        <v>13</v>
      </c>
      <c r="S628" s="132">
        <f t="shared" si="87"/>
        <v>1.625</v>
      </c>
      <c r="T628" s="132">
        <f t="shared" si="88"/>
        <v>1.625</v>
      </c>
      <c r="V628" s="131" t="str">
        <f t="shared" si="89"/>
        <v/>
      </c>
      <c r="W628" s="17"/>
      <c r="X628" s="7"/>
      <c r="Y628" s="161"/>
      <c r="Z628" s="7"/>
      <c r="AA628" s="117"/>
      <c r="AB628" s="117"/>
      <c r="AC628" s="117"/>
      <c r="CH628">
        <v>3</v>
      </c>
      <c r="CI628">
        <v>77</v>
      </c>
    </row>
    <row r="629" spans="1:87" x14ac:dyDescent="0.3">
      <c r="A629" s="2">
        <v>855</v>
      </c>
      <c r="B629" s="2" t="s">
        <v>84</v>
      </c>
      <c r="C629" s="2" t="s">
        <v>1</v>
      </c>
      <c r="D629" s="2" t="s">
        <v>1068</v>
      </c>
      <c r="E629" s="2">
        <v>4000</v>
      </c>
      <c r="F629" s="2">
        <v>4.8999999999999998E-3</v>
      </c>
      <c r="G629" s="2">
        <v>3.3E-3</v>
      </c>
      <c r="H629" s="4">
        <f t="shared" si="85"/>
        <v>0.32653061224489793</v>
      </c>
      <c r="I629" s="2" t="s">
        <v>82</v>
      </c>
      <c r="J629" s="2" t="s">
        <v>645</v>
      </c>
      <c r="K629" s="2" t="s">
        <v>90</v>
      </c>
      <c r="L629" s="2" t="s">
        <v>6</v>
      </c>
      <c r="M629" s="155"/>
      <c r="N629" s="155"/>
      <c r="O629" s="2">
        <v>24</v>
      </c>
      <c r="P629" s="6">
        <v>10</v>
      </c>
      <c r="Q629" s="131">
        <f t="shared" si="86"/>
        <v>17.28</v>
      </c>
      <c r="R629" s="33">
        <f t="shared" si="90"/>
        <v>10</v>
      </c>
      <c r="S629" s="132">
        <f t="shared" si="87"/>
        <v>1.25</v>
      </c>
      <c r="T629" s="132">
        <f t="shared" si="88"/>
        <v>1.25</v>
      </c>
      <c r="V629" s="131" t="str">
        <f t="shared" si="89"/>
        <v/>
      </c>
      <c r="W629" s="17"/>
      <c r="X629" s="7"/>
      <c r="Y629" s="161"/>
      <c r="Z629" s="7"/>
      <c r="AA629" s="117"/>
      <c r="AB629" s="117"/>
      <c r="AC629" s="117"/>
      <c r="CH629">
        <v>2</v>
      </c>
      <c r="CI629">
        <v>72</v>
      </c>
    </row>
    <row r="630" spans="1:87" x14ac:dyDescent="0.3">
      <c r="A630" s="2">
        <v>857</v>
      </c>
      <c r="B630" s="2" t="s">
        <v>0</v>
      </c>
      <c r="C630" s="2" t="s">
        <v>1</v>
      </c>
      <c r="D630" s="2" t="s">
        <v>655</v>
      </c>
      <c r="E630" s="2">
        <v>700</v>
      </c>
      <c r="F630" s="2">
        <v>2.3599999999999999E-2</v>
      </c>
      <c r="G630" s="2">
        <v>1.7999999999999999E-2</v>
      </c>
      <c r="H630" s="4">
        <f t="shared" si="85"/>
        <v>0.23728813559322037</v>
      </c>
      <c r="I630" s="2" t="s">
        <v>73</v>
      </c>
      <c r="J630" s="2" t="s">
        <v>656</v>
      </c>
      <c r="K630" s="2" t="s">
        <v>105</v>
      </c>
      <c r="L630" s="2" t="s">
        <v>76</v>
      </c>
      <c r="M630" s="155"/>
      <c r="N630" s="155"/>
      <c r="O630" s="2">
        <v>24</v>
      </c>
      <c r="P630" s="6">
        <v>14</v>
      </c>
      <c r="Q630" s="131">
        <f t="shared" si="86"/>
        <v>70.530612244897966</v>
      </c>
      <c r="R630" s="33">
        <f t="shared" si="90"/>
        <v>13.999999999999998</v>
      </c>
      <c r="S630" s="132">
        <f t="shared" si="87"/>
        <v>1.7499999999999998</v>
      </c>
      <c r="T630" s="132">
        <f t="shared" si="88"/>
        <v>1.7499999999999998</v>
      </c>
      <c r="V630" s="131" t="str">
        <f t="shared" si="89"/>
        <v/>
      </c>
      <c r="W630" s="17"/>
      <c r="X630" s="7"/>
      <c r="Y630" s="161"/>
      <c r="Z630" s="7"/>
      <c r="AA630" s="117"/>
      <c r="AB630" s="117"/>
      <c r="AC630" s="117"/>
      <c r="CH630">
        <v>6</v>
      </c>
      <c r="CI630">
        <v>81</v>
      </c>
    </row>
    <row r="631" spans="1:87" x14ac:dyDescent="0.3">
      <c r="A631" s="23">
        <v>859</v>
      </c>
      <c r="B631" s="2" t="s">
        <v>0</v>
      </c>
      <c r="C631" s="2" t="s">
        <v>1</v>
      </c>
      <c r="D631" s="2" t="s">
        <v>1069</v>
      </c>
      <c r="E631" s="2">
        <v>350</v>
      </c>
      <c r="F631" s="2">
        <v>3.04E-2</v>
      </c>
      <c r="G631" s="2">
        <v>2.5999999999999999E-2</v>
      </c>
      <c r="H631" s="4">
        <f t="shared" ref="H631:H694" si="92">(F631-G631)/F631</f>
        <v>0.14473684210526319</v>
      </c>
      <c r="I631" s="2" t="s">
        <v>98</v>
      </c>
      <c r="J631" s="2" t="s">
        <v>1070</v>
      </c>
      <c r="K631" s="2" t="s">
        <v>90</v>
      </c>
      <c r="L631" s="2" t="s">
        <v>6</v>
      </c>
      <c r="M631" s="155"/>
      <c r="N631" s="155"/>
      <c r="O631" s="2">
        <v>9</v>
      </c>
      <c r="P631" s="6">
        <v>20</v>
      </c>
      <c r="Q631" s="131">
        <f t="shared" ref="Q631:Q694" si="93">IFERROR(60*60*8*O631/E631/P631,"")</f>
        <v>37.028571428571425</v>
      </c>
      <c r="R631" s="33">
        <f t="shared" si="90"/>
        <v>20</v>
      </c>
      <c r="S631" s="132">
        <f t="shared" ref="S631:S694" si="94">IFERROR(R631/8,"")</f>
        <v>2.5</v>
      </c>
      <c r="T631" s="132">
        <f t="shared" ref="T631:T694" si="95">IFERROR(IF(R631&gt;2,S631,""),"")</f>
        <v>2.5</v>
      </c>
      <c r="V631" s="131">
        <f t="shared" ref="V631:V694" si="96">IF(X631&gt;10,X631*O631/E631,"")</f>
        <v>19.907834101382488</v>
      </c>
      <c r="W631" s="17">
        <v>37.200000000000003</v>
      </c>
      <c r="X631" s="8">
        <f>60*60*8/W631</f>
        <v>774.19354838709671</v>
      </c>
      <c r="Y631" s="161">
        <v>45429</v>
      </c>
      <c r="Z631" s="7" t="s">
        <v>7</v>
      </c>
      <c r="AA631" s="117">
        <v>44.25</v>
      </c>
      <c r="AB631" s="118">
        <v>45523</v>
      </c>
      <c r="AC631" s="119" t="s">
        <v>7</v>
      </c>
      <c r="AD631" s="24">
        <v>45523</v>
      </c>
      <c r="AE631">
        <v>8</v>
      </c>
      <c r="AF631">
        <v>9.4</v>
      </c>
      <c r="AG631">
        <v>2</v>
      </c>
      <c r="AI631">
        <v>0.1</v>
      </c>
      <c r="AJ631">
        <v>0.2</v>
      </c>
      <c r="AK631">
        <v>12</v>
      </c>
      <c r="AL631">
        <v>11.5</v>
      </c>
      <c r="AN631">
        <v>14</v>
      </c>
      <c r="AO631">
        <v>1</v>
      </c>
      <c r="AP631">
        <v>0.6</v>
      </c>
      <c r="AS631" t="s">
        <v>1071</v>
      </c>
      <c r="AT631">
        <v>6.5</v>
      </c>
      <c r="AU631">
        <v>11</v>
      </c>
      <c r="AV631">
        <v>93</v>
      </c>
      <c r="AW631">
        <v>104</v>
      </c>
      <c r="AX631">
        <v>12</v>
      </c>
      <c r="AY631">
        <v>24</v>
      </c>
      <c r="AZ631">
        <v>101</v>
      </c>
      <c r="BA631">
        <v>112</v>
      </c>
      <c r="BB631">
        <v>420</v>
      </c>
      <c r="CH631">
        <v>2</v>
      </c>
      <c r="CI631">
        <v>69</v>
      </c>
    </row>
    <row r="632" spans="1:87" x14ac:dyDescent="0.3">
      <c r="A632" s="2">
        <v>860</v>
      </c>
      <c r="B632" s="2" t="s">
        <v>0</v>
      </c>
      <c r="C632" s="2" t="s">
        <v>1</v>
      </c>
      <c r="D632" s="2" t="s">
        <v>1072</v>
      </c>
      <c r="E632" s="2">
        <v>50</v>
      </c>
      <c r="F632" s="2">
        <v>0.60719999999999996</v>
      </c>
      <c r="G632" s="2">
        <v>0.15</v>
      </c>
      <c r="H632" s="4">
        <f t="shared" si="92"/>
        <v>0.75296442687747034</v>
      </c>
      <c r="I632" s="2" t="s">
        <v>98</v>
      </c>
      <c r="J632" s="2" t="s">
        <v>1073</v>
      </c>
      <c r="K632" s="2" t="s">
        <v>230</v>
      </c>
      <c r="L632" s="2" t="s">
        <v>76</v>
      </c>
      <c r="M632" s="155"/>
      <c r="N632" s="155"/>
      <c r="O632" s="2">
        <v>1</v>
      </c>
      <c r="P632" s="6">
        <v>20</v>
      </c>
      <c r="Q632" s="131">
        <f t="shared" si="93"/>
        <v>28.8</v>
      </c>
      <c r="R632" s="33">
        <f t="shared" si="90"/>
        <v>20</v>
      </c>
      <c r="S632" s="132">
        <f t="shared" si="94"/>
        <v>2.5</v>
      </c>
      <c r="T632" s="132">
        <f t="shared" si="95"/>
        <v>2.5</v>
      </c>
      <c r="V632" s="131" t="str">
        <f t="shared" si="96"/>
        <v/>
      </c>
      <c r="W632" s="17"/>
      <c r="X632" s="7"/>
      <c r="Y632" s="161"/>
      <c r="Z632" s="7"/>
      <c r="AA632" s="117"/>
      <c r="AB632" s="117"/>
      <c r="AC632" s="117"/>
      <c r="CH632">
        <v>3</v>
      </c>
      <c r="CI632">
        <v>89</v>
      </c>
    </row>
    <row r="633" spans="1:87" x14ac:dyDescent="0.3">
      <c r="A633" s="2">
        <v>868</v>
      </c>
      <c r="B633" s="2" t="s">
        <v>84</v>
      </c>
      <c r="C633" s="2" t="s">
        <v>1</v>
      </c>
      <c r="D633" s="2" t="s">
        <v>1074</v>
      </c>
      <c r="E633" s="2">
        <v>720</v>
      </c>
      <c r="F633" s="2">
        <v>9.9000000000000008E-3</v>
      </c>
      <c r="G633" s="2">
        <v>7.1999999999999998E-3</v>
      </c>
      <c r="H633" s="4">
        <f t="shared" si="92"/>
        <v>0.27272727272727282</v>
      </c>
      <c r="I633" s="2" t="s">
        <v>82</v>
      </c>
      <c r="J633" s="2" t="s">
        <v>581</v>
      </c>
      <c r="K633" s="2"/>
      <c r="L633" s="2"/>
      <c r="M633" s="155"/>
      <c r="N633" s="155"/>
      <c r="O633" s="2">
        <v>24</v>
      </c>
      <c r="P633" s="6"/>
      <c r="Q633" s="131" t="str">
        <f t="shared" si="93"/>
        <v/>
      </c>
      <c r="R633" s="33" t="str">
        <f t="shared" si="90"/>
        <v/>
      </c>
      <c r="S633" s="132" t="str">
        <f t="shared" si="94"/>
        <v/>
      </c>
      <c r="T633" s="132" t="str">
        <f t="shared" si="95"/>
        <v/>
      </c>
      <c r="V633" s="131" t="str">
        <f t="shared" si="96"/>
        <v/>
      </c>
      <c r="W633" s="17"/>
      <c r="X633" s="7"/>
      <c r="Y633" s="161"/>
      <c r="Z633" s="7"/>
      <c r="AA633" s="117"/>
      <c r="AB633" s="117"/>
      <c r="AC633" s="117"/>
      <c r="CH633">
        <v>3</v>
      </c>
      <c r="CI633">
        <v>44</v>
      </c>
    </row>
    <row r="634" spans="1:87" x14ac:dyDescent="0.3">
      <c r="A634" s="2">
        <v>875</v>
      </c>
      <c r="B634" s="2" t="s">
        <v>84</v>
      </c>
      <c r="C634" s="2" t="s">
        <v>1</v>
      </c>
      <c r="D634" s="2" t="s">
        <v>1075</v>
      </c>
      <c r="E634" s="2">
        <v>4600</v>
      </c>
      <c r="F634" s="2">
        <v>2.3999999999999998E-3</v>
      </c>
      <c r="G634" s="2">
        <v>1.8E-3</v>
      </c>
      <c r="H634" s="4">
        <f t="shared" si="92"/>
        <v>0.24999999999999994</v>
      </c>
      <c r="I634" s="2" t="s">
        <v>98</v>
      </c>
      <c r="J634" s="2" t="s">
        <v>575</v>
      </c>
      <c r="K634" s="2" t="s">
        <v>5</v>
      </c>
      <c r="L634" s="2" t="s">
        <v>6</v>
      </c>
      <c r="M634" s="155"/>
      <c r="N634" s="155"/>
      <c r="O634" s="2">
        <v>64</v>
      </c>
      <c r="P634" s="6">
        <v>10</v>
      </c>
      <c r="Q634" s="131">
        <f t="shared" si="93"/>
        <v>40.069565217391307</v>
      </c>
      <c r="R634" s="33">
        <f t="shared" si="90"/>
        <v>10</v>
      </c>
      <c r="S634" s="132">
        <f t="shared" si="94"/>
        <v>1.25</v>
      </c>
      <c r="T634" s="132">
        <f t="shared" si="95"/>
        <v>1.25</v>
      </c>
      <c r="V634" s="131" t="str">
        <f t="shared" si="96"/>
        <v/>
      </c>
      <c r="W634" s="17"/>
      <c r="X634" s="7"/>
      <c r="Y634" s="161"/>
      <c r="Z634" s="7"/>
      <c r="AA634" s="117"/>
      <c r="AB634" s="117"/>
      <c r="AC634" s="117"/>
      <c r="CH634">
        <v>2</v>
      </c>
      <c r="CI634">
        <v>30</v>
      </c>
    </row>
    <row r="635" spans="1:87" x14ac:dyDescent="0.3">
      <c r="A635" s="2">
        <v>876</v>
      </c>
      <c r="B635" s="2" t="s">
        <v>0</v>
      </c>
      <c r="C635" s="2" t="s">
        <v>1</v>
      </c>
      <c r="D635" s="2" t="s">
        <v>1076</v>
      </c>
      <c r="E635" s="2">
        <v>2250</v>
      </c>
      <c r="F635" s="2">
        <v>6.4999999999999997E-3</v>
      </c>
      <c r="G635" s="2">
        <v>5.1000000000000004E-3</v>
      </c>
      <c r="H635" s="4">
        <f t="shared" si="92"/>
        <v>0.21538461538461529</v>
      </c>
      <c r="I635" s="2" t="s">
        <v>98</v>
      </c>
      <c r="J635" s="2" t="s">
        <v>418</v>
      </c>
      <c r="K635" s="2" t="s">
        <v>5</v>
      </c>
      <c r="L635" s="2" t="s">
        <v>6</v>
      </c>
      <c r="M635" s="155"/>
      <c r="N635" s="155"/>
      <c r="O635" s="2">
        <v>35</v>
      </c>
      <c r="P635" s="6">
        <v>16</v>
      </c>
      <c r="Q635" s="131">
        <f t="shared" si="93"/>
        <v>28</v>
      </c>
      <c r="R635" s="33">
        <f t="shared" si="90"/>
        <v>16</v>
      </c>
      <c r="S635" s="132">
        <f t="shared" si="94"/>
        <v>2</v>
      </c>
      <c r="T635" s="132">
        <f t="shared" si="95"/>
        <v>2</v>
      </c>
      <c r="V635" s="131" t="str">
        <f t="shared" si="96"/>
        <v/>
      </c>
      <c r="W635" s="17"/>
      <c r="X635" s="7"/>
      <c r="Y635" s="161"/>
      <c r="Z635" s="7"/>
      <c r="AA635" s="117"/>
      <c r="AB635" s="117"/>
      <c r="AC635" s="117"/>
      <c r="CH635">
        <v>2</v>
      </c>
      <c r="CI635">
        <v>50</v>
      </c>
    </row>
    <row r="636" spans="1:87" x14ac:dyDescent="0.3">
      <c r="A636" s="2">
        <v>877</v>
      </c>
      <c r="B636" s="2" t="s">
        <v>0</v>
      </c>
      <c r="C636" s="2" t="s">
        <v>1</v>
      </c>
      <c r="D636" s="2" t="s">
        <v>1077</v>
      </c>
      <c r="E636" s="2">
        <v>480</v>
      </c>
      <c r="F636" s="2">
        <v>1.7600000000000001E-2</v>
      </c>
      <c r="G636" s="2">
        <v>8.0000000000000002E-3</v>
      </c>
      <c r="H636" s="4">
        <f t="shared" si="92"/>
        <v>0.54545454545454553</v>
      </c>
      <c r="I636" s="2" t="s">
        <v>98</v>
      </c>
      <c r="J636" s="2" t="s">
        <v>596</v>
      </c>
      <c r="K636" s="2"/>
      <c r="L636" s="2"/>
      <c r="M636" s="155"/>
      <c r="N636" s="155"/>
      <c r="O636" s="2">
        <v>1</v>
      </c>
      <c r="P636" s="6">
        <v>20</v>
      </c>
      <c r="Q636" s="131">
        <f t="shared" si="93"/>
        <v>3</v>
      </c>
      <c r="R636" s="33">
        <f t="shared" si="90"/>
        <v>20</v>
      </c>
      <c r="S636" s="132">
        <f t="shared" si="94"/>
        <v>2.5</v>
      </c>
      <c r="T636" s="132">
        <f t="shared" si="95"/>
        <v>2.5</v>
      </c>
      <c r="V636" s="131" t="str">
        <f t="shared" si="96"/>
        <v/>
      </c>
      <c r="W636" s="17"/>
      <c r="X636" s="7"/>
      <c r="Y636" s="161"/>
      <c r="Z636" s="7"/>
      <c r="AA636" s="117"/>
      <c r="AB636" s="117"/>
      <c r="AC636" s="117"/>
      <c r="CH636">
        <v>5</v>
      </c>
      <c r="CI636">
        <v>89</v>
      </c>
    </row>
    <row r="637" spans="1:87" x14ac:dyDescent="0.3">
      <c r="A637" s="2">
        <v>879</v>
      </c>
      <c r="B637" s="2" t="s">
        <v>0</v>
      </c>
      <c r="C637" s="2" t="s">
        <v>1</v>
      </c>
      <c r="D637" s="2" t="s">
        <v>1078</v>
      </c>
      <c r="E637" s="2">
        <v>900</v>
      </c>
      <c r="F637" s="2">
        <v>1.03E-2</v>
      </c>
      <c r="G637" s="2">
        <v>8.0000000000000002E-3</v>
      </c>
      <c r="H637" s="4">
        <f t="shared" si="92"/>
        <v>0.22330097087378639</v>
      </c>
      <c r="I637" s="2" t="s">
        <v>98</v>
      </c>
      <c r="J637" s="2" t="s">
        <v>418</v>
      </c>
      <c r="K637" s="2" t="s">
        <v>5</v>
      </c>
      <c r="L637" s="2" t="s">
        <v>6</v>
      </c>
      <c r="M637" s="155"/>
      <c r="N637" s="155"/>
      <c r="O637" s="2">
        <v>20</v>
      </c>
      <c r="P637" s="6">
        <v>16</v>
      </c>
      <c r="Q637" s="131">
        <f t="shared" si="93"/>
        <v>40</v>
      </c>
      <c r="R637" s="33">
        <f t="shared" ref="R637:R700" si="97">IFERROR(60*60*8*O637/E637/Q637,"")</f>
        <v>16</v>
      </c>
      <c r="S637" s="132">
        <f t="shared" si="94"/>
        <v>2</v>
      </c>
      <c r="T637" s="132">
        <f t="shared" si="95"/>
        <v>2</v>
      </c>
      <c r="V637" s="131" t="str">
        <f t="shared" si="96"/>
        <v/>
      </c>
      <c r="W637" s="17"/>
      <c r="X637" s="7"/>
      <c r="Y637" s="161"/>
      <c r="Z637" s="7"/>
      <c r="AA637" s="117"/>
      <c r="AB637" s="117"/>
      <c r="AC637" s="117"/>
      <c r="CH637">
        <v>3</v>
      </c>
      <c r="CI637">
        <v>87</v>
      </c>
    </row>
    <row r="638" spans="1:87" x14ac:dyDescent="0.3">
      <c r="A638" s="2">
        <v>880</v>
      </c>
      <c r="B638" s="2" t="s">
        <v>84</v>
      </c>
      <c r="C638" s="2" t="s">
        <v>1</v>
      </c>
      <c r="D638" s="2" t="s">
        <v>1079</v>
      </c>
      <c r="E638" s="2">
        <v>440</v>
      </c>
      <c r="F638" s="2">
        <v>2.4899999999999999E-2</v>
      </c>
      <c r="G638" s="2"/>
      <c r="H638" s="4">
        <f t="shared" si="92"/>
        <v>1</v>
      </c>
      <c r="I638" s="2" t="s">
        <v>98</v>
      </c>
      <c r="J638" s="2" t="s">
        <v>1080</v>
      </c>
      <c r="K638" s="2" t="s">
        <v>413</v>
      </c>
      <c r="L638" s="2" t="s">
        <v>76</v>
      </c>
      <c r="M638" s="155"/>
      <c r="N638" s="155"/>
      <c r="O638" s="2">
        <v>20</v>
      </c>
      <c r="P638" s="6">
        <v>9</v>
      </c>
      <c r="Q638" s="131">
        <f t="shared" si="93"/>
        <v>145.45454545454544</v>
      </c>
      <c r="R638" s="33">
        <f t="shared" si="97"/>
        <v>9</v>
      </c>
      <c r="S638" s="132">
        <f t="shared" si="94"/>
        <v>1.125</v>
      </c>
      <c r="T638" s="132">
        <f t="shared" si="95"/>
        <v>1.125</v>
      </c>
      <c r="V638" s="131" t="str">
        <f t="shared" si="96"/>
        <v/>
      </c>
      <c r="W638" s="17"/>
      <c r="X638" s="7"/>
      <c r="Y638" s="161"/>
      <c r="Z638" s="7"/>
      <c r="AA638" s="117"/>
      <c r="AB638" s="117"/>
      <c r="AC638" s="117"/>
      <c r="CH638">
        <v>5</v>
      </c>
      <c r="CI638">
        <v>30</v>
      </c>
    </row>
    <row r="639" spans="1:87" x14ac:dyDescent="0.3">
      <c r="A639" s="2">
        <v>881</v>
      </c>
      <c r="B639" s="2" t="s">
        <v>84</v>
      </c>
      <c r="C639" s="2" t="s">
        <v>1</v>
      </c>
      <c r="D639" s="2" t="s">
        <v>1081</v>
      </c>
      <c r="E639" s="2">
        <v>440</v>
      </c>
      <c r="F639" s="2">
        <v>2.4899999999999999E-2</v>
      </c>
      <c r="G639" s="2"/>
      <c r="H639" s="4">
        <f t="shared" si="92"/>
        <v>1</v>
      </c>
      <c r="I639" s="2" t="s">
        <v>98</v>
      </c>
      <c r="J639" s="2" t="s">
        <v>1082</v>
      </c>
      <c r="K639" s="2" t="s">
        <v>413</v>
      </c>
      <c r="L639" s="2" t="s">
        <v>76</v>
      </c>
      <c r="M639" s="155"/>
      <c r="N639" s="155"/>
      <c r="O639" s="2">
        <v>20</v>
      </c>
      <c r="P639" s="6">
        <v>9</v>
      </c>
      <c r="Q639" s="131">
        <f t="shared" si="93"/>
        <v>145.45454545454544</v>
      </c>
      <c r="R639" s="33">
        <f t="shared" si="97"/>
        <v>9</v>
      </c>
      <c r="S639" s="132">
        <f t="shared" si="94"/>
        <v>1.125</v>
      </c>
      <c r="T639" s="132">
        <f t="shared" si="95"/>
        <v>1.125</v>
      </c>
      <c r="V639" s="131" t="str">
        <f t="shared" si="96"/>
        <v/>
      </c>
      <c r="W639" s="17"/>
      <c r="X639" s="7"/>
      <c r="Y639" s="161"/>
      <c r="Z639" s="7"/>
      <c r="AA639" s="117"/>
      <c r="AB639" s="117"/>
      <c r="AC639" s="117"/>
      <c r="CH639">
        <v>1</v>
      </c>
      <c r="CI639">
        <v>44</v>
      </c>
    </row>
    <row r="640" spans="1:87" x14ac:dyDescent="0.3">
      <c r="A640" s="23">
        <v>883</v>
      </c>
      <c r="B640" s="23" t="s">
        <v>0</v>
      </c>
      <c r="C640" s="2" t="s">
        <v>1</v>
      </c>
      <c r="D640" s="2" t="s">
        <v>1083</v>
      </c>
      <c r="E640" s="2">
        <v>4100</v>
      </c>
      <c r="F640" s="2">
        <v>3.3999999999999998E-3</v>
      </c>
      <c r="G640" s="2">
        <v>2.5999999999999999E-3</v>
      </c>
      <c r="H640" s="4">
        <f t="shared" si="92"/>
        <v>0.23529411764705882</v>
      </c>
      <c r="I640" s="2" t="s">
        <v>98</v>
      </c>
      <c r="J640" s="2" t="s">
        <v>1022</v>
      </c>
      <c r="K640" s="2" t="s">
        <v>5</v>
      </c>
      <c r="L640" s="2" t="s">
        <v>6</v>
      </c>
      <c r="M640" s="155" t="s">
        <v>1084</v>
      </c>
      <c r="N640" s="155"/>
      <c r="O640" s="2">
        <v>60</v>
      </c>
      <c r="P640" s="6">
        <v>16</v>
      </c>
      <c r="Q640" s="131">
        <f t="shared" si="93"/>
        <v>26.341463414634145</v>
      </c>
      <c r="R640" s="33">
        <f t="shared" si="97"/>
        <v>16</v>
      </c>
      <c r="S640" s="132">
        <f t="shared" si="94"/>
        <v>2</v>
      </c>
      <c r="T640" s="132">
        <f t="shared" si="95"/>
        <v>2</v>
      </c>
      <c r="V640" s="131">
        <f t="shared" si="96"/>
        <v>15.171469209292525</v>
      </c>
      <c r="W640" s="17">
        <v>27.78</v>
      </c>
      <c r="X640" s="8">
        <f>60*60*8/W640</f>
        <v>1036.7170626349891</v>
      </c>
      <c r="Y640" s="161">
        <v>45628</v>
      </c>
      <c r="Z640" s="7" t="s">
        <v>7</v>
      </c>
      <c r="AA640" s="117"/>
      <c r="AB640" s="117"/>
      <c r="AC640" s="117"/>
      <c r="CH640">
        <v>1</v>
      </c>
      <c r="CI640">
        <v>52</v>
      </c>
    </row>
    <row r="641" spans="1:87" x14ac:dyDescent="0.3">
      <c r="A641" s="23">
        <v>884</v>
      </c>
      <c r="B641" s="2" t="s">
        <v>0</v>
      </c>
      <c r="C641" s="2" t="s">
        <v>1</v>
      </c>
      <c r="D641" s="2" t="s">
        <v>1085</v>
      </c>
      <c r="E641" s="2">
        <v>4600</v>
      </c>
      <c r="F641" s="2">
        <v>3.0000000000000001E-3</v>
      </c>
      <c r="G641" s="2">
        <v>2.0999999999999999E-3</v>
      </c>
      <c r="H641" s="4">
        <f t="shared" si="92"/>
        <v>0.30000000000000004</v>
      </c>
      <c r="I641" s="2" t="s">
        <v>98</v>
      </c>
      <c r="J641" s="2" t="s">
        <v>672</v>
      </c>
      <c r="K641" s="2" t="s">
        <v>5</v>
      </c>
      <c r="L641" s="2" t="s">
        <v>6</v>
      </c>
      <c r="M641" s="155"/>
      <c r="N641" s="155"/>
      <c r="O641" s="2">
        <v>64</v>
      </c>
      <c r="P641" s="6">
        <v>10</v>
      </c>
      <c r="Q641" s="131">
        <f t="shared" si="93"/>
        <v>40.069565217391307</v>
      </c>
      <c r="R641" s="33">
        <f t="shared" si="97"/>
        <v>10</v>
      </c>
      <c r="S641" s="132">
        <f t="shared" si="94"/>
        <v>1.25</v>
      </c>
      <c r="T641" s="132">
        <f t="shared" si="95"/>
        <v>1.25</v>
      </c>
      <c r="V641" s="131">
        <f t="shared" si="96"/>
        <v>14.731457800511508</v>
      </c>
      <c r="W641" s="17">
        <v>27.2</v>
      </c>
      <c r="X641" s="8">
        <f>60*60*8/W641</f>
        <v>1058.8235294117646</v>
      </c>
      <c r="Y641" s="161">
        <v>45532</v>
      </c>
      <c r="Z641" s="7" t="s">
        <v>7</v>
      </c>
      <c r="AA641" s="117"/>
      <c r="AB641" s="118"/>
      <c r="AC641" s="117"/>
      <c r="AD641" s="22">
        <v>45532</v>
      </c>
      <c r="AE641">
        <v>3</v>
      </c>
      <c r="AF641">
        <v>3.2</v>
      </c>
      <c r="AG641">
        <v>1.8</v>
      </c>
      <c r="AK641">
        <v>6</v>
      </c>
      <c r="AL641">
        <v>5.5</v>
      </c>
      <c r="AN641">
        <v>10</v>
      </c>
      <c r="AO641">
        <v>0.6</v>
      </c>
      <c r="AS641">
        <v>27.2</v>
      </c>
      <c r="AT641">
        <v>7</v>
      </c>
      <c r="AU641">
        <v>17.5</v>
      </c>
      <c r="AV641">
        <v>120</v>
      </c>
      <c r="AW641">
        <v>132</v>
      </c>
      <c r="AX641">
        <v>20</v>
      </c>
      <c r="AY641">
        <v>52</v>
      </c>
      <c r="AZ641">
        <v>94</v>
      </c>
      <c r="BA641">
        <v>105</v>
      </c>
      <c r="BB641">
        <v>430</v>
      </c>
      <c r="CH641">
        <v>2</v>
      </c>
      <c r="CI641">
        <v>82</v>
      </c>
    </row>
    <row r="642" spans="1:87" x14ac:dyDescent="0.3">
      <c r="A642" s="2">
        <v>887</v>
      </c>
      <c r="B642" s="2" t="s">
        <v>0</v>
      </c>
      <c r="C642" s="2" t="s">
        <v>1</v>
      </c>
      <c r="D642" s="2" t="s">
        <v>1086</v>
      </c>
      <c r="E642" s="2">
        <v>3000</v>
      </c>
      <c r="F642" s="2">
        <v>1.0699999999999999E-2</v>
      </c>
      <c r="G642" s="2">
        <v>6.1999999999999998E-3</v>
      </c>
      <c r="H642" s="4">
        <f t="shared" si="92"/>
        <v>0.42056074766355139</v>
      </c>
      <c r="I642" s="2" t="s">
        <v>98</v>
      </c>
      <c r="J642" s="2" t="s">
        <v>938</v>
      </c>
      <c r="K642" s="2" t="s">
        <v>105</v>
      </c>
      <c r="L642" s="2" t="s">
        <v>76</v>
      </c>
      <c r="M642" s="155"/>
      <c r="N642" s="155"/>
      <c r="O642" s="2">
        <v>40</v>
      </c>
      <c r="P642" s="6">
        <v>20</v>
      </c>
      <c r="Q642" s="131">
        <f t="shared" si="93"/>
        <v>19.2</v>
      </c>
      <c r="R642" s="33">
        <f t="shared" si="97"/>
        <v>20</v>
      </c>
      <c r="S642" s="132">
        <f t="shared" si="94"/>
        <v>2.5</v>
      </c>
      <c r="T642" s="132">
        <f t="shared" si="95"/>
        <v>2.5</v>
      </c>
      <c r="V642" s="131" t="str">
        <f t="shared" si="96"/>
        <v/>
      </c>
      <c r="W642" s="17"/>
      <c r="X642" s="7"/>
      <c r="Y642" s="161"/>
      <c r="Z642" s="7"/>
      <c r="AA642" s="117"/>
      <c r="AB642" s="117"/>
      <c r="AC642" s="117"/>
      <c r="CH642">
        <v>4</v>
      </c>
      <c r="CI642">
        <v>31</v>
      </c>
    </row>
    <row r="643" spans="1:87" x14ac:dyDescent="0.3">
      <c r="A643" s="2">
        <v>888</v>
      </c>
      <c r="B643" s="2" t="s">
        <v>0</v>
      </c>
      <c r="C643" s="2" t="s">
        <v>1</v>
      </c>
      <c r="D643" s="2" t="s">
        <v>1087</v>
      </c>
      <c r="E643" s="2">
        <v>3000</v>
      </c>
      <c r="F643" s="2">
        <v>5.4000000000000003E-3</v>
      </c>
      <c r="G643" s="2">
        <v>3.2000000000000002E-3</v>
      </c>
      <c r="H643" s="4">
        <f t="shared" si="92"/>
        <v>0.40740740740740738</v>
      </c>
      <c r="I643" s="2" t="s">
        <v>98</v>
      </c>
      <c r="J643" s="2" t="s">
        <v>985</v>
      </c>
      <c r="K643" s="2" t="s">
        <v>105</v>
      </c>
      <c r="L643" s="2" t="s">
        <v>76</v>
      </c>
      <c r="M643" s="155"/>
      <c r="N643" s="155"/>
      <c r="O643" s="2">
        <v>40</v>
      </c>
      <c r="P643" s="6">
        <v>20</v>
      </c>
      <c r="Q643" s="131">
        <f t="shared" si="93"/>
        <v>19.2</v>
      </c>
      <c r="R643" s="33">
        <f t="shared" si="97"/>
        <v>20</v>
      </c>
      <c r="S643" s="132">
        <f t="shared" si="94"/>
        <v>2.5</v>
      </c>
      <c r="T643" s="132">
        <f t="shared" si="95"/>
        <v>2.5</v>
      </c>
      <c r="V643" s="131" t="str">
        <f t="shared" si="96"/>
        <v/>
      </c>
      <c r="W643" s="17"/>
      <c r="X643" s="7"/>
      <c r="Y643" s="161"/>
      <c r="Z643" s="7"/>
      <c r="AA643" s="117"/>
      <c r="AB643" s="117"/>
      <c r="AC643" s="117"/>
      <c r="CH643">
        <v>5</v>
      </c>
      <c r="CI643">
        <v>82</v>
      </c>
    </row>
    <row r="644" spans="1:87" x14ac:dyDescent="0.3">
      <c r="A644" s="2">
        <v>889</v>
      </c>
      <c r="B644" s="2" t="s">
        <v>0</v>
      </c>
      <c r="C644" s="2" t="s">
        <v>1</v>
      </c>
      <c r="D644" s="2" t="s">
        <v>1088</v>
      </c>
      <c r="E644" s="2">
        <v>4500</v>
      </c>
      <c r="F644" s="2">
        <v>2.8999999999999998E-3</v>
      </c>
      <c r="G644" s="2">
        <v>1.9E-3</v>
      </c>
      <c r="H644" s="4">
        <f t="shared" si="92"/>
        <v>0.34482758620689652</v>
      </c>
      <c r="I644" s="2" t="s">
        <v>98</v>
      </c>
      <c r="J644" s="2" t="s">
        <v>1089</v>
      </c>
      <c r="K644" s="2" t="s">
        <v>357</v>
      </c>
      <c r="L644" s="2" t="s">
        <v>6</v>
      </c>
      <c r="M644" s="155"/>
      <c r="N644" s="155"/>
      <c r="O644" s="2">
        <v>30</v>
      </c>
      <c r="P644" s="6">
        <v>12</v>
      </c>
      <c r="Q644" s="131">
        <f t="shared" si="93"/>
        <v>16</v>
      </c>
      <c r="R644" s="33">
        <f t="shared" si="97"/>
        <v>12</v>
      </c>
      <c r="S644" s="132">
        <f t="shared" si="94"/>
        <v>1.5</v>
      </c>
      <c r="T644" s="132">
        <f t="shared" si="95"/>
        <v>1.5</v>
      </c>
      <c r="V644" s="131" t="str">
        <f t="shared" si="96"/>
        <v/>
      </c>
      <c r="W644" s="17"/>
      <c r="X644" s="7"/>
      <c r="Y644" s="161"/>
      <c r="Z644" s="7"/>
      <c r="AA644" s="117"/>
      <c r="AB644" s="117"/>
      <c r="AC644" s="117"/>
      <c r="CH644">
        <v>2</v>
      </c>
      <c r="CI644">
        <v>38</v>
      </c>
    </row>
    <row r="645" spans="1:87" x14ac:dyDescent="0.3">
      <c r="A645" s="23">
        <v>890</v>
      </c>
      <c r="B645" s="2" t="s">
        <v>0</v>
      </c>
      <c r="C645" s="2" t="s">
        <v>1</v>
      </c>
      <c r="D645" s="2" t="s">
        <v>1090</v>
      </c>
      <c r="E645" s="2">
        <v>700</v>
      </c>
      <c r="F645" s="2">
        <v>2.81E-2</v>
      </c>
      <c r="G645" s="2">
        <v>2.3599999999999999E-2</v>
      </c>
      <c r="H645" s="4">
        <f t="shared" si="92"/>
        <v>0.16014234875444841</v>
      </c>
      <c r="I645" s="2" t="s">
        <v>82</v>
      </c>
      <c r="J645" s="2" t="s">
        <v>1091</v>
      </c>
      <c r="K645" s="2" t="s">
        <v>105</v>
      </c>
      <c r="L645" s="2" t="s">
        <v>76</v>
      </c>
      <c r="M645" s="155"/>
      <c r="N645" s="155"/>
      <c r="O645" s="2">
        <v>16</v>
      </c>
      <c r="P645" s="6">
        <v>13</v>
      </c>
      <c r="Q645" s="131">
        <f t="shared" si="93"/>
        <v>50.637362637362642</v>
      </c>
      <c r="R645" s="33">
        <f t="shared" si="97"/>
        <v>13</v>
      </c>
      <c r="S645" s="132">
        <f t="shared" si="94"/>
        <v>1.625</v>
      </c>
      <c r="T645" s="132">
        <f t="shared" si="95"/>
        <v>1.625</v>
      </c>
      <c r="V645" s="131">
        <f t="shared" si="96"/>
        <v>18.862054850593534</v>
      </c>
      <c r="W645" s="17">
        <v>34.9</v>
      </c>
      <c r="X645" s="8">
        <f>60*60*8/W645</f>
        <v>825.21489971346705</v>
      </c>
      <c r="Y645" s="161">
        <v>45517</v>
      </c>
      <c r="Z645" s="7" t="s">
        <v>7</v>
      </c>
      <c r="AA645" s="117">
        <v>35.4</v>
      </c>
      <c r="AB645" s="118">
        <v>45425</v>
      </c>
      <c r="AC645" s="119">
        <f>W645/AA645-1</f>
        <v>-1.4124293785310771E-2</v>
      </c>
      <c r="AD645" s="24">
        <v>45517</v>
      </c>
      <c r="AE645">
        <v>4</v>
      </c>
      <c r="AF645">
        <v>8.6999999999999993</v>
      </c>
      <c r="AG645">
        <v>1.8</v>
      </c>
      <c r="AJ645">
        <v>0.1</v>
      </c>
      <c r="AK645">
        <v>7</v>
      </c>
      <c r="AL645">
        <v>6.5</v>
      </c>
      <c r="AN645">
        <v>11</v>
      </c>
      <c r="AO645">
        <v>0.3</v>
      </c>
      <c r="AS645">
        <v>34.9</v>
      </c>
      <c r="AT645">
        <v>6</v>
      </c>
      <c r="AU645">
        <v>19</v>
      </c>
      <c r="AV645">
        <v>110.5</v>
      </c>
      <c r="AW645">
        <v>120.5</v>
      </c>
      <c r="AX645">
        <v>16</v>
      </c>
      <c r="AY645">
        <v>32</v>
      </c>
      <c r="AZ645">
        <v>94.5</v>
      </c>
      <c r="BA645">
        <v>109.5</v>
      </c>
      <c r="BB645">
        <v>420</v>
      </c>
      <c r="CH645">
        <v>2</v>
      </c>
      <c r="CI645">
        <v>36</v>
      </c>
    </row>
    <row r="646" spans="1:87" x14ac:dyDescent="0.3">
      <c r="A646" s="23">
        <v>891</v>
      </c>
      <c r="B646" s="2" t="s">
        <v>0</v>
      </c>
      <c r="C646" s="2" t="s">
        <v>1</v>
      </c>
      <c r="D646" s="2" t="s">
        <v>1092</v>
      </c>
      <c r="E646" s="2">
        <v>1000</v>
      </c>
      <c r="F646" s="2">
        <v>6.6E-3</v>
      </c>
      <c r="G646" s="2">
        <v>4.1999999999999997E-3</v>
      </c>
      <c r="H646" s="4">
        <f t="shared" si="92"/>
        <v>0.36363636363636365</v>
      </c>
      <c r="I646" s="2" t="s">
        <v>98</v>
      </c>
      <c r="J646" s="2" t="s">
        <v>1093</v>
      </c>
      <c r="K646" s="2" t="s">
        <v>982</v>
      </c>
      <c r="L646" s="2" t="s">
        <v>983</v>
      </c>
      <c r="M646" s="155"/>
      <c r="N646" s="155"/>
      <c r="O646" s="2">
        <v>24</v>
      </c>
      <c r="P646" s="6">
        <v>40</v>
      </c>
      <c r="Q646" s="131">
        <f t="shared" si="93"/>
        <v>17.28</v>
      </c>
      <c r="R646" s="33">
        <f t="shared" si="97"/>
        <v>40</v>
      </c>
      <c r="S646" s="132">
        <f t="shared" si="94"/>
        <v>5</v>
      </c>
      <c r="T646" s="132">
        <f t="shared" si="95"/>
        <v>5</v>
      </c>
      <c r="U646" t="s">
        <v>969</v>
      </c>
      <c r="V646" s="131">
        <f t="shared" si="96"/>
        <v>28.327868852459019</v>
      </c>
      <c r="W646" s="17">
        <v>24.4</v>
      </c>
      <c r="X646" s="8">
        <f>60*60*8/W646</f>
        <v>1180.327868852459</v>
      </c>
      <c r="Y646" s="161">
        <v>45689</v>
      </c>
      <c r="Z646" s="7" t="s">
        <v>7</v>
      </c>
      <c r="AA646" s="117"/>
      <c r="AB646" s="117"/>
      <c r="AC646" s="117"/>
      <c r="CH646">
        <v>6</v>
      </c>
      <c r="CI646">
        <v>39</v>
      </c>
    </row>
    <row r="647" spans="1:87" x14ac:dyDescent="0.3">
      <c r="A647" s="2">
        <v>894</v>
      </c>
      <c r="B647" s="2" t="s">
        <v>0</v>
      </c>
      <c r="C647" s="2" t="s">
        <v>1</v>
      </c>
      <c r="D647" s="2" t="s">
        <v>1094</v>
      </c>
      <c r="E647" s="2">
        <v>6400</v>
      </c>
      <c r="F647" s="2">
        <v>3.3999999999999998E-3</v>
      </c>
      <c r="G647" s="2">
        <v>2.3999999999999998E-3</v>
      </c>
      <c r="H647" s="4">
        <f t="shared" si="92"/>
        <v>0.29411764705882354</v>
      </c>
      <c r="I647" s="2" t="s">
        <v>98</v>
      </c>
      <c r="J647" s="2" t="s">
        <v>393</v>
      </c>
      <c r="K647" s="2" t="s">
        <v>105</v>
      </c>
      <c r="L647" s="2" t="s">
        <v>76</v>
      </c>
      <c r="M647" s="155"/>
      <c r="N647" s="155"/>
      <c r="O647" s="2">
        <v>40</v>
      </c>
      <c r="P647" s="6">
        <v>20</v>
      </c>
      <c r="Q647" s="131">
        <f t="shared" si="93"/>
        <v>9</v>
      </c>
      <c r="R647" s="33">
        <f t="shared" si="97"/>
        <v>20</v>
      </c>
      <c r="S647" s="132">
        <f t="shared" si="94"/>
        <v>2.5</v>
      </c>
      <c r="T647" s="132">
        <f t="shared" si="95"/>
        <v>2.5</v>
      </c>
      <c r="V647" s="131" t="str">
        <f t="shared" si="96"/>
        <v/>
      </c>
      <c r="W647" s="17"/>
      <c r="X647" s="7"/>
      <c r="Y647" s="161"/>
      <c r="Z647" s="7"/>
      <c r="AA647" s="117"/>
      <c r="AB647" s="117"/>
      <c r="AC647" s="117"/>
      <c r="CH647">
        <v>6</v>
      </c>
      <c r="CI647">
        <v>45</v>
      </c>
    </row>
    <row r="648" spans="1:87" x14ac:dyDescent="0.3">
      <c r="A648" s="2">
        <v>899</v>
      </c>
      <c r="B648" s="2" t="s">
        <v>0</v>
      </c>
      <c r="C648" s="2" t="s">
        <v>1</v>
      </c>
      <c r="D648" s="2" t="s">
        <v>1095</v>
      </c>
      <c r="E648" s="2">
        <v>100</v>
      </c>
      <c r="F648" s="2">
        <v>0.14649999999999999</v>
      </c>
      <c r="G648" s="2">
        <v>9.5200000000000007E-2</v>
      </c>
      <c r="H648" s="4">
        <f t="shared" si="92"/>
        <v>0.35017064846416374</v>
      </c>
      <c r="I648" s="2" t="s">
        <v>98</v>
      </c>
      <c r="J648" s="2" t="s">
        <v>1096</v>
      </c>
      <c r="K648" s="2" t="s">
        <v>222</v>
      </c>
      <c r="L648" s="2" t="s">
        <v>76</v>
      </c>
      <c r="M648" s="155"/>
      <c r="N648" s="155"/>
      <c r="O648" s="2">
        <v>4</v>
      </c>
      <c r="P648" s="6">
        <v>20</v>
      </c>
      <c r="Q648" s="131">
        <f t="shared" si="93"/>
        <v>57.6</v>
      </c>
      <c r="R648" s="33">
        <f t="shared" si="97"/>
        <v>20</v>
      </c>
      <c r="S648" s="132">
        <f t="shared" si="94"/>
        <v>2.5</v>
      </c>
      <c r="T648" s="132">
        <f t="shared" si="95"/>
        <v>2.5</v>
      </c>
      <c r="V648" s="131" t="str">
        <f t="shared" si="96"/>
        <v/>
      </c>
      <c r="W648" s="17"/>
      <c r="X648" s="7"/>
      <c r="Y648" s="161"/>
      <c r="Z648" s="7"/>
      <c r="AA648" s="117"/>
      <c r="AB648" s="117"/>
      <c r="AC648" s="117"/>
      <c r="CH648">
        <v>4</v>
      </c>
      <c r="CI648">
        <v>76</v>
      </c>
    </row>
    <row r="649" spans="1:87" x14ac:dyDescent="0.3">
      <c r="A649" s="23">
        <v>904</v>
      </c>
      <c r="B649" s="2" t="s">
        <v>0</v>
      </c>
      <c r="C649" s="2" t="s">
        <v>1</v>
      </c>
      <c r="D649" s="2" t="s">
        <v>1097</v>
      </c>
      <c r="E649" s="2">
        <v>2700</v>
      </c>
      <c r="F649" s="2">
        <v>9.4000000000000004E-3</v>
      </c>
      <c r="G649" s="2">
        <v>8.2000000000000007E-3</v>
      </c>
      <c r="H649" s="4">
        <f t="shared" si="92"/>
        <v>0.12765957446808507</v>
      </c>
      <c r="I649" s="2" t="s">
        <v>82</v>
      </c>
      <c r="J649" s="2" t="s">
        <v>645</v>
      </c>
      <c r="K649" s="2" t="s">
        <v>105</v>
      </c>
      <c r="L649" s="2" t="s">
        <v>76</v>
      </c>
      <c r="M649" s="155">
        <v>20</v>
      </c>
      <c r="N649" s="155">
        <v>135</v>
      </c>
      <c r="O649" s="2">
        <v>18</v>
      </c>
      <c r="P649" s="6">
        <v>8</v>
      </c>
      <c r="Q649" s="131">
        <f t="shared" si="93"/>
        <v>24</v>
      </c>
      <c r="R649" s="33">
        <f t="shared" si="97"/>
        <v>8</v>
      </c>
      <c r="S649" s="132">
        <f t="shared" si="94"/>
        <v>1</v>
      </c>
      <c r="T649" s="132">
        <f t="shared" si="95"/>
        <v>1</v>
      </c>
      <c r="V649" s="131">
        <f t="shared" si="96"/>
        <v>4.3735763097949887</v>
      </c>
      <c r="W649" s="17">
        <v>43.9</v>
      </c>
      <c r="X649" s="8">
        <f>60*60*8/W649</f>
        <v>656.03644646924829</v>
      </c>
      <c r="Y649" s="161">
        <v>45575</v>
      </c>
      <c r="Z649" s="7" t="s">
        <v>7</v>
      </c>
      <c r="AA649" s="117"/>
      <c r="AB649" s="117"/>
      <c r="AC649" s="117"/>
      <c r="AD649" s="24">
        <v>45575</v>
      </c>
      <c r="AE649">
        <v>6</v>
      </c>
      <c r="AF649">
        <v>8.1999999999999993</v>
      </c>
      <c r="AH649">
        <v>3</v>
      </c>
      <c r="AI649">
        <v>0.4</v>
      </c>
      <c r="AJ649">
        <v>0.2</v>
      </c>
      <c r="AK649">
        <v>8</v>
      </c>
      <c r="AL649">
        <v>7.5</v>
      </c>
      <c r="AN649">
        <v>14</v>
      </c>
      <c r="AO649">
        <v>1</v>
      </c>
      <c r="AS649">
        <v>43.9</v>
      </c>
      <c r="AT649">
        <v>10</v>
      </c>
      <c r="AU649">
        <v>15.5</v>
      </c>
      <c r="AV649">
        <v>111</v>
      </c>
      <c r="AW649">
        <v>123</v>
      </c>
      <c r="AX649">
        <v>18</v>
      </c>
      <c r="AY649">
        <v>41</v>
      </c>
      <c r="AZ649">
        <v>81</v>
      </c>
      <c r="BA649">
        <v>112</v>
      </c>
      <c r="BB649">
        <v>430</v>
      </c>
      <c r="CH649">
        <v>3</v>
      </c>
      <c r="CI649">
        <v>48</v>
      </c>
    </row>
    <row r="650" spans="1:87" x14ac:dyDescent="0.3">
      <c r="A650" s="2">
        <v>905</v>
      </c>
      <c r="B650" s="2" t="s">
        <v>0</v>
      </c>
      <c r="C650" s="2" t="s">
        <v>1</v>
      </c>
      <c r="D650" s="2" t="s">
        <v>1098</v>
      </c>
      <c r="E650" s="2">
        <v>700</v>
      </c>
      <c r="F650" s="2">
        <v>2.1299999999999999E-2</v>
      </c>
      <c r="G650" s="2">
        <v>1.5699999999999999E-2</v>
      </c>
      <c r="H650" s="4">
        <f t="shared" si="92"/>
        <v>0.26291079812206575</v>
      </c>
      <c r="I650" s="2" t="s">
        <v>73</v>
      </c>
      <c r="J650" s="2" t="s">
        <v>1099</v>
      </c>
      <c r="K650" s="2" t="s">
        <v>105</v>
      </c>
      <c r="L650" s="2" t="s">
        <v>76</v>
      </c>
      <c r="M650" s="155"/>
      <c r="N650" s="155"/>
      <c r="O650" s="2">
        <v>24</v>
      </c>
      <c r="P650" s="6">
        <v>14</v>
      </c>
      <c r="Q650" s="131">
        <f t="shared" si="93"/>
        <v>70.530612244897966</v>
      </c>
      <c r="R650" s="33">
        <f t="shared" si="97"/>
        <v>13.999999999999998</v>
      </c>
      <c r="S650" s="132">
        <f t="shared" si="94"/>
        <v>1.7499999999999998</v>
      </c>
      <c r="T650" s="132">
        <f t="shared" si="95"/>
        <v>1.7499999999999998</v>
      </c>
      <c r="V650" s="131" t="str">
        <f t="shared" si="96"/>
        <v/>
      </c>
      <c r="W650" s="17"/>
      <c r="X650" s="7"/>
      <c r="Y650" s="161"/>
      <c r="Z650" s="7"/>
      <c r="AA650" s="117"/>
      <c r="AB650" s="117"/>
      <c r="AC650" s="117"/>
      <c r="CH650">
        <v>5</v>
      </c>
      <c r="CI650">
        <v>30</v>
      </c>
    </row>
    <row r="651" spans="1:87" x14ac:dyDescent="0.3">
      <c r="A651" s="2">
        <v>908</v>
      </c>
      <c r="B651" s="2" t="s">
        <v>0</v>
      </c>
      <c r="C651" s="2" t="s">
        <v>1</v>
      </c>
      <c r="D651" s="2" t="s">
        <v>1100</v>
      </c>
      <c r="E651" s="2">
        <v>120</v>
      </c>
      <c r="F651" s="2">
        <v>0.18479999999999999</v>
      </c>
      <c r="G651" s="2">
        <v>0.155</v>
      </c>
      <c r="H651" s="4">
        <f t="shared" si="92"/>
        <v>0.16125541125541124</v>
      </c>
      <c r="I651" s="2" t="s">
        <v>98</v>
      </c>
      <c r="J651" s="2" t="s">
        <v>1101</v>
      </c>
      <c r="K651" s="2" t="s">
        <v>230</v>
      </c>
      <c r="L651" s="2" t="s">
        <v>76</v>
      </c>
      <c r="M651" s="155"/>
      <c r="N651" s="155"/>
      <c r="O651" s="2">
        <v>2</v>
      </c>
      <c r="P651" s="6">
        <v>20</v>
      </c>
      <c r="Q651" s="131">
        <f t="shared" si="93"/>
        <v>24</v>
      </c>
      <c r="R651" s="33">
        <f t="shared" si="97"/>
        <v>20</v>
      </c>
      <c r="S651" s="132">
        <f t="shared" si="94"/>
        <v>2.5</v>
      </c>
      <c r="T651" s="132">
        <f t="shared" si="95"/>
        <v>2.5</v>
      </c>
      <c r="V651" s="131" t="str">
        <f t="shared" si="96"/>
        <v/>
      </c>
      <c r="W651" s="17"/>
      <c r="X651" s="7"/>
      <c r="Y651" s="161"/>
      <c r="Z651" s="7"/>
      <c r="AA651" s="117"/>
      <c r="AB651" s="117"/>
      <c r="AC651" s="117"/>
      <c r="CH651">
        <v>6</v>
      </c>
      <c r="CI651">
        <v>52</v>
      </c>
    </row>
    <row r="652" spans="1:87" x14ac:dyDescent="0.3">
      <c r="A652" s="2">
        <v>914</v>
      </c>
      <c r="B652" s="2" t="s">
        <v>84</v>
      </c>
      <c r="C652" s="2" t="s">
        <v>1</v>
      </c>
      <c r="D652" s="2" t="s">
        <v>1102</v>
      </c>
      <c r="E652" s="2">
        <v>650</v>
      </c>
      <c r="F652" s="2">
        <v>2.1499999999999998E-2</v>
      </c>
      <c r="G652" s="2">
        <v>1.3899999999999999E-2</v>
      </c>
      <c r="H652" s="4">
        <f t="shared" si="92"/>
        <v>0.35348837209302325</v>
      </c>
      <c r="I652" s="2" t="s">
        <v>82</v>
      </c>
      <c r="J652" s="2" t="s">
        <v>579</v>
      </c>
      <c r="K652" s="2" t="s">
        <v>105</v>
      </c>
      <c r="L652" s="2" t="s">
        <v>76</v>
      </c>
      <c r="M652" s="155"/>
      <c r="N652" s="155"/>
      <c r="O652" s="2">
        <v>18</v>
      </c>
      <c r="P652" s="6">
        <v>12</v>
      </c>
      <c r="Q652" s="131">
        <f t="shared" si="93"/>
        <v>66.461538461538467</v>
      </c>
      <c r="R652" s="33">
        <f t="shared" si="97"/>
        <v>12</v>
      </c>
      <c r="S652" s="132">
        <f t="shared" si="94"/>
        <v>1.5</v>
      </c>
      <c r="T652" s="132">
        <f t="shared" si="95"/>
        <v>1.5</v>
      </c>
      <c r="V652" s="131" t="str">
        <f t="shared" si="96"/>
        <v/>
      </c>
      <c r="W652" s="17"/>
      <c r="X652" s="7"/>
      <c r="Y652" s="161"/>
      <c r="Z652" s="7"/>
      <c r="AA652" s="117"/>
      <c r="AB652" s="117"/>
      <c r="AC652" s="117"/>
      <c r="CH652">
        <v>2</v>
      </c>
      <c r="CI652">
        <v>75</v>
      </c>
    </row>
    <row r="653" spans="1:87" x14ac:dyDescent="0.3">
      <c r="A653" s="2">
        <v>931</v>
      </c>
      <c r="B653" s="2" t="s">
        <v>0</v>
      </c>
      <c r="C653" s="2" t="s">
        <v>1</v>
      </c>
      <c r="D653" s="2" t="s">
        <v>1103</v>
      </c>
      <c r="E653" s="2">
        <v>1400</v>
      </c>
      <c r="F653" s="2">
        <v>6.7999999999999996E-3</v>
      </c>
      <c r="G653" s="2">
        <v>5.4999999999999997E-3</v>
      </c>
      <c r="H653" s="4">
        <f t="shared" si="92"/>
        <v>0.19117647058823531</v>
      </c>
      <c r="I653" s="2" t="s">
        <v>82</v>
      </c>
      <c r="J653" s="2" t="s">
        <v>600</v>
      </c>
      <c r="K653" s="2" t="s">
        <v>5</v>
      </c>
      <c r="L653" s="2" t="s">
        <v>6</v>
      </c>
      <c r="M653" s="155"/>
      <c r="N653" s="155"/>
      <c r="O653" s="2">
        <v>35</v>
      </c>
      <c r="P653" s="6">
        <v>15</v>
      </c>
      <c r="Q653" s="131">
        <f t="shared" si="93"/>
        <v>48</v>
      </c>
      <c r="R653" s="33">
        <f t="shared" si="97"/>
        <v>15</v>
      </c>
      <c r="S653" s="132">
        <f t="shared" si="94"/>
        <v>1.875</v>
      </c>
      <c r="T653" s="132">
        <f t="shared" si="95"/>
        <v>1.875</v>
      </c>
      <c r="V653" s="131" t="str">
        <f t="shared" si="96"/>
        <v/>
      </c>
      <c r="W653" s="17"/>
      <c r="X653" s="7"/>
      <c r="Y653" s="161"/>
      <c r="Z653" s="7"/>
      <c r="AA653" s="117"/>
      <c r="AB653" s="117"/>
      <c r="AC653" s="117"/>
      <c r="CH653">
        <v>3</v>
      </c>
      <c r="CI653">
        <v>68</v>
      </c>
    </row>
    <row r="654" spans="1:87" x14ac:dyDescent="0.3">
      <c r="A654" s="2">
        <v>937</v>
      </c>
      <c r="B654" s="2" t="s">
        <v>0</v>
      </c>
      <c r="C654" s="2" t="s">
        <v>1</v>
      </c>
      <c r="D654" s="2" t="s">
        <v>1104</v>
      </c>
      <c r="E654" s="2">
        <v>450</v>
      </c>
      <c r="F654" s="2">
        <v>4.02E-2</v>
      </c>
      <c r="G654" s="2">
        <v>3.4099999999999998E-2</v>
      </c>
      <c r="H654" s="4">
        <f t="shared" si="92"/>
        <v>0.15174129353233834</v>
      </c>
      <c r="I654" s="2" t="s">
        <v>82</v>
      </c>
      <c r="J654" s="2" t="s">
        <v>610</v>
      </c>
      <c r="K654" s="2" t="s">
        <v>105</v>
      </c>
      <c r="L654" s="2" t="s">
        <v>76</v>
      </c>
      <c r="M654" s="155"/>
      <c r="N654" s="155"/>
      <c r="O654" s="2">
        <v>9</v>
      </c>
      <c r="P654" s="6">
        <v>20</v>
      </c>
      <c r="Q654" s="131">
        <f t="shared" si="93"/>
        <v>28.8</v>
      </c>
      <c r="R654" s="33">
        <f t="shared" si="97"/>
        <v>20</v>
      </c>
      <c r="S654" s="132">
        <f t="shared" si="94"/>
        <v>2.5</v>
      </c>
      <c r="T654" s="132">
        <f t="shared" si="95"/>
        <v>2.5</v>
      </c>
      <c r="V654" s="131" t="str">
        <f t="shared" si="96"/>
        <v/>
      </c>
      <c r="W654" s="17"/>
      <c r="X654" s="7"/>
      <c r="Y654" s="161"/>
      <c r="Z654" s="7"/>
      <c r="AA654" s="117"/>
      <c r="AB654" s="117"/>
      <c r="AC654" s="117"/>
      <c r="CH654">
        <v>5</v>
      </c>
      <c r="CI654">
        <v>89</v>
      </c>
    </row>
    <row r="655" spans="1:87" x14ac:dyDescent="0.3">
      <c r="A655" s="2">
        <v>938</v>
      </c>
      <c r="B655" s="2" t="s">
        <v>84</v>
      </c>
      <c r="C655" s="2" t="s">
        <v>1</v>
      </c>
      <c r="D655" s="2" t="s">
        <v>1105</v>
      </c>
      <c r="E655" s="2">
        <v>1000</v>
      </c>
      <c r="F655" s="2">
        <v>1.66E-2</v>
      </c>
      <c r="G655" s="2"/>
      <c r="H655" s="4">
        <f t="shared" si="92"/>
        <v>1</v>
      </c>
      <c r="I655" s="2" t="s">
        <v>98</v>
      </c>
      <c r="J655" s="2" t="s">
        <v>382</v>
      </c>
      <c r="K655" s="2" t="s">
        <v>105</v>
      </c>
      <c r="L655" s="2" t="s">
        <v>76</v>
      </c>
      <c r="M655" s="155"/>
      <c r="N655" s="155"/>
      <c r="O655" s="2">
        <v>18</v>
      </c>
      <c r="P655" s="6"/>
      <c r="Q655" s="131" t="str">
        <f t="shared" si="93"/>
        <v/>
      </c>
      <c r="R655" s="33" t="str">
        <f t="shared" si="97"/>
        <v/>
      </c>
      <c r="S655" s="132" t="str">
        <f t="shared" si="94"/>
        <v/>
      </c>
      <c r="T655" s="132" t="str">
        <f t="shared" si="95"/>
        <v/>
      </c>
      <c r="V655" s="131" t="str">
        <f t="shared" si="96"/>
        <v/>
      </c>
      <c r="W655" s="17"/>
      <c r="X655" s="7"/>
      <c r="Y655" s="161"/>
      <c r="Z655" s="7"/>
      <c r="AA655" s="117"/>
      <c r="AB655" s="117"/>
      <c r="AC655" s="117"/>
      <c r="CH655">
        <v>2</v>
      </c>
      <c r="CI655">
        <v>43</v>
      </c>
    </row>
    <row r="656" spans="1:87" x14ac:dyDescent="0.3">
      <c r="A656" s="23">
        <v>940</v>
      </c>
      <c r="B656" s="2" t="s">
        <v>0</v>
      </c>
      <c r="C656" s="2" t="s">
        <v>1</v>
      </c>
      <c r="D656" s="2" t="s">
        <v>1106</v>
      </c>
      <c r="E656" s="2">
        <v>2400</v>
      </c>
      <c r="F656" s="2">
        <v>8.8999999999999999E-3</v>
      </c>
      <c r="G656" s="2">
        <v>6.6E-3</v>
      </c>
      <c r="H656" s="4">
        <f t="shared" si="92"/>
        <v>0.25842696629213485</v>
      </c>
      <c r="I656" s="2" t="s">
        <v>82</v>
      </c>
      <c r="J656" s="2" t="s">
        <v>764</v>
      </c>
      <c r="K656" s="2" t="s">
        <v>105</v>
      </c>
      <c r="L656" s="2" t="s">
        <v>76</v>
      </c>
      <c r="M656" s="155"/>
      <c r="N656" s="155"/>
      <c r="O656" s="2">
        <v>30</v>
      </c>
      <c r="P656" s="6">
        <v>15</v>
      </c>
      <c r="Q656" s="131">
        <f t="shared" si="93"/>
        <v>24</v>
      </c>
      <c r="R656" s="33">
        <f t="shared" si="97"/>
        <v>15</v>
      </c>
      <c r="S656" s="132">
        <f t="shared" si="94"/>
        <v>1.875</v>
      </c>
      <c r="T656" s="132">
        <f t="shared" si="95"/>
        <v>1.875</v>
      </c>
      <c r="V656" s="131">
        <f t="shared" si="96"/>
        <v>9.0909090909090899</v>
      </c>
      <c r="W656" s="17">
        <v>39.6</v>
      </c>
      <c r="X656" s="8">
        <f>60*60*8/W656</f>
        <v>727.27272727272725</v>
      </c>
      <c r="Y656" s="161">
        <v>45551</v>
      </c>
      <c r="Z656" s="7" t="s">
        <v>7</v>
      </c>
      <c r="AA656" s="117"/>
      <c r="AB656" s="117"/>
      <c r="AC656" s="117"/>
      <c r="AD656" s="24">
        <v>45551</v>
      </c>
      <c r="AE656">
        <v>8</v>
      </c>
      <c r="AF656">
        <v>6.4</v>
      </c>
      <c r="AG656">
        <v>1.8</v>
      </c>
      <c r="AI656">
        <v>0.2</v>
      </c>
      <c r="AJ656">
        <v>0.1</v>
      </c>
      <c r="AK656">
        <v>8</v>
      </c>
      <c r="AL656">
        <v>7.5</v>
      </c>
      <c r="AN656">
        <v>6.3</v>
      </c>
      <c r="AO656">
        <v>1.2</v>
      </c>
      <c r="AS656">
        <v>39.6</v>
      </c>
      <c r="AT656">
        <v>6.5</v>
      </c>
      <c r="AU656">
        <v>16</v>
      </c>
      <c r="AV656">
        <v>13</v>
      </c>
      <c r="AW656">
        <v>139</v>
      </c>
      <c r="AX656">
        <v>12</v>
      </c>
      <c r="AY656">
        <v>23.5</v>
      </c>
      <c r="AZ656">
        <v>101</v>
      </c>
      <c r="BA656">
        <v>112</v>
      </c>
      <c r="BB656">
        <v>420</v>
      </c>
      <c r="CH656">
        <v>3</v>
      </c>
      <c r="CI656">
        <v>79</v>
      </c>
    </row>
    <row r="657" spans="1:87" x14ac:dyDescent="0.3">
      <c r="A657" s="2">
        <v>941</v>
      </c>
      <c r="B657" s="2" t="s">
        <v>0</v>
      </c>
      <c r="C657" s="2" t="s">
        <v>1</v>
      </c>
      <c r="D657" s="2" t="s">
        <v>1107</v>
      </c>
      <c r="E657" s="2">
        <v>960</v>
      </c>
      <c r="F657" s="2">
        <v>1.8200000000000001E-2</v>
      </c>
      <c r="G657" s="2">
        <v>1.4999999999999999E-2</v>
      </c>
      <c r="H657" s="4">
        <f t="shared" si="92"/>
        <v>0.17582417582417589</v>
      </c>
      <c r="I657" s="2" t="s">
        <v>82</v>
      </c>
      <c r="J657" s="2" t="s">
        <v>855</v>
      </c>
      <c r="K657" s="2" t="s">
        <v>261</v>
      </c>
      <c r="L657" s="2" t="s">
        <v>76</v>
      </c>
      <c r="M657" s="155"/>
      <c r="N657" s="155"/>
      <c r="O657" s="2">
        <v>8</v>
      </c>
      <c r="P657" s="6">
        <v>15</v>
      </c>
      <c r="Q657" s="131">
        <f t="shared" si="93"/>
        <v>16</v>
      </c>
      <c r="R657" s="33">
        <f t="shared" si="97"/>
        <v>15</v>
      </c>
      <c r="S657" s="132">
        <f t="shared" si="94"/>
        <v>1.875</v>
      </c>
      <c r="T657" s="132">
        <f t="shared" si="95"/>
        <v>1.875</v>
      </c>
      <c r="V657" s="131" t="str">
        <f t="shared" si="96"/>
        <v/>
      </c>
      <c r="W657" s="17"/>
      <c r="X657" s="7"/>
      <c r="Y657" s="161"/>
      <c r="Z657" s="7"/>
      <c r="AA657" s="117"/>
      <c r="AB657" s="117"/>
      <c r="AC657" s="117"/>
      <c r="CH657">
        <v>1</v>
      </c>
      <c r="CI657">
        <v>55</v>
      </c>
    </row>
    <row r="658" spans="1:87" x14ac:dyDescent="0.3">
      <c r="A658" s="2">
        <v>942</v>
      </c>
      <c r="B658" s="2" t="s">
        <v>0</v>
      </c>
      <c r="C658" s="2" t="s">
        <v>1</v>
      </c>
      <c r="D658" s="2" t="s">
        <v>1108</v>
      </c>
      <c r="E658" s="2">
        <v>2400</v>
      </c>
      <c r="F658" s="2">
        <v>8.0999999999999996E-3</v>
      </c>
      <c r="G658" s="2">
        <v>6.4000000000000003E-3</v>
      </c>
      <c r="H658" s="4">
        <f t="shared" si="92"/>
        <v>0.20987654320987648</v>
      </c>
      <c r="I658" s="2" t="s">
        <v>98</v>
      </c>
      <c r="J658" s="2" t="s">
        <v>838</v>
      </c>
      <c r="K658" s="2" t="s">
        <v>105</v>
      </c>
      <c r="L658" s="2" t="s">
        <v>76</v>
      </c>
      <c r="M658" s="155"/>
      <c r="N658" s="155"/>
      <c r="O658" s="2">
        <v>30</v>
      </c>
      <c r="P658" s="6">
        <v>15</v>
      </c>
      <c r="Q658" s="131">
        <f t="shared" si="93"/>
        <v>24</v>
      </c>
      <c r="R658" s="33">
        <f t="shared" si="97"/>
        <v>15</v>
      </c>
      <c r="S658" s="132">
        <f t="shared" si="94"/>
        <v>1.875</v>
      </c>
      <c r="T658" s="132">
        <f t="shared" si="95"/>
        <v>1.875</v>
      </c>
      <c r="V658" s="131" t="str">
        <f t="shared" si="96"/>
        <v/>
      </c>
      <c r="W658" s="17"/>
      <c r="X658" s="7"/>
      <c r="Y658" s="161"/>
      <c r="Z658" s="7"/>
      <c r="AA658" s="117"/>
      <c r="AB658" s="117"/>
      <c r="AC658" s="117"/>
      <c r="CH658">
        <v>2</v>
      </c>
      <c r="CI658">
        <v>39</v>
      </c>
    </row>
    <row r="659" spans="1:87" x14ac:dyDescent="0.3">
      <c r="A659" s="2">
        <v>947</v>
      </c>
      <c r="B659" s="2" t="s">
        <v>84</v>
      </c>
      <c r="C659" s="2" t="s">
        <v>1</v>
      </c>
      <c r="D659" s="2" t="s">
        <v>1109</v>
      </c>
      <c r="E659" s="2">
        <v>1440</v>
      </c>
      <c r="F659" s="2">
        <v>8.8000000000000005E-3</v>
      </c>
      <c r="G659" s="2">
        <v>6.1999999999999998E-3</v>
      </c>
      <c r="H659" s="4">
        <f t="shared" si="92"/>
        <v>0.29545454545454553</v>
      </c>
      <c r="I659" s="2" t="s">
        <v>98</v>
      </c>
      <c r="J659" s="2" t="s">
        <v>412</v>
      </c>
      <c r="K659" s="2" t="s">
        <v>105</v>
      </c>
      <c r="L659" s="2" t="s">
        <v>76</v>
      </c>
      <c r="M659" s="155"/>
      <c r="N659" s="155"/>
      <c r="O659" s="2">
        <v>36</v>
      </c>
      <c r="P659" s="6">
        <v>15</v>
      </c>
      <c r="Q659" s="131">
        <f t="shared" si="93"/>
        <v>48</v>
      </c>
      <c r="R659" s="33">
        <f t="shared" si="97"/>
        <v>15</v>
      </c>
      <c r="S659" s="132">
        <f t="shared" si="94"/>
        <v>1.875</v>
      </c>
      <c r="T659" s="132">
        <f t="shared" si="95"/>
        <v>1.875</v>
      </c>
      <c r="V659" s="131" t="str">
        <f t="shared" si="96"/>
        <v/>
      </c>
      <c r="W659" s="17"/>
      <c r="X659" s="7"/>
      <c r="Y659" s="161"/>
      <c r="Z659" s="7"/>
      <c r="AA659" s="117"/>
      <c r="AB659" s="117"/>
      <c r="AC659" s="117"/>
      <c r="CH659">
        <v>6</v>
      </c>
      <c r="CI659">
        <v>48</v>
      </c>
    </row>
    <row r="660" spans="1:87" x14ac:dyDescent="0.3">
      <c r="A660" s="2">
        <v>948</v>
      </c>
      <c r="B660" s="2" t="s">
        <v>84</v>
      </c>
      <c r="C660" s="2" t="s">
        <v>1</v>
      </c>
      <c r="D660" s="2" t="s">
        <v>1110</v>
      </c>
      <c r="E660" s="2">
        <v>1200</v>
      </c>
      <c r="F660" s="2">
        <v>1.6199999999999999E-2</v>
      </c>
      <c r="G660" s="2"/>
      <c r="H660" s="4">
        <f t="shared" si="92"/>
        <v>1</v>
      </c>
      <c r="I660" s="2" t="s">
        <v>98</v>
      </c>
      <c r="J660" s="2" t="s">
        <v>412</v>
      </c>
      <c r="K660" s="2" t="s">
        <v>105</v>
      </c>
      <c r="L660" s="2" t="s">
        <v>76</v>
      </c>
      <c r="M660" s="155"/>
      <c r="N660" s="155"/>
      <c r="O660" s="2">
        <v>20</v>
      </c>
      <c r="P660" s="6"/>
      <c r="Q660" s="131" t="str">
        <f t="shared" si="93"/>
        <v/>
      </c>
      <c r="R660" s="33" t="str">
        <f t="shared" si="97"/>
        <v/>
      </c>
      <c r="S660" s="132" t="str">
        <f t="shared" si="94"/>
        <v/>
      </c>
      <c r="T660" s="132" t="str">
        <f t="shared" si="95"/>
        <v/>
      </c>
      <c r="V660" s="131" t="str">
        <f t="shared" si="96"/>
        <v/>
      </c>
      <c r="W660" s="17"/>
      <c r="X660" s="7"/>
      <c r="Y660" s="161"/>
      <c r="Z660" s="7"/>
      <c r="AA660" s="117"/>
      <c r="AB660" s="117"/>
      <c r="AC660" s="117"/>
      <c r="CH660">
        <v>2</v>
      </c>
      <c r="CI660">
        <v>46</v>
      </c>
    </row>
    <row r="661" spans="1:87" x14ac:dyDescent="0.3">
      <c r="A661" s="2">
        <v>949</v>
      </c>
      <c r="B661" s="2" t="s">
        <v>84</v>
      </c>
      <c r="C661" s="2" t="s">
        <v>1</v>
      </c>
      <c r="D661" s="2" t="s">
        <v>1111</v>
      </c>
      <c r="E661" s="2">
        <v>600</v>
      </c>
      <c r="F661" s="2">
        <v>1.6400000000000001E-2</v>
      </c>
      <c r="G661" s="2"/>
      <c r="H661" s="4">
        <f t="shared" si="92"/>
        <v>1</v>
      </c>
      <c r="I661" s="2" t="s">
        <v>98</v>
      </c>
      <c r="J661" s="2" t="s">
        <v>412</v>
      </c>
      <c r="K661" s="2" t="s">
        <v>105</v>
      </c>
      <c r="L661" s="2" t="s">
        <v>76</v>
      </c>
      <c r="M661" s="155"/>
      <c r="N661" s="155"/>
      <c r="O661" s="2">
        <v>20</v>
      </c>
      <c r="P661" s="6">
        <v>29</v>
      </c>
      <c r="Q661" s="131">
        <f t="shared" si="93"/>
        <v>33.103448275862071</v>
      </c>
      <c r="R661" s="33">
        <f t="shared" si="97"/>
        <v>28.999999999999996</v>
      </c>
      <c r="S661" s="132">
        <f t="shared" si="94"/>
        <v>3.6249999999999996</v>
      </c>
      <c r="T661" s="132">
        <f t="shared" si="95"/>
        <v>3.6249999999999996</v>
      </c>
      <c r="V661" s="131" t="str">
        <f t="shared" si="96"/>
        <v/>
      </c>
      <c r="W661" s="17"/>
      <c r="X661" s="7"/>
      <c r="Y661" s="161"/>
      <c r="Z661" s="7"/>
      <c r="AA661" s="117"/>
      <c r="AB661" s="117"/>
      <c r="AC661" s="117"/>
      <c r="CH661">
        <v>1</v>
      </c>
      <c r="CI661">
        <v>62</v>
      </c>
    </row>
    <row r="662" spans="1:87" x14ac:dyDescent="0.3">
      <c r="A662" s="2">
        <v>955</v>
      </c>
      <c r="B662" s="2" t="s">
        <v>0</v>
      </c>
      <c r="C662" s="2" t="s">
        <v>1</v>
      </c>
      <c r="D662" s="2" t="s">
        <v>1112</v>
      </c>
      <c r="E662" s="2">
        <v>2100</v>
      </c>
      <c r="F662" s="2">
        <v>5.8999999999999999E-3</v>
      </c>
      <c r="G662" s="2">
        <v>4.7000000000000002E-3</v>
      </c>
      <c r="H662" s="4">
        <f t="shared" si="92"/>
        <v>0.20338983050847453</v>
      </c>
      <c r="I662" s="2" t="s">
        <v>98</v>
      </c>
      <c r="J662" s="2" t="s">
        <v>1113</v>
      </c>
      <c r="K662" s="2" t="s">
        <v>105</v>
      </c>
      <c r="L662" s="2" t="s">
        <v>76</v>
      </c>
      <c r="M662" s="155"/>
      <c r="N662" s="155"/>
      <c r="O662" s="2">
        <v>30</v>
      </c>
      <c r="P662" s="6">
        <v>28</v>
      </c>
      <c r="Q662" s="131">
        <f t="shared" si="93"/>
        <v>14.693877551020408</v>
      </c>
      <c r="R662" s="33">
        <f t="shared" si="97"/>
        <v>28</v>
      </c>
      <c r="S662" s="132">
        <f t="shared" si="94"/>
        <v>3.5</v>
      </c>
      <c r="T662" s="132">
        <f t="shared" si="95"/>
        <v>3.5</v>
      </c>
      <c r="V662" s="131" t="str">
        <f t="shared" si="96"/>
        <v/>
      </c>
      <c r="W662" s="17"/>
      <c r="X662" s="7"/>
      <c r="Y662" s="161"/>
      <c r="Z662" s="7"/>
      <c r="AA662" s="117"/>
      <c r="AB662" s="117"/>
      <c r="AC662" s="117"/>
      <c r="CH662">
        <v>3</v>
      </c>
      <c r="CI662">
        <v>87</v>
      </c>
    </row>
    <row r="663" spans="1:87" x14ac:dyDescent="0.3">
      <c r="A663" s="23">
        <v>961</v>
      </c>
      <c r="B663" s="2" t="s">
        <v>0</v>
      </c>
      <c r="C663" s="2" t="s">
        <v>1</v>
      </c>
      <c r="D663" s="2" t="s">
        <v>1114</v>
      </c>
      <c r="E663" s="2">
        <v>760</v>
      </c>
      <c r="F663" s="2">
        <v>2.3300000000000001E-2</v>
      </c>
      <c r="G663" s="2">
        <v>1.6799999999999999E-2</v>
      </c>
      <c r="H663" s="4">
        <f t="shared" si="92"/>
        <v>0.27896995708154515</v>
      </c>
      <c r="I663" s="2" t="s">
        <v>73</v>
      </c>
      <c r="J663" s="2" t="s">
        <v>656</v>
      </c>
      <c r="K663" s="2" t="s">
        <v>105</v>
      </c>
      <c r="L663" s="2" t="s">
        <v>76</v>
      </c>
      <c r="M663" s="155"/>
      <c r="N663" s="155"/>
      <c r="O663" s="2">
        <v>24</v>
      </c>
      <c r="P663" s="6">
        <v>14</v>
      </c>
      <c r="Q663" s="131">
        <f t="shared" si="93"/>
        <v>64.962406015037601</v>
      </c>
      <c r="R663" s="33">
        <f t="shared" si="97"/>
        <v>14</v>
      </c>
      <c r="S663" s="132">
        <f t="shared" si="94"/>
        <v>1.75</v>
      </c>
      <c r="T663" s="132">
        <f t="shared" si="95"/>
        <v>1.75</v>
      </c>
      <c r="V663" s="131">
        <f t="shared" si="96"/>
        <v>25.58294470353098</v>
      </c>
      <c r="W663" s="17">
        <v>35.549999999999997</v>
      </c>
      <c r="X663" s="8">
        <f>60*60*8/W663</f>
        <v>810.12658227848112</v>
      </c>
      <c r="Y663" s="161">
        <v>45376</v>
      </c>
      <c r="Z663" s="7" t="s">
        <v>7</v>
      </c>
      <c r="AA663" s="117"/>
      <c r="AB663" s="117"/>
      <c r="AC663" s="117"/>
      <c r="AD663" t="s">
        <v>1115</v>
      </c>
      <c r="CH663">
        <v>4</v>
      </c>
      <c r="CI663">
        <v>70</v>
      </c>
    </row>
    <row r="664" spans="1:87" x14ac:dyDescent="0.3">
      <c r="A664" s="2">
        <v>963</v>
      </c>
      <c r="B664" s="2" t="s">
        <v>0</v>
      </c>
      <c r="C664" s="2" t="s">
        <v>1</v>
      </c>
      <c r="D664" s="2" t="s">
        <v>1116</v>
      </c>
      <c r="E664" s="2">
        <v>1700</v>
      </c>
      <c r="F664" s="2">
        <v>8.0999999999999996E-3</v>
      </c>
      <c r="G664" s="2">
        <v>7.0000000000000001E-3</v>
      </c>
      <c r="H664" s="4">
        <f t="shared" si="92"/>
        <v>0.13580246913580241</v>
      </c>
      <c r="I664" s="2" t="s">
        <v>82</v>
      </c>
      <c r="J664" s="2" t="s">
        <v>600</v>
      </c>
      <c r="K664" s="2" t="s">
        <v>105</v>
      </c>
      <c r="L664" s="2" t="s">
        <v>76</v>
      </c>
      <c r="M664" s="155"/>
      <c r="N664" s="155"/>
      <c r="O664" s="2">
        <v>30</v>
      </c>
      <c r="P664" s="6">
        <v>15</v>
      </c>
      <c r="Q664" s="131">
        <f t="shared" si="93"/>
        <v>33.882352941176471</v>
      </c>
      <c r="R664" s="33">
        <f t="shared" si="97"/>
        <v>15</v>
      </c>
      <c r="S664" s="132">
        <f t="shared" si="94"/>
        <v>1.875</v>
      </c>
      <c r="T664" s="132">
        <f t="shared" si="95"/>
        <v>1.875</v>
      </c>
      <c r="V664" s="131" t="str">
        <f t="shared" si="96"/>
        <v/>
      </c>
      <c r="W664" s="17"/>
      <c r="X664" s="7"/>
      <c r="Y664" s="161"/>
      <c r="Z664" s="7"/>
      <c r="AA664" s="117"/>
      <c r="AB664" s="117"/>
      <c r="AC664" s="117"/>
      <c r="CH664">
        <v>5</v>
      </c>
      <c r="CI664">
        <v>74</v>
      </c>
    </row>
    <row r="665" spans="1:87" x14ac:dyDescent="0.3">
      <c r="A665" s="2">
        <v>966</v>
      </c>
      <c r="B665" s="2" t="s">
        <v>0</v>
      </c>
      <c r="C665" s="2" t="s">
        <v>1</v>
      </c>
      <c r="D665" s="2" t="s">
        <v>1117</v>
      </c>
      <c r="E665" s="2">
        <v>700</v>
      </c>
      <c r="F665" s="2">
        <v>1.6E-2</v>
      </c>
      <c r="G665" s="2">
        <v>1.32E-2</v>
      </c>
      <c r="H665" s="4">
        <f t="shared" si="92"/>
        <v>0.17500000000000002</v>
      </c>
      <c r="I665" s="2" t="s">
        <v>98</v>
      </c>
      <c r="J665" s="2" t="s">
        <v>912</v>
      </c>
      <c r="K665" s="2" t="s">
        <v>105</v>
      </c>
      <c r="L665" s="2" t="s">
        <v>76</v>
      </c>
      <c r="M665" s="155"/>
      <c r="N665" s="155"/>
      <c r="O665" s="2">
        <v>16</v>
      </c>
      <c r="P665" s="6">
        <v>40</v>
      </c>
      <c r="Q665" s="131">
        <f t="shared" si="93"/>
        <v>16.457142857142859</v>
      </c>
      <c r="R665" s="33">
        <f t="shared" si="97"/>
        <v>40</v>
      </c>
      <c r="S665" s="132">
        <f t="shared" si="94"/>
        <v>5</v>
      </c>
      <c r="T665" s="132">
        <f t="shared" si="95"/>
        <v>5</v>
      </c>
      <c r="V665" s="131" t="str">
        <f t="shared" si="96"/>
        <v/>
      </c>
      <c r="W665" s="17"/>
      <c r="X665" s="7"/>
      <c r="Y665" s="161"/>
      <c r="Z665" s="7"/>
      <c r="AA665" s="117"/>
      <c r="AB665" s="117"/>
      <c r="AC665" s="117"/>
      <c r="CH665">
        <v>6</v>
      </c>
      <c r="CI665">
        <v>36</v>
      </c>
    </row>
    <row r="666" spans="1:87" x14ac:dyDescent="0.3">
      <c r="A666" s="2">
        <v>967</v>
      </c>
      <c r="B666" s="2" t="s">
        <v>0</v>
      </c>
      <c r="C666" s="2" t="s">
        <v>1</v>
      </c>
      <c r="D666" s="2" t="s">
        <v>1118</v>
      </c>
      <c r="E666" s="2">
        <v>1700</v>
      </c>
      <c r="F666" s="2">
        <v>7.7000000000000002E-3</v>
      </c>
      <c r="G666" s="2">
        <v>6.1999999999999998E-3</v>
      </c>
      <c r="H666" s="4">
        <f t="shared" si="92"/>
        <v>0.19480519480519487</v>
      </c>
      <c r="I666" s="2" t="s">
        <v>98</v>
      </c>
      <c r="J666" s="2" t="s">
        <v>418</v>
      </c>
      <c r="K666" s="2" t="s">
        <v>105</v>
      </c>
      <c r="L666" s="2" t="s">
        <v>76</v>
      </c>
      <c r="M666" s="155"/>
      <c r="N666" s="155"/>
      <c r="O666" s="2">
        <v>30</v>
      </c>
      <c r="P666" s="6">
        <v>20</v>
      </c>
      <c r="Q666" s="131">
        <f t="shared" si="93"/>
        <v>25.411764705882355</v>
      </c>
      <c r="R666" s="33">
        <f t="shared" si="97"/>
        <v>20</v>
      </c>
      <c r="S666" s="132">
        <f t="shared" si="94"/>
        <v>2.5</v>
      </c>
      <c r="T666" s="132">
        <f t="shared" si="95"/>
        <v>2.5</v>
      </c>
      <c r="V666" s="131" t="str">
        <f t="shared" si="96"/>
        <v/>
      </c>
      <c r="W666" s="17"/>
      <c r="X666" s="7"/>
      <c r="Y666" s="161"/>
      <c r="Z666" s="7"/>
      <c r="AA666" s="117"/>
      <c r="AB666" s="117"/>
      <c r="AC666" s="117"/>
      <c r="CH666">
        <v>1</v>
      </c>
      <c r="CI666">
        <v>83</v>
      </c>
    </row>
    <row r="667" spans="1:87" x14ac:dyDescent="0.3">
      <c r="A667" s="2">
        <v>969</v>
      </c>
      <c r="B667" s="2" t="s">
        <v>0</v>
      </c>
      <c r="C667" s="2" t="s">
        <v>1</v>
      </c>
      <c r="D667" s="2" t="s">
        <v>1119</v>
      </c>
      <c r="E667" s="2">
        <v>4000</v>
      </c>
      <c r="F667" s="2">
        <v>5.3E-3</v>
      </c>
      <c r="G667" s="2">
        <v>4.4999999999999997E-3</v>
      </c>
      <c r="H667" s="4">
        <f t="shared" si="92"/>
        <v>0.15094339622641517</v>
      </c>
      <c r="I667" s="2" t="s">
        <v>98</v>
      </c>
      <c r="J667" s="2" t="s">
        <v>418</v>
      </c>
      <c r="K667" s="2" t="s">
        <v>222</v>
      </c>
      <c r="L667" s="2" t="s">
        <v>76</v>
      </c>
      <c r="M667" s="155"/>
      <c r="N667" s="155"/>
      <c r="O667" s="2">
        <v>42</v>
      </c>
      <c r="P667" s="6">
        <v>10</v>
      </c>
      <c r="Q667" s="131">
        <f t="shared" si="93"/>
        <v>30.24</v>
      </c>
      <c r="R667" s="33">
        <f t="shared" si="97"/>
        <v>10</v>
      </c>
      <c r="S667" s="132">
        <f t="shared" si="94"/>
        <v>1.25</v>
      </c>
      <c r="T667" s="132">
        <f t="shared" si="95"/>
        <v>1.25</v>
      </c>
      <c r="V667" s="131" t="str">
        <f t="shared" si="96"/>
        <v/>
      </c>
      <c r="W667" s="17"/>
      <c r="X667" s="7"/>
      <c r="Y667" s="161"/>
      <c r="Z667" s="7"/>
      <c r="AA667" s="117"/>
      <c r="AB667" s="117"/>
      <c r="AC667" s="117"/>
      <c r="CH667">
        <v>3</v>
      </c>
      <c r="CI667">
        <v>55</v>
      </c>
    </row>
    <row r="668" spans="1:87" x14ac:dyDescent="0.3">
      <c r="A668" s="2">
        <v>971</v>
      </c>
      <c r="B668" s="2" t="s">
        <v>0</v>
      </c>
      <c r="C668" s="2" t="s">
        <v>1</v>
      </c>
      <c r="D668" s="2" t="s">
        <v>1120</v>
      </c>
      <c r="E668" s="2">
        <v>5800</v>
      </c>
      <c r="F668" s="2">
        <v>3.0999999999999999E-3</v>
      </c>
      <c r="G668" s="2">
        <v>2.7000000000000001E-3</v>
      </c>
      <c r="H668" s="4">
        <f t="shared" si="92"/>
        <v>0.12903225806451604</v>
      </c>
      <c r="I668" s="2" t="s">
        <v>98</v>
      </c>
      <c r="J668" s="2" t="s">
        <v>418</v>
      </c>
      <c r="K668" s="2" t="s">
        <v>105</v>
      </c>
      <c r="L668" s="2" t="s">
        <v>76</v>
      </c>
      <c r="M668" s="155"/>
      <c r="N668" s="155"/>
      <c r="O668" s="2">
        <v>72</v>
      </c>
      <c r="P668" s="6">
        <v>7</v>
      </c>
      <c r="Q668" s="131">
        <f t="shared" si="93"/>
        <v>51.073891625615765</v>
      </c>
      <c r="R668" s="33">
        <f t="shared" si="97"/>
        <v>7</v>
      </c>
      <c r="S668" s="132">
        <f t="shared" si="94"/>
        <v>0.875</v>
      </c>
      <c r="T668" s="132">
        <f t="shared" si="95"/>
        <v>0.875</v>
      </c>
      <c r="V668" s="131" t="str">
        <f t="shared" si="96"/>
        <v/>
      </c>
      <c r="W668" s="17"/>
      <c r="X668" s="7"/>
      <c r="Y668" s="161"/>
      <c r="Z668" s="7"/>
      <c r="AA668" s="117"/>
      <c r="AB668" s="117"/>
      <c r="AC668" s="117"/>
      <c r="CH668">
        <v>4</v>
      </c>
      <c r="CI668">
        <v>79</v>
      </c>
    </row>
    <row r="669" spans="1:87" x14ac:dyDescent="0.3">
      <c r="A669" s="2">
        <v>974</v>
      </c>
      <c r="B669" s="2" t="s">
        <v>84</v>
      </c>
      <c r="C669" s="2" t="s">
        <v>1</v>
      </c>
      <c r="D669" s="2" t="s">
        <v>1121</v>
      </c>
      <c r="E669" s="2">
        <v>3900</v>
      </c>
      <c r="F669" s="2">
        <v>4.3E-3</v>
      </c>
      <c r="G669" s="2"/>
      <c r="H669" s="4">
        <f t="shared" si="92"/>
        <v>1</v>
      </c>
      <c r="I669" s="2" t="s">
        <v>82</v>
      </c>
      <c r="J669" s="2" t="s">
        <v>645</v>
      </c>
      <c r="K669" s="2"/>
      <c r="L669" s="2"/>
      <c r="M669" s="155"/>
      <c r="N669" s="155"/>
      <c r="O669" s="2">
        <v>40</v>
      </c>
      <c r="P669" s="6">
        <v>7</v>
      </c>
      <c r="Q669" s="131">
        <f t="shared" si="93"/>
        <v>42.197802197802197</v>
      </c>
      <c r="R669" s="33">
        <f t="shared" si="97"/>
        <v>6.9999999999999991</v>
      </c>
      <c r="S669" s="132">
        <f t="shared" si="94"/>
        <v>0.87499999999999989</v>
      </c>
      <c r="T669" s="132">
        <f t="shared" si="95"/>
        <v>0.87499999999999989</v>
      </c>
      <c r="V669" s="131" t="str">
        <f t="shared" si="96"/>
        <v/>
      </c>
      <c r="W669" s="17"/>
      <c r="X669" s="7"/>
      <c r="Y669" s="161"/>
      <c r="Z669" s="7"/>
      <c r="AA669" s="117"/>
      <c r="AB669" s="117"/>
      <c r="AC669" s="117"/>
      <c r="CH669">
        <v>3</v>
      </c>
      <c r="CI669">
        <v>75</v>
      </c>
    </row>
    <row r="670" spans="1:87" x14ac:dyDescent="0.3">
      <c r="A670" s="2">
        <v>976</v>
      </c>
      <c r="B670" s="2" t="s">
        <v>0</v>
      </c>
      <c r="C670" s="2" t="s">
        <v>1</v>
      </c>
      <c r="D670" s="2" t="s">
        <v>1122</v>
      </c>
      <c r="E670" s="2">
        <v>19200</v>
      </c>
      <c r="F670" s="2">
        <v>1.4E-3</v>
      </c>
      <c r="G670" s="2">
        <v>5.9999999999999995E-4</v>
      </c>
      <c r="H670" s="4">
        <f t="shared" si="92"/>
        <v>0.57142857142857151</v>
      </c>
      <c r="I670" s="2" t="s">
        <v>98</v>
      </c>
      <c r="J670" s="2" t="s">
        <v>755</v>
      </c>
      <c r="K670" s="2" t="s">
        <v>357</v>
      </c>
      <c r="L670" s="2" t="s">
        <v>6</v>
      </c>
      <c r="M670" s="155"/>
      <c r="N670" s="155"/>
      <c r="O670" s="2">
        <v>180</v>
      </c>
      <c r="P670" s="6">
        <v>2</v>
      </c>
      <c r="Q670" s="131">
        <f t="shared" si="93"/>
        <v>135</v>
      </c>
      <c r="R670" s="33">
        <f t="shared" si="97"/>
        <v>2</v>
      </c>
      <c r="S670" s="132">
        <f t="shared" si="94"/>
        <v>0.25</v>
      </c>
      <c r="T670" s="132" t="str">
        <f t="shared" si="95"/>
        <v/>
      </c>
      <c r="V670" s="131" t="str">
        <f t="shared" si="96"/>
        <v/>
      </c>
      <c r="W670" s="17"/>
      <c r="X670" s="7"/>
      <c r="Y670" s="161"/>
      <c r="Z670" s="7"/>
      <c r="AA670" s="117"/>
      <c r="AB670" s="117"/>
      <c r="AC670" s="117"/>
      <c r="CH670">
        <v>4</v>
      </c>
      <c r="CI670">
        <v>41</v>
      </c>
    </row>
    <row r="671" spans="1:87" x14ac:dyDescent="0.3">
      <c r="A671" s="2">
        <v>977</v>
      </c>
      <c r="B671" s="2" t="s">
        <v>0</v>
      </c>
      <c r="C671" s="2" t="s">
        <v>1</v>
      </c>
      <c r="D671" s="2" t="s">
        <v>1123</v>
      </c>
      <c r="E671" s="2">
        <v>15750</v>
      </c>
      <c r="F671" s="2">
        <v>2.5000000000000001E-3</v>
      </c>
      <c r="G671" s="2">
        <v>1.1000000000000001E-3</v>
      </c>
      <c r="H671" s="4">
        <f t="shared" si="92"/>
        <v>0.55999999999999994</v>
      </c>
      <c r="I671" s="2" t="s">
        <v>98</v>
      </c>
      <c r="J671" s="2" t="s">
        <v>755</v>
      </c>
      <c r="K671" s="2" t="s">
        <v>90</v>
      </c>
      <c r="L671" s="2" t="s">
        <v>6</v>
      </c>
      <c r="M671" s="155"/>
      <c r="N671" s="155"/>
      <c r="O671" s="2">
        <v>35</v>
      </c>
      <c r="P671" s="6">
        <v>2</v>
      </c>
      <c r="Q671" s="131">
        <f t="shared" si="93"/>
        <v>32</v>
      </c>
      <c r="R671" s="33">
        <f t="shared" si="97"/>
        <v>2</v>
      </c>
      <c r="S671" s="132">
        <f t="shared" si="94"/>
        <v>0.25</v>
      </c>
      <c r="T671" s="132" t="str">
        <f t="shared" si="95"/>
        <v/>
      </c>
      <c r="V671" s="131" t="str">
        <f t="shared" si="96"/>
        <v/>
      </c>
      <c r="W671" s="17"/>
      <c r="X671" s="7"/>
      <c r="Y671" s="161"/>
      <c r="Z671" s="7"/>
      <c r="AA671" s="117"/>
      <c r="AB671" s="117"/>
      <c r="AC671" s="117"/>
      <c r="CH671">
        <v>4</v>
      </c>
      <c r="CI671">
        <v>36</v>
      </c>
    </row>
    <row r="672" spans="1:87" x14ac:dyDescent="0.3">
      <c r="A672" s="2">
        <v>978</v>
      </c>
      <c r="B672" s="2" t="s">
        <v>0</v>
      </c>
      <c r="C672" s="2" t="s">
        <v>1</v>
      </c>
      <c r="D672" s="2" t="s">
        <v>1124</v>
      </c>
      <c r="E672" s="2">
        <v>12000</v>
      </c>
      <c r="F672" s="2">
        <v>4.4999999999999997E-3</v>
      </c>
      <c r="G672" s="2">
        <v>2.2000000000000001E-3</v>
      </c>
      <c r="H672" s="4">
        <f t="shared" si="92"/>
        <v>0.51111111111111107</v>
      </c>
      <c r="I672" s="2" t="s">
        <v>98</v>
      </c>
      <c r="J672" s="2" t="s">
        <v>755</v>
      </c>
      <c r="K672" s="2" t="s">
        <v>5</v>
      </c>
      <c r="L672" s="2" t="s">
        <v>6</v>
      </c>
      <c r="M672" s="155"/>
      <c r="N672" s="155"/>
      <c r="O672" s="2">
        <v>25</v>
      </c>
      <c r="P672" s="6">
        <v>3</v>
      </c>
      <c r="Q672" s="131">
        <f t="shared" si="93"/>
        <v>20</v>
      </c>
      <c r="R672" s="33">
        <f t="shared" si="97"/>
        <v>3</v>
      </c>
      <c r="S672" s="132">
        <f t="shared" si="94"/>
        <v>0.375</v>
      </c>
      <c r="T672" s="132">
        <f t="shared" si="95"/>
        <v>0.375</v>
      </c>
      <c r="V672" s="131" t="str">
        <f t="shared" si="96"/>
        <v/>
      </c>
      <c r="W672" s="17"/>
      <c r="X672" s="7"/>
      <c r="Y672" s="161"/>
      <c r="Z672" s="7"/>
      <c r="AA672" s="117"/>
      <c r="AB672" s="117"/>
      <c r="AC672" s="117"/>
      <c r="CH672">
        <v>6</v>
      </c>
      <c r="CI672">
        <v>75</v>
      </c>
    </row>
    <row r="673" spans="1:87" x14ac:dyDescent="0.3">
      <c r="A673" s="2">
        <v>979</v>
      </c>
      <c r="B673" s="2" t="s">
        <v>0</v>
      </c>
      <c r="C673" s="2" t="s">
        <v>1</v>
      </c>
      <c r="D673" s="2" t="s">
        <v>1125</v>
      </c>
      <c r="E673" s="2">
        <v>6700</v>
      </c>
      <c r="F673" s="2">
        <v>8.5000000000000006E-3</v>
      </c>
      <c r="G673" s="2">
        <v>4.4999999999999997E-3</v>
      </c>
      <c r="H673" s="4">
        <f t="shared" si="92"/>
        <v>0.47058823529411775</v>
      </c>
      <c r="I673" s="2" t="s">
        <v>98</v>
      </c>
      <c r="J673" s="2" t="s">
        <v>947</v>
      </c>
      <c r="K673" s="2" t="s">
        <v>5</v>
      </c>
      <c r="L673" s="2" t="s">
        <v>6</v>
      </c>
      <c r="M673" s="155"/>
      <c r="N673" s="155"/>
      <c r="O673" s="2">
        <v>32</v>
      </c>
      <c r="P673" s="6">
        <v>5</v>
      </c>
      <c r="Q673" s="131">
        <f t="shared" si="93"/>
        <v>27.51044776119403</v>
      </c>
      <c r="R673" s="33">
        <f t="shared" si="97"/>
        <v>5</v>
      </c>
      <c r="S673" s="132">
        <f t="shared" si="94"/>
        <v>0.625</v>
      </c>
      <c r="T673" s="132">
        <f t="shared" si="95"/>
        <v>0.625</v>
      </c>
      <c r="V673" s="131" t="str">
        <f t="shared" si="96"/>
        <v/>
      </c>
      <c r="W673" s="17"/>
      <c r="X673" s="7"/>
      <c r="Y673" s="161"/>
      <c r="Z673" s="7"/>
      <c r="AA673" s="117"/>
      <c r="AB673" s="117"/>
      <c r="AC673" s="117"/>
      <c r="CH673">
        <v>3</v>
      </c>
      <c r="CI673">
        <v>62</v>
      </c>
    </row>
    <row r="674" spans="1:87" x14ac:dyDescent="0.3">
      <c r="A674" s="2">
        <v>980</v>
      </c>
      <c r="B674" s="2" t="s">
        <v>0</v>
      </c>
      <c r="C674" s="2" t="s">
        <v>1</v>
      </c>
      <c r="D674" s="2" t="s">
        <v>1126</v>
      </c>
      <c r="E674" s="2">
        <v>2900</v>
      </c>
      <c r="F674" s="2">
        <v>2.3800000000000002E-2</v>
      </c>
      <c r="G674" s="2">
        <v>7.1000000000000004E-3</v>
      </c>
      <c r="H674" s="4">
        <f t="shared" si="92"/>
        <v>0.70168067226890751</v>
      </c>
      <c r="I674" s="2" t="s">
        <v>98</v>
      </c>
      <c r="J674" s="2" t="s">
        <v>935</v>
      </c>
      <c r="K674" s="2" t="s">
        <v>5</v>
      </c>
      <c r="L674" s="2" t="s">
        <v>6</v>
      </c>
      <c r="M674" s="155"/>
      <c r="N674" s="155"/>
      <c r="O674" s="2">
        <v>18</v>
      </c>
      <c r="P674" s="6">
        <v>9</v>
      </c>
      <c r="Q674" s="131">
        <f t="shared" si="93"/>
        <v>19.862068965517242</v>
      </c>
      <c r="R674" s="33">
        <f t="shared" si="97"/>
        <v>9</v>
      </c>
      <c r="S674" s="132">
        <f t="shared" si="94"/>
        <v>1.125</v>
      </c>
      <c r="T674" s="132">
        <f t="shared" si="95"/>
        <v>1.125</v>
      </c>
      <c r="V674" s="131" t="str">
        <f t="shared" si="96"/>
        <v/>
      </c>
      <c r="W674" s="17"/>
      <c r="X674" s="7"/>
      <c r="Y674" s="161"/>
      <c r="Z674" s="7"/>
      <c r="AA674" s="117"/>
      <c r="AB674" s="117"/>
      <c r="AC674" s="117"/>
      <c r="CH674">
        <v>5</v>
      </c>
      <c r="CI674">
        <v>68</v>
      </c>
    </row>
    <row r="675" spans="1:87" x14ac:dyDescent="0.3">
      <c r="A675" s="2">
        <v>981</v>
      </c>
      <c r="B675" s="2" t="s">
        <v>0</v>
      </c>
      <c r="C675" s="2" t="s">
        <v>1</v>
      </c>
      <c r="D675" s="2" t="s">
        <v>1127</v>
      </c>
      <c r="E675" s="2">
        <v>1000</v>
      </c>
      <c r="F675" s="2">
        <v>2.86E-2</v>
      </c>
      <c r="G675" s="2">
        <v>1.26E-2</v>
      </c>
      <c r="H675" s="4">
        <f t="shared" si="92"/>
        <v>0.55944055944055948</v>
      </c>
      <c r="I675" s="2" t="s">
        <v>98</v>
      </c>
      <c r="J675" s="2" t="s">
        <v>935</v>
      </c>
      <c r="K675" s="2" t="s">
        <v>105</v>
      </c>
      <c r="L675" s="2" t="s">
        <v>76</v>
      </c>
      <c r="M675" s="155"/>
      <c r="N675" s="155"/>
      <c r="O675" s="2">
        <v>15</v>
      </c>
      <c r="P675" s="6">
        <v>12</v>
      </c>
      <c r="Q675" s="131">
        <f t="shared" si="93"/>
        <v>36</v>
      </c>
      <c r="R675" s="33">
        <f t="shared" si="97"/>
        <v>12</v>
      </c>
      <c r="S675" s="132">
        <f t="shared" si="94"/>
        <v>1.5</v>
      </c>
      <c r="T675" s="132">
        <f t="shared" si="95"/>
        <v>1.5</v>
      </c>
      <c r="V675" s="131" t="str">
        <f t="shared" si="96"/>
        <v/>
      </c>
      <c r="W675" s="17"/>
      <c r="X675" s="7"/>
      <c r="Y675" s="161"/>
      <c r="Z675" s="7"/>
      <c r="AA675" s="117"/>
      <c r="AB675" s="117"/>
      <c r="AC675" s="117"/>
      <c r="CH675">
        <v>2</v>
      </c>
      <c r="CI675">
        <v>42</v>
      </c>
    </row>
    <row r="676" spans="1:87" x14ac:dyDescent="0.3">
      <c r="A676" s="2">
        <v>983</v>
      </c>
      <c r="B676" s="2" t="s">
        <v>84</v>
      </c>
      <c r="C676" s="2" t="s">
        <v>1</v>
      </c>
      <c r="D676" s="2" t="s">
        <v>1128</v>
      </c>
      <c r="E676" s="2">
        <v>840</v>
      </c>
      <c r="F676" s="2">
        <v>2.07E-2</v>
      </c>
      <c r="G676" s="2">
        <v>1.2500000000000001E-2</v>
      </c>
      <c r="H676" s="4">
        <f t="shared" si="92"/>
        <v>0.39613526570048307</v>
      </c>
      <c r="I676" s="2" t="s">
        <v>82</v>
      </c>
      <c r="J676" s="2" t="s">
        <v>598</v>
      </c>
      <c r="K676" s="2" t="s">
        <v>5</v>
      </c>
      <c r="L676" s="2" t="s">
        <v>6</v>
      </c>
      <c r="M676" s="155"/>
      <c r="N676" s="155"/>
      <c r="O676" s="2">
        <v>14</v>
      </c>
      <c r="P676" s="6">
        <v>9</v>
      </c>
      <c r="Q676" s="131">
        <f t="shared" si="93"/>
        <v>53.333333333333336</v>
      </c>
      <c r="R676" s="33">
        <f t="shared" si="97"/>
        <v>9</v>
      </c>
      <c r="S676" s="132">
        <f t="shared" si="94"/>
        <v>1.125</v>
      </c>
      <c r="T676" s="132">
        <f t="shared" si="95"/>
        <v>1.125</v>
      </c>
      <c r="V676" s="131" t="str">
        <f t="shared" si="96"/>
        <v/>
      </c>
      <c r="W676" s="17"/>
      <c r="X676" s="7"/>
      <c r="Y676" s="161"/>
      <c r="Z676" s="7"/>
      <c r="AA676" s="117"/>
      <c r="AB676" s="117"/>
      <c r="AC676" s="117"/>
      <c r="CH676">
        <v>2</v>
      </c>
      <c r="CI676">
        <v>57</v>
      </c>
    </row>
    <row r="677" spans="1:87" x14ac:dyDescent="0.3">
      <c r="A677" s="2">
        <v>984</v>
      </c>
      <c r="B677" s="2" t="s">
        <v>84</v>
      </c>
      <c r="C677" s="2" t="s">
        <v>1</v>
      </c>
      <c r="D677" s="2" t="s">
        <v>1129</v>
      </c>
      <c r="E677" s="2">
        <v>600</v>
      </c>
      <c r="F677" s="2">
        <v>4.4699999999999997E-2</v>
      </c>
      <c r="G677" s="2">
        <v>2.9899999999999999E-2</v>
      </c>
      <c r="H677" s="4">
        <f t="shared" si="92"/>
        <v>0.3310961968680089</v>
      </c>
      <c r="I677" s="2" t="s">
        <v>82</v>
      </c>
      <c r="J677" s="2" t="s">
        <v>598</v>
      </c>
      <c r="K677" s="2" t="s">
        <v>5</v>
      </c>
      <c r="L677" s="2" t="s">
        <v>6</v>
      </c>
      <c r="M677" s="155"/>
      <c r="N677" s="155"/>
      <c r="O677" s="2">
        <v>4</v>
      </c>
      <c r="P677" s="6">
        <v>9</v>
      </c>
      <c r="Q677" s="131">
        <f t="shared" si="93"/>
        <v>21.333333333333332</v>
      </c>
      <c r="R677" s="33">
        <f t="shared" si="97"/>
        <v>9</v>
      </c>
      <c r="S677" s="132">
        <f t="shared" si="94"/>
        <v>1.125</v>
      </c>
      <c r="T677" s="132">
        <f t="shared" si="95"/>
        <v>1.125</v>
      </c>
      <c r="V677" s="131" t="str">
        <f t="shared" si="96"/>
        <v/>
      </c>
      <c r="W677" s="17"/>
      <c r="X677" s="7"/>
      <c r="Y677" s="161"/>
      <c r="Z677" s="7"/>
      <c r="AA677" s="117"/>
      <c r="AB677" s="117"/>
      <c r="AC677" s="117"/>
      <c r="CH677">
        <v>1</v>
      </c>
      <c r="CI677">
        <v>79</v>
      </c>
    </row>
    <row r="678" spans="1:87" x14ac:dyDescent="0.3">
      <c r="A678" s="2">
        <v>985</v>
      </c>
      <c r="B678" s="2" t="s">
        <v>84</v>
      </c>
      <c r="C678" s="2" t="s">
        <v>1</v>
      </c>
      <c r="D678" s="2" t="s">
        <v>1130</v>
      </c>
      <c r="E678" s="2">
        <v>600</v>
      </c>
      <c r="F678" s="2">
        <v>2.4400000000000002E-2</v>
      </c>
      <c r="G678" s="2"/>
      <c r="H678" s="4">
        <f t="shared" si="92"/>
        <v>1</v>
      </c>
      <c r="I678" s="2" t="s">
        <v>82</v>
      </c>
      <c r="J678" s="2" t="s">
        <v>600</v>
      </c>
      <c r="K678" s="2" t="s">
        <v>5</v>
      </c>
      <c r="L678" s="2" t="s">
        <v>6</v>
      </c>
      <c r="M678" s="155"/>
      <c r="N678" s="155"/>
      <c r="O678" s="2">
        <v>5</v>
      </c>
      <c r="P678" s="6">
        <v>9</v>
      </c>
      <c r="Q678" s="131">
        <f t="shared" si="93"/>
        <v>26.666666666666668</v>
      </c>
      <c r="R678" s="33">
        <f t="shared" si="97"/>
        <v>9</v>
      </c>
      <c r="S678" s="132">
        <f t="shared" si="94"/>
        <v>1.125</v>
      </c>
      <c r="T678" s="132">
        <f t="shared" si="95"/>
        <v>1.125</v>
      </c>
      <c r="V678" s="131" t="str">
        <f t="shared" si="96"/>
        <v/>
      </c>
      <c r="W678" s="17"/>
      <c r="X678" s="7"/>
      <c r="Y678" s="161"/>
      <c r="Z678" s="7"/>
      <c r="AA678" s="117"/>
      <c r="AB678" s="117"/>
      <c r="AC678" s="117"/>
      <c r="CH678">
        <v>4</v>
      </c>
      <c r="CI678">
        <v>34</v>
      </c>
    </row>
    <row r="679" spans="1:87" x14ac:dyDescent="0.3">
      <c r="A679" s="2">
        <v>986</v>
      </c>
      <c r="B679" s="2" t="s">
        <v>84</v>
      </c>
      <c r="C679" s="2" t="s">
        <v>1</v>
      </c>
      <c r="D679" s="2" t="s">
        <v>1131</v>
      </c>
      <c r="E679" s="2">
        <v>4000</v>
      </c>
      <c r="F679" s="2">
        <v>2.3999999999999998E-3</v>
      </c>
      <c r="G679" s="2"/>
      <c r="H679" s="4">
        <f t="shared" si="92"/>
        <v>1</v>
      </c>
      <c r="I679" s="2" t="s">
        <v>82</v>
      </c>
      <c r="J679" s="2" t="s">
        <v>645</v>
      </c>
      <c r="K679" s="2"/>
      <c r="L679" s="2"/>
      <c r="M679" s="155"/>
      <c r="N679" s="155"/>
      <c r="O679" s="2">
        <v>44</v>
      </c>
      <c r="P679" s="6"/>
      <c r="Q679" s="131" t="str">
        <f t="shared" si="93"/>
        <v/>
      </c>
      <c r="R679" s="33" t="str">
        <f t="shared" si="97"/>
        <v/>
      </c>
      <c r="S679" s="132" t="str">
        <f t="shared" si="94"/>
        <v/>
      </c>
      <c r="T679" s="132" t="str">
        <f t="shared" si="95"/>
        <v/>
      </c>
      <c r="V679" s="131" t="str">
        <f t="shared" si="96"/>
        <v/>
      </c>
      <c r="W679" s="17"/>
      <c r="X679" s="7"/>
      <c r="Y679" s="161"/>
      <c r="Z679" s="7"/>
      <c r="AA679" s="117"/>
      <c r="AB679" s="117"/>
      <c r="AC679" s="117"/>
      <c r="CH679">
        <v>2</v>
      </c>
      <c r="CI679">
        <v>53</v>
      </c>
    </row>
    <row r="680" spans="1:87" x14ac:dyDescent="0.3">
      <c r="A680" s="2">
        <v>987</v>
      </c>
      <c r="B680" s="2" t="s">
        <v>84</v>
      </c>
      <c r="C680" s="2" t="s">
        <v>1</v>
      </c>
      <c r="D680" s="2" t="s">
        <v>1132</v>
      </c>
      <c r="E680" s="2">
        <v>2900</v>
      </c>
      <c r="F680" s="2">
        <v>3.0999999999999999E-3</v>
      </c>
      <c r="G680" s="2">
        <v>2.3999999999999998E-3</v>
      </c>
      <c r="H680" s="4">
        <f t="shared" si="92"/>
        <v>0.22580645161290328</v>
      </c>
      <c r="I680" s="2" t="s">
        <v>82</v>
      </c>
      <c r="J680" s="2" t="s">
        <v>645</v>
      </c>
      <c r="K680" s="2" t="s">
        <v>261</v>
      </c>
      <c r="L680" s="2" t="s">
        <v>76</v>
      </c>
      <c r="M680" s="155"/>
      <c r="N680" s="155"/>
      <c r="O680" s="2">
        <v>56</v>
      </c>
      <c r="P680" s="6"/>
      <c r="Q680" s="131" t="str">
        <f t="shared" si="93"/>
        <v/>
      </c>
      <c r="R680" s="33" t="str">
        <f t="shared" si="97"/>
        <v/>
      </c>
      <c r="S680" s="132" t="str">
        <f t="shared" si="94"/>
        <v/>
      </c>
      <c r="T680" s="132" t="str">
        <f t="shared" si="95"/>
        <v/>
      </c>
      <c r="V680" s="131" t="str">
        <f t="shared" si="96"/>
        <v/>
      </c>
      <c r="W680" s="17"/>
      <c r="X680" s="7"/>
      <c r="Y680" s="161"/>
      <c r="Z680" s="7"/>
      <c r="AA680" s="117"/>
      <c r="AB680" s="117"/>
      <c r="AC680" s="117"/>
      <c r="CH680">
        <v>4</v>
      </c>
      <c r="CI680">
        <v>53</v>
      </c>
    </row>
    <row r="681" spans="1:87" x14ac:dyDescent="0.3">
      <c r="A681" s="2">
        <v>988</v>
      </c>
      <c r="B681" s="2" t="s">
        <v>84</v>
      </c>
      <c r="C681" s="2" t="s">
        <v>1</v>
      </c>
      <c r="D681" s="2" t="s">
        <v>1133</v>
      </c>
      <c r="E681" s="2">
        <v>840</v>
      </c>
      <c r="F681" s="2">
        <v>1.09E-2</v>
      </c>
      <c r="G681" s="2">
        <v>7.4999999999999997E-3</v>
      </c>
      <c r="H681" s="4">
        <f t="shared" si="92"/>
        <v>0.31192660550458717</v>
      </c>
      <c r="I681" s="2" t="s">
        <v>82</v>
      </c>
      <c r="J681" s="2" t="s">
        <v>598</v>
      </c>
      <c r="K681" s="2" t="s">
        <v>5</v>
      </c>
      <c r="L681" s="2" t="s">
        <v>6</v>
      </c>
      <c r="M681" s="155"/>
      <c r="N681" s="155"/>
      <c r="O681" s="2">
        <v>15</v>
      </c>
      <c r="P681" s="6">
        <v>10</v>
      </c>
      <c r="Q681" s="131">
        <f t="shared" si="93"/>
        <v>51.428571428571431</v>
      </c>
      <c r="R681" s="33">
        <f t="shared" si="97"/>
        <v>10</v>
      </c>
      <c r="S681" s="132">
        <f t="shared" si="94"/>
        <v>1.25</v>
      </c>
      <c r="T681" s="132">
        <f t="shared" si="95"/>
        <v>1.25</v>
      </c>
      <c r="V681" s="131" t="str">
        <f t="shared" si="96"/>
        <v/>
      </c>
      <c r="W681" s="17"/>
      <c r="X681" s="7"/>
      <c r="Y681" s="161"/>
      <c r="Z681" s="7"/>
      <c r="AA681" s="117"/>
      <c r="AB681" s="117"/>
      <c r="AC681" s="117"/>
      <c r="CH681">
        <v>2</v>
      </c>
      <c r="CI681">
        <v>60</v>
      </c>
    </row>
    <row r="682" spans="1:87" x14ac:dyDescent="0.3">
      <c r="A682" s="2">
        <v>990</v>
      </c>
      <c r="B682" s="2" t="s">
        <v>84</v>
      </c>
      <c r="C682" s="2" t="s">
        <v>1</v>
      </c>
      <c r="D682" s="2" t="s">
        <v>1134</v>
      </c>
      <c r="E682" s="2">
        <v>6000</v>
      </c>
      <c r="F682" s="2">
        <v>2E-3</v>
      </c>
      <c r="G682" s="2"/>
      <c r="H682" s="4">
        <f t="shared" si="92"/>
        <v>1</v>
      </c>
      <c r="I682" s="2" t="s">
        <v>82</v>
      </c>
      <c r="J682" s="2" t="s">
        <v>645</v>
      </c>
      <c r="K682" s="2"/>
      <c r="L682" s="2"/>
      <c r="M682" s="155"/>
      <c r="N682" s="155"/>
      <c r="O682" s="2">
        <v>56</v>
      </c>
      <c r="P682" s="6"/>
      <c r="Q682" s="131" t="str">
        <f t="shared" si="93"/>
        <v/>
      </c>
      <c r="R682" s="33" t="str">
        <f t="shared" si="97"/>
        <v/>
      </c>
      <c r="S682" s="132" t="str">
        <f t="shared" si="94"/>
        <v/>
      </c>
      <c r="T682" s="132" t="str">
        <f t="shared" si="95"/>
        <v/>
      </c>
      <c r="V682" s="131" t="str">
        <f t="shared" si="96"/>
        <v/>
      </c>
      <c r="W682" s="17"/>
      <c r="X682" s="7"/>
      <c r="Y682" s="161"/>
      <c r="Z682" s="7"/>
      <c r="AA682" s="117"/>
      <c r="AB682" s="117"/>
      <c r="AC682" s="117"/>
      <c r="CH682">
        <v>1</v>
      </c>
      <c r="CI682">
        <v>79</v>
      </c>
    </row>
    <row r="683" spans="1:87" x14ac:dyDescent="0.3">
      <c r="A683" s="2">
        <v>991</v>
      </c>
      <c r="B683" s="2" t="s">
        <v>84</v>
      </c>
      <c r="C683" s="2" t="s">
        <v>1</v>
      </c>
      <c r="D683" s="2" t="s">
        <v>1135</v>
      </c>
      <c r="E683" s="2">
        <v>4500</v>
      </c>
      <c r="F683" s="2">
        <v>3.0000000000000001E-3</v>
      </c>
      <c r="G683" s="2"/>
      <c r="H683" s="4">
        <f t="shared" si="92"/>
        <v>1</v>
      </c>
      <c r="I683" s="2" t="s">
        <v>82</v>
      </c>
      <c r="J683" s="2" t="s">
        <v>645</v>
      </c>
      <c r="K683" s="2"/>
      <c r="L683" s="2"/>
      <c r="M683" s="155"/>
      <c r="N683" s="155"/>
      <c r="O683" s="2">
        <v>36</v>
      </c>
      <c r="P683" s="6"/>
      <c r="Q683" s="131" t="str">
        <f t="shared" si="93"/>
        <v/>
      </c>
      <c r="R683" s="33" t="str">
        <f t="shared" si="97"/>
        <v/>
      </c>
      <c r="S683" s="132" t="str">
        <f t="shared" si="94"/>
        <v/>
      </c>
      <c r="T683" s="132" t="str">
        <f t="shared" si="95"/>
        <v/>
      </c>
      <c r="V683" s="131" t="str">
        <f t="shared" si="96"/>
        <v/>
      </c>
      <c r="W683" s="17"/>
      <c r="X683" s="7"/>
      <c r="Y683" s="161"/>
      <c r="Z683" s="7"/>
      <c r="AA683" s="117"/>
      <c r="AB683" s="117"/>
      <c r="AC683" s="117"/>
      <c r="CH683">
        <v>4</v>
      </c>
      <c r="CI683">
        <v>45</v>
      </c>
    </row>
    <row r="684" spans="1:87" x14ac:dyDescent="0.3">
      <c r="A684" s="23">
        <v>994</v>
      </c>
      <c r="B684" s="2" t="s">
        <v>0</v>
      </c>
      <c r="C684" s="2" t="s">
        <v>1</v>
      </c>
      <c r="D684" s="2" t="s">
        <v>1136</v>
      </c>
      <c r="E684" s="2">
        <v>1800</v>
      </c>
      <c r="F684" s="2">
        <v>3.8E-3</v>
      </c>
      <c r="G684" s="2">
        <v>2.3999999999999998E-3</v>
      </c>
      <c r="H684" s="4">
        <f t="shared" si="92"/>
        <v>0.36842105263157898</v>
      </c>
      <c r="I684" s="2" t="s">
        <v>82</v>
      </c>
      <c r="J684" s="2" t="s">
        <v>1091</v>
      </c>
      <c r="K684" s="2" t="s">
        <v>357</v>
      </c>
      <c r="L684" s="2" t="s">
        <v>6</v>
      </c>
      <c r="M684" s="155"/>
      <c r="N684" s="155"/>
      <c r="O684" s="2">
        <v>60</v>
      </c>
      <c r="P684" s="6">
        <v>11</v>
      </c>
      <c r="Q684" s="131">
        <f t="shared" si="93"/>
        <v>87.272727272727266</v>
      </c>
      <c r="R684" s="33">
        <f t="shared" si="97"/>
        <v>11</v>
      </c>
      <c r="S684" s="132">
        <f t="shared" si="94"/>
        <v>1.375</v>
      </c>
      <c r="T684" s="132">
        <f t="shared" si="95"/>
        <v>1.375</v>
      </c>
      <c r="V684" s="131">
        <f t="shared" si="96"/>
        <v>20.083682008368203</v>
      </c>
      <c r="W684" s="17">
        <v>47.8</v>
      </c>
      <c r="X684" s="8">
        <f>60*60*8/W684</f>
        <v>602.51046025104608</v>
      </c>
      <c r="Y684" s="161">
        <v>45600</v>
      </c>
      <c r="Z684" s="7" t="s">
        <v>7</v>
      </c>
      <c r="AA684" s="117"/>
      <c r="AB684" s="117"/>
      <c r="AC684" s="117"/>
      <c r="AD684" s="24">
        <v>45610</v>
      </c>
      <c r="AE684">
        <v>1</v>
      </c>
      <c r="AF684">
        <v>10.3</v>
      </c>
      <c r="AH684">
        <v>4</v>
      </c>
      <c r="AI684">
        <v>0.8</v>
      </c>
      <c r="AJ684">
        <v>0.9</v>
      </c>
      <c r="AK684">
        <v>9.5</v>
      </c>
      <c r="AL684">
        <v>9</v>
      </c>
      <c r="AN684">
        <v>13</v>
      </c>
      <c r="AO684">
        <v>0.3</v>
      </c>
      <c r="AP684">
        <v>0.2</v>
      </c>
      <c r="AS684">
        <v>47.8</v>
      </c>
      <c r="AT684">
        <v>10</v>
      </c>
      <c r="AU684">
        <v>16</v>
      </c>
      <c r="AV684">
        <v>62</v>
      </c>
      <c r="AW684">
        <v>69</v>
      </c>
      <c r="AX684">
        <v>12</v>
      </c>
      <c r="AY684">
        <v>47</v>
      </c>
      <c r="AZ684">
        <v>95</v>
      </c>
      <c r="BA684">
        <v>113</v>
      </c>
      <c r="CH684">
        <v>5</v>
      </c>
      <c r="CI684">
        <v>87</v>
      </c>
    </row>
    <row r="685" spans="1:87" x14ac:dyDescent="0.3">
      <c r="A685" s="23">
        <v>995</v>
      </c>
      <c r="B685" s="2" t="s">
        <v>0</v>
      </c>
      <c r="C685" s="2" t="s">
        <v>1</v>
      </c>
      <c r="D685" s="2" t="s">
        <v>1137</v>
      </c>
      <c r="E685" s="2">
        <v>1800</v>
      </c>
      <c r="F685" s="2">
        <v>3.8E-3</v>
      </c>
      <c r="G685" s="2">
        <v>2.3999999999999998E-3</v>
      </c>
      <c r="H685" s="4">
        <f t="shared" si="92"/>
        <v>0.36842105263157898</v>
      </c>
      <c r="I685" s="2" t="s">
        <v>82</v>
      </c>
      <c r="J685" s="2" t="s">
        <v>1091</v>
      </c>
      <c r="K685" s="2" t="s">
        <v>357</v>
      </c>
      <c r="L685" s="2" t="s">
        <v>6</v>
      </c>
      <c r="M685" s="155"/>
      <c r="N685" s="155"/>
      <c r="O685" s="2">
        <v>60</v>
      </c>
      <c r="P685" s="6">
        <v>11</v>
      </c>
      <c r="Q685" s="131">
        <f t="shared" si="93"/>
        <v>87.272727272727266</v>
      </c>
      <c r="R685" s="33">
        <f t="shared" si="97"/>
        <v>11</v>
      </c>
      <c r="S685" s="132">
        <f t="shared" si="94"/>
        <v>1.375</v>
      </c>
      <c r="T685" s="132">
        <f t="shared" si="95"/>
        <v>1.375</v>
      </c>
      <c r="V685" s="131">
        <f t="shared" si="96"/>
        <v>20.083682008368203</v>
      </c>
      <c r="W685" s="17">
        <v>47.8</v>
      </c>
      <c r="X685" s="8">
        <f>60*60*8/W685</f>
        <v>602.51046025104608</v>
      </c>
      <c r="Y685" s="161">
        <v>45601</v>
      </c>
      <c r="Z685" s="7" t="s">
        <v>7</v>
      </c>
      <c r="AA685" s="117"/>
      <c r="AB685" s="117"/>
      <c r="AC685" s="117"/>
      <c r="AD685" s="24">
        <v>45610</v>
      </c>
      <c r="AE685">
        <v>1</v>
      </c>
      <c r="AF685">
        <v>10.3</v>
      </c>
      <c r="AH685">
        <v>4</v>
      </c>
      <c r="AI685">
        <v>0.8</v>
      </c>
      <c r="AJ685">
        <v>0.9</v>
      </c>
      <c r="AK685">
        <v>9.5</v>
      </c>
      <c r="AL685">
        <v>9</v>
      </c>
      <c r="AN685">
        <v>13</v>
      </c>
      <c r="AO685">
        <v>0.3</v>
      </c>
      <c r="AP685">
        <v>0.2</v>
      </c>
      <c r="AS685">
        <v>47.8</v>
      </c>
      <c r="AT685">
        <v>10</v>
      </c>
      <c r="AU685">
        <v>16</v>
      </c>
      <c r="AV685">
        <v>62</v>
      </c>
      <c r="AW685">
        <v>69</v>
      </c>
      <c r="AX685">
        <v>12</v>
      </c>
      <c r="AY685">
        <v>47</v>
      </c>
      <c r="AZ685">
        <v>95</v>
      </c>
      <c r="BA685">
        <v>113</v>
      </c>
      <c r="CH685">
        <v>5</v>
      </c>
      <c r="CI685">
        <v>50</v>
      </c>
    </row>
    <row r="686" spans="1:87" x14ac:dyDescent="0.3">
      <c r="A686" s="2">
        <v>1006</v>
      </c>
      <c r="B686" s="2" t="s">
        <v>0</v>
      </c>
      <c r="C686" s="2" t="s">
        <v>1</v>
      </c>
      <c r="D686" s="2" t="s">
        <v>1138</v>
      </c>
      <c r="E686" s="2">
        <v>1300</v>
      </c>
      <c r="F686" s="2">
        <v>2.0299999999999999E-2</v>
      </c>
      <c r="G686" s="2">
        <v>1.5100000000000001E-2</v>
      </c>
      <c r="H686" s="4">
        <f t="shared" si="92"/>
        <v>0.2561576354679802</v>
      </c>
      <c r="I686" s="2" t="s">
        <v>98</v>
      </c>
      <c r="J686" s="2" t="s">
        <v>1139</v>
      </c>
      <c r="K686" s="2" t="s">
        <v>222</v>
      </c>
      <c r="L686" s="2" t="s">
        <v>76</v>
      </c>
      <c r="M686" s="155"/>
      <c r="N686" s="155"/>
      <c r="O686" s="2">
        <v>20</v>
      </c>
      <c r="P686" s="6">
        <v>10</v>
      </c>
      <c r="Q686" s="131">
        <f t="shared" si="93"/>
        <v>44.307692307692307</v>
      </c>
      <c r="R686" s="33">
        <f t="shared" si="97"/>
        <v>10</v>
      </c>
      <c r="S686" s="132">
        <f t="shared" si="94"/>
        <v>1.25</v>
      </c>
      <c r="T686" s="132">
        <f t="shared" si="95"/>
        <v>1.25</v>
      </c>
      <c r="V686" s="131" t="str">
        <f t="shared" si="96"/>
        <v/>
      </c>
      <c r="W686" s="17"/>
      <c r="X686" s="7"/>
      <c r="Y686" s="161"/>
      <c r="Z686" s="7"/>
      <c r="AA686" s="117"/>
      <c r="AB686" s="117"/>
      <c r="AC686" s="117"/>
      <c r="CH686">
        <v>5</v>
      </c>
      <c r="CI686">
        <v>87</v>
      </c>
    </row>
    <row r="687" spans="1:87" x14ac:dyDescent="0.3">
      <c r="A687" s="2">
        <v>1018</v>
      </c>
      <c r="B687" s="2" t="s">
        <v>0</v>
      </c>
      <c r="C687" s="2" t="s">
        <v>1</v>
      </c>
      <c r="D687" s="2" t="s">
        <v>1140</v>
      </c>
      <c r="E687" s="2">
        <v>560</v>
      </c>
      <c r="F687" s="2">
        <v>3.3000000000000002E-2</v>
      </c>
      <c r="G687" s="2">
        <v>2.12E-2</v>
      </c>
      <c r="H687" s="4">
        <f t="shared" si="92"/>
        <v>0.3575757575757576</v>
      </c>
      <c r="I687" s="2" t="s">
        <v>98</v>
      </c>
      <c r="J687" s="2" t="s">
        <v>1141</v>
      </c>
      <c r="K687" s="2" t="s">
        <v>413</v>
      </c>
      <c r="L687" s="2" t="s">
        <v>76</v>
      </c>
      <c r="M687" s="155"/>
      <c r="N687" s="155"/>
      <c r="O687" s="2">
        <v>16</v>
      </c>
      <c r="P687" s="6">
        <v>13</v>
      </c>
      <c r="Q687" s="131">
        <f t="shared" si="93"/>
        <v>63.296703296703299</v>
      </c>
      <c r="R687" s="33">
        <f t="shared" si="97"/>
        <v>13</v>
      </c>
      <c r="S687" s="132">
        <f t="shared" si="94"/>
        <v>1.625</v>
      </c>
      <c r="T687" s="132">
        <f t="shared" si="95"/>
        <v>1.625</v>
      </c>
      <c r="V687" s="131" t="str">
        <f t="shared" si="96"/>
        <v/>
      </c>
      <c r="W687" s="17"/>
      <c r="X687" s="7"/>
      <c r="Y687" s="161"/>
      <c r="Z687" s="7"/>
      <c r="AA687" s="117"/>
      <c r="AB687" s="117"/>
      <c r="AC687" s="117"/>
      <c r="CH687">
        <v>4</v>
      </c>
      <c r="CI687">
        <v>53</v>
      </c>
    </row>
    <row r="688" spans="1:87" x14ac:dyDescent="0.3">
      <c r="A688" s="2">
        <v>1020</v>
      </c>
      <c r="B688" s="2" t="s">
        <v>84</v>
      </c>
      <c r="C688" s="2" t="s">
        <v>1</v>
      </c>
      <c r="D688" s="2" t="s">
        <v>1142</v>
      </c>
      <c r="E688" s="2">
        <v>1600</v>
      </c>
      <c r="F688" s="2">
        <v>1.8100000000000002E-2</v>
      </c>
      <c r="G688" s="2">
        <v>1.72E-2</v>
      </c>
      <c r="H688" s="4">
        <f t="shared" si="92"/>
        <v>4.9723756906077429E-2</v>
      </c>
      <c r="I688" s="2" t="s">
        <v>82</v>
      </c>
      <c r="J688" s="2" t="s">
        <v>743</v>
      </c>
      <c r="K688" s="2" t="s">
        <v>105</v>
      </c>
      <c r="L688" s="2" t="s">
        <v>76</v>
      </c>
      <c r="M688" s="155"/>
      <c r="N688" s="155"/>
      <c r="O688" s="2">
        <v>7</v>
      </c>
      <c r="P688" s="6">
        <v>8</v>
      </c>
      <c r="Q688" s="131">
        <f t="shared" si="93"/>
        <v>15.75</v>
      </c>
      <c r="R688" s="33">
        <f t="shared" si="97"/>
        <v>8</v>
      </c>
      <c r="S688" s="132">
        <f t="shared" si="94"/>
        <v>1</v>
      </c>
      <c r="T688" s="132">
        <f t="shared" si="95"/>
        <v>1</v>
      </c>
      <c r="V688" s="131" t="str">
        <f t="shared" si="96"/>
        <v/>
      </c>
      <c r="W688" s="17"/>
      <c r="X688" s="7"/>
      <c r="Y688" s="161"/>
      <c r="Z688" s="7"/>
      <c r="AA688" s="117"/>
      <c r="AB688" s="117"/>
      <c r="AC688" s="117"/>
      <c r="CH688">
        <v>5</v>
      </c>
      <c r="CI688">
        <v>56</v>
      </c>
    </row>
    <row r="689" spans="1:87" x14ac:dyDescent="0.3">
      <c r="A689" s="2">
        <v>1029</v>
      </c>
      <c r="B689" s="2" t="s">
        <v>0</v>
      </c>
      <c r="C689" s="2" t="s">
        <v>1</v>
      </c>
      <c r="D689" s="2" t="s">
        <v>1143</v>
      </c>
      <c r="E689" s="2">
        <v>560</v>
      </c>
      <c r="F689" s="2">
        <v>2.3400000000000001E-2</v>
      </c>
      <c r="G689" s="2">
        <v>1.7999999999999999E-2</v>
      </c>
      <c r="H689" s="4">
        <f t="shared" si="92"/>
        <v>0.23076923076923084</v>
      </c>
      <c r="I689" s="2" t="s">
        <v>82</v>
      </c>
      <c r="J689" s="2" t="s">
        <v>1017</v>
      </c>
      <c r="K689" s="2" t="s">
        <v>413</v>
      </c>
      <c r="L689" s="2" t="s">
        <v>76</v>
      </c>
      <c r="M689" s="155"/>
      <c r="N689" s="155"/>
      <c r="O689" s="2">
        <v>16</v>
      </c>
      <c r="P689" s="6">
        <v>13</v>
      </c>
      <c r="Q689" s="131">
        <f t="shared" si="93"/>
        <v>63.296703296703299</v>
      </c>
      <c r="R689" s="33">
        <f t="shared" si="97"/>
        <v>13</v>
      </c>
      <c r="S689" s="132">
        <f t="shared" si="94"/>
        <v>1.625</v>
      </c>
      <c r="T689" s="132">
        <f t="shared" si="95"/>
        <v>1.625</v>
      </c>
      <c r="V689" s="131" t="str">
        <f t="shared" si="96"/>
        <v/>
      </c>
      <c r="W689" s="17"/>
      <c r="X689" s="7"/>
      <c r="Y689" s="161"/>
      <c r="Z689" s="7"/>
      <c r="AA689" s="117"/>
      <c r="AB689" s="117"/>
      <c r="AC689" s="117"/>
      <c r="CH689">
        <v>6</v>
      </c>
      <c r="CI689">
        <v>63</v>
      </c>
    </row>
    <row r="690" spans="1:87" x14ac:dyDescent="0.3">
      <c r="A690" s="2">
        <v>1034</v>
      </c>
      <c r="B690" s="2" t="s">
        <v>0</v>
      </c>
      <c r="C690" s="2" t="s">
        <v>1</v>
      </c>
      <c r="D690" s="2" t="s">
        <v>1144</v>
      </c>
      <c r="E690" s="2">
        <v>500</v>
      </c>
      <c r="F690" s="2">
        <v>2.4799999999999999E-2</v>
      </c>
      <c r="G690" s="2">
        <v>9.7999999999999997E-3</v>
      </c>
      <c r="H690" s="4">
        <f t="shared" si="92"/>
        <v>0.60483870967741937</v>
      </c>
      <c r="I690" s="2" t="s">
        <v>98</v>
      </c>
      <c r="J690" s="2" t="s">
        <v>755</v>
      </c>
      <c r="K690" s="2" t="s">
        <v>163</v>
      </c>
      <c r="L690" s="2" t="s">
        <v>6</v>
      </c>
      <c r="M690" s="155"/>
      <c r="N690" s="155"/>
      <c r="O690" s="2">
        <v>4</v>
      </c>
      <c r="P690" s="6">
        <v>5</v>
      </c>
      <c r="Q690" s="131">
        <f t="shared" si="93"/>
        <v>46.08</v>
      </c>
      <c r="R690" s="33">
        <f t="shared" si="97"/>
        <v>5</v>
      </c>
      <c r="S690" s="132">
        <f t="shared" si="94"/>
        <v>0.625</v>
      </c>
      <c r="T690" s="132">
        <f t="shared" si="95"/>
        <v>0.625</v>
      </c>
      <c r="V690" s="131" t="str">
        <f t="shared" si="96"/>
        <v/>
      </c>
      <c r="W690" s="17"/>
      <c r="X690" s="7"/>
      <c r="Y690" s="161"/>
      <c r="Z690" s="7"/>
      <c r="AA690" s="117"/>
      <c r="AB690" s="117"/>
      <c r="AC690" s="117"/>
      <c r="CH690">
        <v>2</v>
      </c>
      <c r="CI690">
        <v>75</v>
      </c>
    </row>
    <row r="691" spans="1:87" x14ac:dyDescent="0.3">
      <c r="A691" s="23">
        <v>1036</v>
      </c>
      <c r="B691" s="2" t="s">
        <v>0</v>
      </c>
      <c r="C691" s="2" t="s">
        <v>1</v>
      </c>
      <c r="D691" s="2" t="s">
        <v>1145</v>
      </c>
      <c r="E691" s="2">
        <v>1400</v>
      </c>
      <c r="F691" s="2">
        <v>1.0200000000000001E-2</v>
      </c>
      <c r="G691" s="2">
        <v>6.4999999999999997E-3</v>
      </c>
      <c r="H691" s="4">
        <f t="shared" si="92"/>
        <v>0.36274509803921579</v>
      </c>
      <c r="I691" s="2" t="s">
        <v>82</v>
      </c>
      <c r="J691" s="2" t="s">
        <v>1146</v>
      </c>
      <c r="K691" s="2" t="s">
        <v>95</v>
      </c>
      <c r="L691" s="2" t="s">
        <v>96</v>
      </c>
      <c r="M691" s="155"/>
      <c r="N691" s="155"/>
      <c r="O691" s="2">
        <v>20</v>
      </c>
      <c r="P691" s="6">
        <v>16</v>
      </c>
      <c r="Q691" s="131">
        <f t="shared" si="93"/>
        <v>25.714285714285715</v>
      </c>
      <c r="R691" s="33">
        <f t="shared" si="97"/>
        <v>16</v>
      </c>
      <c r="S691" s="132">
        <f t="shared" si="94"/>
        <v>2</v>
      </c>
      <c r="T691" s="132">
        <f t="shared" si="95"/>
        <v>2</v>
      </c>
      <c r="V691" s="131">
        <f t="shared" si="96"/>
        <v>13.144682793245094</v>
      </c>
      <c r="W691" s="17">
        <v>31.3</v>
      </c>
      <c r="X691" s="8">
        <f>60*60*8/W691</f>
        <v>920.12779552715654</v>
      </c>
      <c r="Y691" s="161">
        <v>45512</v>
      </c>
      <c r="Z691" s="7" t="s">
        <v>7</v>
      </c>
      <c r="AA691" s="117"/>
      <c r="AB691" s="117"/>
      <c r="AC691" s="117"/>
      <c r="AD691" s="24">
        <v>45512</v>
      </c>
      <c r="AE691">
        <v>8</v>
      </c>
      <c r="AF691">
        <v>4.7</v>
      </c>
      <c r="AG691">
        <v>2.6</v>
      </c>
      <c r="AI691">
        <v>0.8</v>
      </c>
      <c r="AJ691">
        <v>1.2</v>
      </c>
      <c r="AK691">
        <v>8</v>
      </c>
      <c r="AL691">
        <v>7.5</v>
      </c>
      <c r="AN691">
        <v>12</v>
      </c>
      <c r="AP691">
        <v>0.5</v>
      </c>
      <c r="AS691">
        <v>35.1</v>
      </c>
      <c r="AT691">
        <v>6.5</v>
      </c>
      <c r="AU691">
        <v>16</v>
      </c>
      <c r="AV691">
        <v>120</v>
      </c>
      <c r="AW691">
        <v>134</v>
      </c>
      <c r="AX691">
        <v>9.5</v>
      </c>
      <c r="AY691">
        <v>23.5</v>
      </c>
      <c r="AZ691">
        <v>101</v>
      </c>
      <c r="BA691">
        <v>112</v>
      </c>
      <c r="BB691">
        <v>400</v>
      </c>
      <c r="CH691">
        <v>4</v>
      </c>
      <c r="CI691">
        <v>87</v>
      </c>
    </row>
    <row r="692" spans="1:87" x14ac:dyDescent="0.3">
      <c r="A692" s="2">
        <v>1038</v>
      </c>
      <c r="B692" s="2" t="s">
        <v>0</v>
      </c>
      <c r="C692" s="2" t="s">
        <v>1</v>
      </c>
      <c r="D692" s="2" t="s">
        <v>1147</v>
      </c>
      <c r="E692" s="2">
        <v>1300</v>
      </c>
      <c r="F692" s="2">
        <v>1.2E-2</v>
      </c>
      <c r="G692" s="2">
        <v>9.9000000000000008E-3</v>
      </c>
      <c r="H692" s="4">
        <f t="shared" si="92"/>
        <v>0.17499999999999996</v>
      </c>
      <c r="I692" s="2" t="s">
        <v>98</v>
      </c>
      <c r="J692" s="2" t="s">
        <v>1148</v>
      </c>
      <c r="K692" s="2" t="s">
        <v>222</v>
      </c>
      <c r="L692" s="2" t="s">
        <v>76</v>
      </c>
      <c r="M692" s="155"/>
      <c r="N692" s="155"/>
      <c r="O692" s="2">
        <v>20</v>
      </c>
      <c r="P692" s="6">
        <v>10</v>
      </c>
      <c r="Q692" s="131">
        <f t="shared" si="93"/>
        <v>44.307692307692307</v>
      </c>
      <c r="R692" s="33">
        <f t="shared" si="97"/>
        <v>10</v>
      </c>
      <c r="S692" s="132">
        <f t="shared" si="94"/>
        <v>1.25</v>
      </c>
      <c r="T692" s="132">
        <f t="shared" si="95"/>
        <v>1.25</v>
      </c>
      <c r="V692" s="131" t="str">
        <f t="shared" si="96"/>
        <v/>
      </c>
      <c r="W692" s="17"/>
      <c r="X692" s="7"/>
      <c r="Y692" s="161"/>
      <c r="Z692" s="7"/>
      <c r="AA692" s="117"/>
      <c r="AB692" s="117"/>
      <c r="AC692" s="117"/>
      <c r="CH692">
        <v>5</v>
      </c>
      <c r="CI692">
        <v>84</v>
      </c>
    </row>
    <row r="693" spans="1:87" x14ac:dyDescent="0.3">
      <c r="A693" s="2">
        <v>1039</v>
      </c>
      <c r="B693" s="2" t="s">
        <v>84</v>
      </c>
      <c r="C693" s="2" t="s">
        <v>1</v>
      </c>
      <c r="D693" s="2" t="s">
        <v>1149</v>
      </c>
      <c r="E693" s="2">
        <v>1920</v>
      </c>
      <c r="F693" s="2">
        <v>1.2500000000000001E-2</v>
      </c>
      <c r="G693" s="2">
        <v>9.9000000000000008E-3</v>
      </c>
      <c r="H693" s="4">
        <f t="shared" si="92"/>
        <v>0.20799999999999999</v>
      </c>
      <c r="I693" s="2" t="s">
        <v>82</v>
      </c>
      <c r="J693" s="2" t="s">
        <v>743</v>
      </c>
      <c r="K693" s="2" t="s">
        <v>105</v>
      </c>
      <c r="L693" s="2" t="s">
        <v>76</v>
      </c>
      <c r="M693" s="155"/>
      <c r="N693" s="155"/>
      <c r="O693" s="2">
        <v>15</v>
      </c>
      <c r="P693" s="6"/>
      <c r="Q693" s="131" t="str">
        <f t="shared" si="93"/>
        <v/>
      </c>
      <c r="R693" s="33" t="str">
        <f t="shared" si="97"/>
        <v/>
      </c>
      <c r="S693" s="132" t="str">
        <f t="shared" si="94"/>
        <v/>
      </c>
      <c r="T693" s="132" t="str">
        <f t="shared" si="95"/>
        <v/>
      </c>
      <c r="V693" s="131" t="str">
        <f t="shared" si="96"/>
        <v/>
      </c>
      <c r="W693" s="17"/>
      <c r="X693" s="7"/>
      <c r="Y693" s="161"/>
      <c r="Z693" s="7"/>
      <c r="AA693" s="117"/>
      <c r="AB693" s="117"/>
      <c r="AC693" s="117"/>
      <c r="CH693">
        <v>4</v>
      </c>
      <c r="CI693">
        <v>88</v>
      </c>
    </row>
    <row r="694" spans="1:87" x14ac:dyDescent="0.3">
      <c r="A694" s="2">
        <v>1040</v>
      </c>
      <c r="B694" s="2" t="s">
        <v>84</v>
      </c>
      <c r="C694" s="2" t="s">
        <v>1</v>
      </c>
      <c r="D694" s="2" t="s">
        <v>1150</v>
      </c>
      <c r="E694" s="2">
        <v>1440</v>
      </c>
      <c r="F694" s="2">
        <v>1.8499999999999999E-2</v>
      </c>
      <c r="G694" s="2">
        <v>1.52E-2</v>
      </c>
      <c r="H694" s="4">
        <f t="shared" si="92"/>
        <v>0.17837837837837833</v>
      </c>
      <c r="I694" s="2" t="s">
        <v>82</v>
      </c>
      <c r="J694" s="2" t="s">
        <v>950</v>
      </c>
      <c r="K694" s="2" t="s">
        <v>222</v>
      </c>
      <c r="L694" s="2" t="s">
        <v>76</v>
      </c>
      <c r="M694" s="155"/>
      <c r="N694" s="155"/>
      <c r="O694" s="2">
        <v>15</v>
      </c>
      <c r="P694" s="6"/>
      <c r="Q694" s="131" t="str">
        <f t="shared" si="93"/>
        <v/>
      </c>
      <c r="R694" s="33" t="str">
        <f t="shared" si="97"/>
        <v/>
      </c>
      <c r="S694" s="132" t="str">
        <f t="shared" si="94"/>
        <v/>
      </c>
      <c r="T694" s="132" t="str">
        <f t="shared" si="95"/>
        <v/>
      </c>
      <c r="V694" s="131" t="str">
        <f t="shared" si="96"/>
        <v/>
      </c>
      <c r="W694" s="17"/>
      <c r="X694" s="7"/>
      <c r="Y694" s="161"/>
      <c r="Z694" s="7"/>
      <c r="AA694" s="117"/>
      <c r="AB694" s="117"/>
      <c r="AC694" s="117"/>
      <c r="CH694">
        <v>1</v>
      </c>
      <c r="CI694">
        <v>36</v>
      </c>
    </row>
    <row r="695" spans="1:87" x14ac:dyDescent="0.3">
      <c r="A695" s="2">
        <v>1041</v>
      </c>
      <c r="B695" s="2" t="s">
        <v>84</v>
      </c>
      <c r="C695" s="2" t="s">
        <v>1</v>
      </c>
      <c r="D695" s="2" t="s">
        <v>1151</v>
      </c>
      <c r="E695" s="2">
        <v>1150</v>
      </c>
      <c r="F695" s="2">
        <v>2.7E-2</v>
      </c>
      <c r="G695" s="2">
        <v>1.9599999999999999E-2</v>
      </c>
      <c r="H695" s="4">
        <f t="shared" ref="H695:H758" si="98">(F695-G695)/F695</f>
        <v>0.27407407407407408</v>
      </c>
      <c r="I695" s="2" t="s">
        <v>82</v>
      </c>
      <c r="J695" s="2" t="s">
        <v>598</v>
      </c>
      <c r="K695" s="2" t="s">
        <v>230</v>
      </c>
      <c r="L695" s="2" t="s">
        <v>76</v>
      </c>
      <c r="M695" s="155"/>
      <c r="N695" s="155"/>
      <c r="O695" s="2">
        <v>7</v>
      </c>
      <c r="P695" s="6"/>
      <c r="Q695" s="131" t="str">
        <f t="shared" ref="Q695:Q758" si="99">IFERROR(60*60*8*O695/E695/P695,"")</f>
        <v/>
      </c>
      <c r="R695" s="33" t="str">
        <f t="shared" si="97"/>
        <v/>
      </c>
      <c r="S695" s="132" t="str">
        <f t="shared" ref="S695:S758" si="100">IFERROR(R695/8,"")</f>
        <v/>
      </c>
      <c r="T695" s="132" t="str">
        <f t="shared" ref="T695:T723" si="101">IFERROR(IF(R695&gt;2,S695,""),"")</f>
        <v/>
      </c>
      <c r="V695" s="131" t="str">
        <f t="shared" ref="V695:V758" si="102">IF(X695&gt;10,X695*O695/E695,"")</f>
        <v/>
      </c>
      <c r="W695" s="17"/>
      <c r="X695" s="7"/>
      <c r="Y695" s="161"/>
      <c r="Z695" s="7"/>
      <c r="AA695" s="117"/>
      <c r="AB695" s="117"/>
      <c r="AC695" s="117"/>
      <c r="CH695">
        <v>3</v>
      </c>
      <c r="CI695">
        <v>58</v>
      </c>
    </row>
    <row r="696" spans="1:87" x14ac:dyDescent="0.3">
      <c r="A696" s="2">
        <v>1042</v>
      </c>
      <c r="B696" s="2" t="s">
        <v>0</v>
      </c>
      <c r="C696" s="2" t="s">
        <v>1</v>
      </c>
      <c r="D696" s="2" t="s">
        <v>1152</v>
      </c>
      <c r="E696" s="2">
        <v>1300</v>
      </c>
      <c r="F696" s="2">
        <v>1.6E-2</v>
      </c>
      <c r="G696" s="2"/>
      <c r="H696" s="4">
        <f t="shared" si="98"/>
        <v>1</v>
      </c>
      <c r="I696" s="2" t="s">
        <v>98</v>
      </c>
      <c r="J696" s="2" t="s">
        <v>1066</v>
      </c>
      <c r="K696" s="2" t="s">
        <v>222</v>
      </c>
      <c r="L696" s="2" t="s">
        <v>76</v>
      </c>
      <c r="M696" s="155"/>
      <c r="N696" s="155"/>
      <c r="O696" s="2">
        <v>20</v>
      </c>
      <c r="P696" s="6">
        <v>10</v>
      </c>
      <c r="Q696" s="131">
        <f t="shared" si="99"/>
        <v>44.307692307692307</v>
      </c>
      <c r="R696" s="33">
        <f t="shared" si="97"/>
        <v>10</v>
      </c>
      <c r="S696" s="132">
        <f t="shared" si="100"/>
        <v>1.25</v>
      </c>
      <c r="T696" s="132">
        <f t="shared" si="101"/>
        <v>1.25</v>
      </c>
      <c r="V696" s="131" t="str">
        <f t="shared" si="102"/>
        <v/>
      </c>
      <c r="W696" s="17"/>
      <c r="X696" s="7"/>
      <c r="Y696" s="161"/>
      <c r="Z696" s="7"/>
      <c r="AA696" s="117"/>
      <c r="AB696" s="117"/>
      <c r="AC696" s="117"/>
      <c r="CH696">
        <v>6</v>
      </c>
      <c r="CI696">
        <v>82</v>
      </c>
    </row>
    <row r="697" spans="1:87" x14ac:dyDescent="0.3">
      <c r="A697" s="2">
        <v>1043</v>
      </c>
      <c r="B697" s="2" t="s">
        <v>0</v>
      </c>
      <c r="C697" s="2" t="s">
        <v>1</v>
      </c>
      <c r="D697" s="2" t="s">
        <v>1153</v>
      </c>
      <c r="E697" s="2">
        <v>500</v>
      </c>
      <c r="F697" s="2">
        <v>3.0700000000000002E-2</v>
      </c>
      <c r="G697" s="2">
        <v>1.6500000000000001E-2</v>
      </c>
      <c r="H697" s="4">
        <f t="shared" si="98"/>
        <v>0.46254071661237783</v>
      </c>
      <c r="I697" s="2" t="s">
        <v>98</v>
      </c>
      <c r="J697" s="2" t="s">
        <v>938</v>
      </c>
      <c r="K697" s="2" t="s">
        <v>129</v>
      </c>
      <c r="L697" s="2" t="s">
        <v>96</v>
      </c>
      <c r="M697" s="155"/>
      <c r="N697" s="155"/>
      <c r="O697" s="2">
        <v>12</v>
      </c>
      <c r="P697" s="6">
        <v>20</v>
      </c>
      <c r="Q697" s="131">
        <f t="shared" si="99"/>
        <v>34.56</v>
      </c>
      <c r="R697" s="33">
        <f t="shared" si="97"/>
        <v>20</v>
      </c>
      <c r="S697" s="132">
        <f t="shared" si="100"/>
        <v>2.5</v>
      </c>
      <c r="T697" s="132">
        <f t="shared" si="101"/>
        <v>2.5</v>
      </c>
      <c r="V697" s="131" t="str">
        <f t="shared" si="102"/>
        <v/>
      </c>
      <c r="W697" s="17"/>
      <c r="X697" s="7"/>
      <c r="Y697" s="161"/>
      <c r="Z697" s="7"/>
      <c r="AA697" s="117"/>
      <c r="AB697" s="117"/>
      <c r="AC697" s="117"/>
      <c r="CH697">
        <v>6</v>
      </c>
      <c r="CI697">
        <v>52</v>
      </c>
    </row>
    <row r="698" spans="1:87" x14ac:dyDescent="0.3">
      <c r="A698" s="2">
        <v>1047</v>
      </c>
      <c r="B698" s="2" t="s">
        <v>84</v>
      </c>
      <c r="C698" s="2" t="s">
        <v>1</v>
      </c>
      <c r="D698" s="2" t="s">
        <v>1154</v>
      </c>
      <c r="E698" s="2">
        <v>600</v>
      </c>
      <c r="F698" s="2">
        <v>3.1800000000000002E-2</v>
      </c>
      <c r="G698" s="2">
        <v>2.01E-2</v>
      </c>
      <c r="H698" s="4">
        <f t="shared" si="98"/>
        <v>0.36792452830188682</v>
      </c>
      <c r="I698" s="2" t="s">
        <v>82</v>
      </c>
      <c r="J698" s="2" t="s">
        <v>598</v>
      </c>
      <c r="K698" s="2" t="s">
        <v>105</v>
      </c>
      <c r="L698" s="2" t="s">
        <v>76</v>
      </c>
      <c r="M698" s="155"/>
      <c r="N698" s="155"/>
      <c r="O698" s="2">
        <v>5</v>
      </c>
      <c r="P698" s="6"/>
      <c r="Q698" s="131" t="str">
        <f t="shared" si="99"/>
        <v/>
      </c>
      <c r="R698" s="33" t="str">
        <f t="shared" si="97"/>
        <v/>
      </c>
      <c r="S698" s="132" t="str">
        <f t="shared" si="100"/>
        <v/>
      </c>
      <c r="T698" s="132" t="str">
        <f t="shared" si="101"/>
        <v/>
      </c>
      <c r="V698" s="131" t="str">
        <f t="shared" si="102"/>
        <v/>
      </c>
      <c r="W698" s="17"/>
      <c r="X698" s="7"/>
      <c r="Y698" s="161"/>
      <c r="Z698" s="7"/>
      <c r="AA698" s="117"/>
      <c r="AB698" s="117"/>
      <c r="AC698" s="117"/>
      <c r="CH698">
        <v>1</v>
      </c>
      <c r="CI698">
        <v>71</v>
      </c>
    </row>
    <row r="699" spans="1:87" x14ac:dyDescent="0.3">
      <c r="A699" s="2">
        <v>1048</v>
      </c>
      <c r="B699" s="2" t="s">
        <v>84</v>
      </c>
      <c r="C699" s="2" t="s">
        <v>1</v>
      </c>
      <c r="D699" s="2" t="s">
        <v>1155</v>
      </c>
      <c r="E699" s="2">
        <v>480</v>
      </c>
      <c r="F699" s="2">
        <v>4.3099999999999999E-2</v>
      </c>
      <c r="G699" s="2">
        <v>2.7799999999999998E-2</v>
      </c>
      <c r="H699" s="4">
        <f t="shared" si="98"/>
        <v>0.35498839907192581</v>
      </c>
      <c r="I699" s="2" t="s">
        <v>82</v>
      </c>
      <c r="J699" s="2" t="s">
        <v>795</v>
      </c>
      <c r="K699" s="2" t="s">
        <v>230</v>
      </c>
      <c r="L699" s="2" t="s">
        <v>76</v>
      </c>
      <c r="M699" s="155"/>
      <c r="N699" s="155"/>
      <c r="O699" s="2">
        <v>5</v>
      </c>
      <c r="P699" s="6"/>
      <c r="Q699" s="131" t="str">
        <f t="shared" si="99"/>
        <v/>
      </c>
      <c r="R699" s="33" t="str">
        <f t="shared" si="97"/>
        <v/>
      </c>
      <c r="S699" s="132" t="str">
        <f t="shared" si="100"/>
        <v/>
      </c>
      <c r="T699" s="132" t="str">
        <f t="shared" si="101"/>
        <v/>
      </c>
      <c r="V699" s="131" t="str">
        <f t="shared" si="102"/>
        <v/>
      </c>
      <c r="W699" s="17"/>
      <c r="X699" s="7"/>
      <c r="Y699" s="161"/>
      <c r="Z699" s="7"/>
      <c r="AA699" s="117"/>
      <c r="AB699" s="117"/>
      <c r="AC699" s="117"/>
      <c r="CH699">
        <v>5</v>
      </c>
      <c r="CI699">
        <v>79</v>
      </c>
    </row>
    <row r="700" spans="1:87" x14ac:dyDescent="0.3">
      <c r="A700" s="2">
        <v>1050</v>
      </c>
      <c r="B700" s="2" t="s">
        <v>0</v>
      </c>
      <c r="C700" s="2" t="s">
        <v>1</v>
      </c>
      <c r="D700" s="2" t="s">
        <v>1156</v>
      </c>
      <c r="E700" s="2">
        <v>700</v>
      </c>
      <c r="F700" s="2">
        <v>2.3599999999999999E-2</v>
      </c>
      <c r="G700" s="2">
        <v>1.7999999999999999E-2</v>
      </c>
      <c r="H700" s="4">
        <f t="shared" si="98"/>
        <v>0.23728813559322037</v>
      </c>
      <c r="I700" s="2" t="s">
        <v>73</v>
      </c>
      <c r="J700" s="2" t="s">
        <v>1157</v>
      </c>
      <c r="K700" s="2" t="s">
        <v>105</v>
      </c>
      <c r="L700" s="2" t="s">
        <v>76</v>
      </c>
      <c r="M700" s="155"/>
      <c r="N700" s="155"/>
      <c r="O700" s="2">
        <v>24</v>
      </c>
      <c r="P700" s="6">
        <v>14</v>
      </c>
      <c r="Q700" s="131">
        <f t="shared" si="99"/>
        <v>70.530612244897966</v>
      </c>
      <c r="R700" s="33">
        <f t="shared" si="97"/>
        <v>13.999999999999998</v>
      </c>
      <c r="S700" s="132">
        <f t="shared" si="100"/>
        <v>1.7499999999999998</v>
      </c>
      <c r="T700" s="132">
        <f t="shared" si="101"/>
        <v>1.7499999999999998</v>
      </c>
      <c r="V700" s="131" t="str">
        <f t="shared" si="102"/>
        <v/>
      </c>
      <c r="W700" s="17"/>
      <c r="X700" s="7"/>
      <c r="Y700" s="161"/>
      <c r="Z700" s="7"/>
      <c r="AA700" s="117"/>
      <c r="AB700" s="117"/>
      <c r="AC700" s="117"/>
      <c r="CH700">
        <v>6</v>
      </c>
      <c r="CI700">
        <v>44</v>
      </c>
    </row>
    <row r="701" spans="1:87" x14ac:dyDescent="0.3">
      <c r="A701" s="2">
        <v>1054</v>
      </c>
      <c r="B701" s="2" t="s">
        <v>0</v>
      </c>
      <c r="C701" s="2" t="s">
        <v>1</v>
      </c>
      <c r="D701" s="2" t="s">
        <v>1158</v>
      </c>
      <c r="E701" s="2">
        <v>450</v>
      </c>
      <c r="F701" s="2">
        <v>1.6199999999999999E-2</v>
      </c>
      <c r="G701" s="2">
        <v>1.2200000000000001E-2</v>
      </c>
      <c r="H701" s="4">
        <f t="shared" si="98"/>
        <v>0.24691358024691348</v>
      </c>
      <c r="I701" s="2" t="s">
        <v>98</v>
      </c>
      <c r="J701" s="2" t="s">
        <v>1159</v>
      </c>
      <c r="K701" s="2" t="s">
        <v>222</v>
      </c>
      <c r="L701" s="2" t="s">
        <v>76</v>
      </c>
      <c r="M701" s="155"/>
      <c r="N701" s="155"/>
      <c r="O701" s="2">
        <v>15</v>
      </c>
      <c r="P701" s="6">
        <v>14</v>
      </c>
      <c r="Q701" s="131">
        <f t="shared" si="99"/>
        <v>68.571428571428569</v>
      </c>
      <c r="R701" s="33">
        <f t="shared" ref="R701:R764" si="103">IFERROR(60*60*8*O701/E701/Q701,"")</f>
        <v>14</v>
      </c>
      <c r="S701" s="132">
        <f t="shared" si="100"/>
        <v>1.75</v>
      </c>
      <c r="T701" s="132">
        <f t="shared" si="101"/>
        <v>1.75</v>
      </c>
      <c r="V701" s="131" t="str">
        <f t="shared" si="102"/>
        <v/>
      </c>
      <c r="W701" s="17"/>
      <c r="X701" s="7"/>
      <c r="Y701" s="161"/>
      <c r="Z701" s="7"/>
      <c r="AA701" s="117"/>
      <c r="AB701" s="117"/>
      <c r="AC701" s="117"/>
      <c r="CH701">
        <v>5</v>
      </c>
      <c r="CI701">
        <v>68</v>
      </c>
    </row>
    <row r="702" spans="1:87" x14ac:dyDescent="0.3">
      <c r="A702" s="2">
        <v>1055</v>
      </c>
      <c r="B702" s="2" t="s">
        <v>0</v>
      </c>
      <c r="C702" s="2" t="s">
        <v>1</v>
      </c>
      <c r="D702" s="2" t="s">
        <v>1160</v>
      </c>
      <c r="E702" s="2">
        <v>1000</v>
      </c>
      <c r="F702" s="2">
        <v>9.7000000000000003E-3</v>
      </c>
      <c r="G702" s="2">
        <v>6.7000000000000002E-3</v>
      </c>
      <c r="H702" s="4">
        <f t="shared" si="98"/>
        <v>0.30927835051546393</v>
      </c>
      <c r="I702" s="2" t="s">
        <v>98</v>
      </c>
      <c r="J702" s="2" t="s">
        <v>499</v>
      </c>
      <c r="K702" s="2" t="s">
        <v>95</v>
      </c>
      <c r="L702" s="2" t="s">
        <v>96</v>
      </c>
      <c r="M702" s="155"/>
      <c r="N702" s="155"/>
      <c r="O702" s="2">
        <v>24</v>
      </c>
      <c r="P702" s="6">
        <v>13</v>
      </c>
      <c r="Q702" s="131">
        <f t="shared" si="99"/>
        <v>53.169230769230772</v>
      </c>
      <c r="R702" s="33">
        <f t="shared" si="103"/>
        <v>13</v>
      </c>
      <c r="S702" s="132">
        <f t="shared" si="100"/>
        <v>1.625</v>
      </c>
      <c r="T702" s="132">
        <f t="shared" si="101"/>
        <v>1.625</v>
      </c>
      <c r="V702" s="131" t="str">
        <f t="shared" si="102"/>
        <v/>
      </c>
      <c r="W702" s="17"/>
      <c r="X702" s="7"/>
      <c r="Y702" s="161"/>
      <c r="Z702" s="7"/>
      <c r="AA702" s="117"/>
      <c r="AB702" s="117"/>
      <c r="AC702" s="117"/>
      <c r="CH702">
        <v>5</v>
      </c>
      <c r="CI702">
        <v>85</v>
      </c>
    </row>
    <row r="703" spans="1:87" x14ac:dyDescent="0.3">
      <c r="A703" s="23">
        <v>1058</v>
      </c>
      <c r="B703" s="2" t="s">
        <v>0</v>
      </c>
      <c r="C703" s="2" t="s">
        <v>1</v>
      </c>
      <c r="D703" s="2" t="s">
        <v>1161</v>
      </c>
      <c r="E703" s="2">
        <v>1000</v>
      </c>
      <c r="F703" s="2">
        <v>1.6799999999999999E-2</v>
      </c>
      <c r="G703" s="2">
        <v>1.29E-2</v>
      </c>
      <c r="H703" s="4">
        <f t="shared" si="98"/>
        <v>0.2321428571428571</v>
      </c>
      <c r="I703" s="2" t="s">
        <v>82</v>
      </c>
      <c r="J703" s="2" t="s">
        <v>579</v>
      </c>
      <c r="K703" s="2" t="s">
        <v>5</v>
      </c>
      <c r="L703" s="2" t="s">
        <v>6</v>
      </c>
      <c r="M703" s="155">
        <v>4</v>
      </c>
      <c r="N703" s="155">
        <v>250</v>
      </c>
      <c r="O703" s="2">
        <v>16</v>
      </c>
      <c r="P703" s="6">
        <v>9.6</v>
      </c>
      <c r="Q703" s="131">
        <f>IFERROR(60*60*8*O703/E703/P703,"")</f>
        <v>48</v>
      </c>
      <c r="R703" s="33">
        <f>IFERROR(60*60*8*O703/E703/Q703,"")</f>
        <v>9.6</v>
      </c>
      <c r="S703" s="132">
        <f>IFERROR(R703/8,"")</f>
        <v>1.2</v>
      </c>
      <c r="T703" s="132">
        <f t="shared" si="101"/>
        <v>1.2</v>
      </c>
      <c r="V703" s="131">
        <f t="shared" si="102"/>
        <v>7.7315436241610733</v>
      </c>
      <c r="W703" s="17">
        <v>59.6</v>
      </c>
      <c r="X703" s="8">
        <f>60*60*8/W703</f>
        <v>483.22147651006708</v>
      </c>
      <c r="Y703" s="161">
        <v>45600</v>
      </c>
      <c r="Z703" s="7" t="s">
        <v>7</v>
      </c>
      <c r="AA703" s="117"/>
      <c r="AB703" s="117"/>
      <c r="AC703" s="117"/>
      <c r="CH703">
        <v>5</v>
      </c>
      <c r="CI703">
        <v>63</v>
      </c>
    </row>
    <row r="704" spans="1:87" x14ac:dyDescent="0.3">
      <c r="A704" s="2">
        <v>1059</v>
      </c>
      <c r="B704" s="2" t="s">
        <v>0</v>
      </c>
      <c r="C704" s="2" t="s">
        <v>1</v>
      </c>
      <c r="D704" s="2" t="s">
        <v>1162</v>
      </c>
      <c r="E704" s="2">
        <v>1000</v>
      </c>
      <c r="F704" s="2">
        <v>1.6199999999999999E-2</v>
      </c>
      <c r="G704" s="2">
        <v>1.2999999999999999E-2</v>
      </c>
      <c r="H704" s="4">
        <f t="shared" si="98"/>
        <v>0.19753086419753085</v>
      </c>
      <c r="I704" s="2" t="s">
        <v>98</v>
      </c>
      <c r="J704" s="2" t="s">
        <v>1163</v>
      </c>
      <c r="K704" s="2" t="s">
        <v>5</v>
      </c>
      <c r="L704" s="2" t="s">
        <v>6</v>
      </c>
      <c r="M704" s="155"/>
      <c r="N704" s="155"/>
      <c r="O704" s="2">
        <v>20</v>
      </c>
      <c r="P704" s="6">
        <v>18</v>
      </c>
      <c r="Q704" s="131">
        <f t="shared" si="99"/>
        <v>32</v>
      </c>
      <c r="R704" s="33">
        <f t="shared" si="103"/>
        <v>18</v>
      </c>
      <c r="S704" s="132">
        <f t="shared" si="100"/>
        <v>2.25</v>
      </c>
      <c r="T704" s="132">
        <f t="shared" si="101"/>
        <v>2.25</v>
      </c>
      <c r="V704" s="131" t="str">
        <f t="shared" si="102"/>
        <v/>
      </c>
      <c r="W704" s="17"/>
      <c r="X704" s="7"/>
      <c r="Y704" s="161"/>
      <c r="Z704" s="7"/>
      <c r="AA704" s="117"/>
      <c r="AB704" s="117"/>
      <c r="AC704" s="117"/>
      <c r="CH704">
        <v>3</v>
      </c>
      <c r="CI704">
        <v>31</v>
      </c>
    </row>
    <row r="705" spans="1:87" x14ac:dyDescent="0.3">
      <c r="A705" s="2">
        <v>1060</v>
      </c>
      <c r="B705" s="2" t="s">
        <v>0</v>
      </c>
      <c r="C705" s="2" t="s">
        <v>1</v>
      </c>
      <c r="D705" s="2" t="s">
        <v>1164</v>
      </c>
      <c r="E705" s="2">
        <v>400</v>
      </c>
      <c r="F705" s="2">
        <v>3.7900000000000003E-2</v>
      </c>
      <c r="G705" s="2">
        <v>2.9000000000000001E-2</v>
      </c>
      <c r="H705" s="4">
        <f t="shared" si="98"/>
        <v>0.23482849604221639</v>
      </c>
      <c r="I705" s="2" t="s">
        <v>73</v>
      </c>
      <c r="J705" s="2" t="s">
        <v>1165</v>
      </c>
      <c r="K705" s="2" t="s">
        <v>105</v>
      </c>
      <c r="L705" s="2" t="s">
        <v>76</v>
      </c>
      <c r="M705" s="155"/>
      <c r="N705" s="155"/>
      <c r="O705" s="2">
        <v>12</v>
      </c>
      <c r="P705" s="6">
        <v>23</v>
      </c>
      <c r="Q705" s="131">
        <f t="shared" si="99"/>
        <v>37.565217391304351</v>
      </c>
      <c r="R705" s="33">
        <f t="shared" si="103"/>
        <v>22.999999999999996</v>
      </c>
      <c r="S705" s="132">
        <f t="shared" si="100"/>
        <v>2.8749999999999996</v>
      </c>
      <c r="T705" s="132">
        <f t="shared" si="101"/>
        <v>2.8749999999999996</v>
      </c>
      <c r="V705" s="131" t="str">
        <f t="shared" si="102"/>
        <v/>
      </c>
      <c r="W705" s="17"/>
      <c r="X705" s="7"/>
      <c r="Y705" s="161"/>
      <c r="Z705" s="7"/>
      <c r="AA705" s="117"/>
      <c r="AB705" s="117"/>
      <c r="AC705" s="117"/>
      <c r="CH705">
        <v>3</v>
      </c>
      <c r="CI705">
        <v>63</v>
      </c>
    </row>
    <row r="706" spans="1:87" x14ac:dyDescent="0.3">
      <c r="A706" s="2">
        <v>1061</v>
      </c>
      <c r="B706" s="2" t="s">
        <v>0</v>
      </c>
      <c r="C706" s="2" t="s">
        <v>1</v>
      </c>
      <c r="D706" s="2" t="s">
        <v>1166</v>
      </c>
      <c r="E706" s="2">
        <v>1000</v>
      </c>
      <c r="F706" s="2">
        <v>1.29E-2</v>
      </c>
      <c r="G706" s="2"/>
      <c r="H706" s="4">
        <f t="shared" si="98"/>
        <v>1</v>
      </c>
      <c r="I706" s="2" t="s">
        <v>98</v>
      </c>
      <c r="J706" s="2" t="s">
        <v>229</v>
      </c>
      <c r="K706" s="2" t="s">
        <v>5</v>
      </c>
      <c r="L706" s="2" t="s">
        <v>6</v>
      </c>
      <c r="M706" s="155"/>
      <c r="N706" s="155"/>
      <c r="O706" s="2">
        <v>20</v>
      </c>
      <c r="P706" s="6">
        <v>18</v>
      </c>
      <c r="Q706" s="131">
        <f t="shared" si="99"/>
        <v>32</v>
      </c>
      <c r="R706" s="33">
        <f t="shared" si="103"/>
        <v>18</v>
      </c>
      <c r="S706" s="132">
        <f t="shared" si="100"/>
        <v>2.25</v>
      </c>
      <c r="T706" s="132">
        <f t="shared" si="101"/>
        <v>2.25</v>
      </c>
      <c r="V706" s="131" t="str">
        <f t="shared" si="102"/>
        <v/>
      </c>
      <c r="W706" s="17"/>
      <c r="X706" s="7"/>
      <c r="Y706" s="161"/>
      <c r="Z706" s="7"/>
      <c r="AA706" s="117"/>
      <c r="AB706" s="117"/>
      <c r="AC706" s="117"/>
      <c r="CH706">
        <v>5</v>
      </c>
      <c r="CI706">
        <v>46</v>
      </c>
    </row>
    <row r="707" spans="1:87" x14ac:dyDescent="0.3">
      <c r="A707" s="2">
        <v>1063</v>
      </c>
      <c r="B707" s="2" t="s">
        <v>0</v>
      </c>
      <c r="C707" s="2" t="s">
        <v>1</v>
      </c>
      <c r="D707" s="2" t="s">
        <v>1167</v>
      </c>
      <c r="E707" s="2">
        <v>1000</v>
      </c>
      <c r="F707" s="2">
        <v>1.6199999999999999E-2</v>
      </c>
      <c r="G707" s="2">
        <v>1.2999999999999999E-2</v>
      </c>
      <c r="H707" s="4">
        <f t="shared" si="98"/>
        <v>0.19753086419753085</v>
      </c>
      <c r="I707" s="2" t="s">
        <v>98</v>
      </c>
      <c r="J707" s="2" t="s">
        <v>1163</v>
      </c>
      <c r="K707" s="2" t="s">
        <v>5</v>
      </c>
      <c r="L707" s="2" t="s">
        <v>6</v>
      </c>
      <c r="M707" s="155"/>
      <c r="N707" s="155"/>
      <c r="O707" s="2">
        <v>20</v>
      </c>
      <c r="P707" s="6">
        <v>18</v>
      </c>
      <c r="Q707" s="131">
        <f t="shared" si="99"/>
        <v>32</v>
      </c>
      <c r="R707" s="33">
        <f t="shared" si="103"/>
        <v>18</v>
      </c>
      <c r="S707" s="132">
        <f t="shared" si="100"/>
        <v>2.25</v>
      </c>
      <c r="T707" s="132">
        <f t="shared" si="101"/>
        <v>2.25</v>
      </c>
      <c r="V707" s="131" t="str">
        <f t="shared" si="102"/>
        <v/>
      </c>
      <c r="W707" s="17"/>
      <c r="X707" s="7"/>
      <c r="Y707" s="161"/>
      <c r="Z707" s="7"/>
      <c r="AA707" s="117"/>
      <c r="AB707" s="117"/>
      <c r="AC707" s="117"/>
      <c r="CH707">
        <v>6</v>
      </c>
      <c r="CI707">
        <v>68</v>
      </c>
    </row>
    <row r="708" spans="1:87" x14ac:dyDescent="0.3">
      <c r="A708" s="2">
        <v>1064</v>
      </c>
      <c r="B708" s="23" t="s">
        <v>0</v>
      </c>
      <c r="C708" s="2" t="s">
        <v>1</v>
      </c>
      <c r="D708" s="2" t="s">
        <v>1168</v>
      </c>
      <c r="E708" s="2">
        <v>180</v>
      </c>
      <c r="F708" s="2">
        <v>5.0200000000000002E-2</v>
      </c>
      <c r="G708" s="2">
        <v>4.4200000000000003E-2</v>
      </c>
      <c r="H708" s="4">
        <f t="shared" si="98"/>
        <v>0.11952191235059757</v>
      </c>
      <c r="I708" s="2" t="s">
        <v>98</v>
      </c>
      <c r="J708" s="2" t="s">
        <v>947</v>
      </c>
      <c r="K708" s="2" t="s">
        <v>222</v>
      </c>
      <c r="L708" s="2" t="s">
        <v>76</v>
      </c>
      <c r="M708" s="155"/>
      <c r="N708" s="155"/>
      <c r="O708" s="2">
        <v>6</v>
      </c>
      <c r="P708" s="6">
        <v>14</v>
      </c>
      <c r="Q708" s="131">
        <f t="shared" si="99"/>
        <v>68.571428571428569</v>
      </c>
      <c r="R708" s="33">
        <f t="shared" si="103"/>
        <v>14</v>
      </c>
      <c r="S708" s="132">
        <f t="shared" si="100"/>
        <v>1.75</v>
      </c>
      <c r="T708" s="132">
        <f t="shared" si="101"/>
        <v>1.75</v>
      </c>
      <c r="V708" s="131">
        <f t="shared" si="102"/>
        <v>21.333333333333332</v>
      </c>
      <c r="W708" s="17">
        <v>45</v>
      </c>
      <c r="X708" s="8">
        <f>60*60*8/W708</f>
        <v>640</v>
      </c>
      <c r="Y708" s="161">
        <v>45628</v>
      </c>
      <c r="Z708" s="7" t="s">
        <v>7</v>
      </c>
      <c r="AA708" s="117"/>
      <c r="AB708" s="117"/>
      <c r="AC708" s="117"/>
      <c r="CH708">
        <v>4</v>
      </c>
      <c r="CI708">
        <v>48</v>
      </c>
    </row>
    <row r="709" spans="1:87" x14ac:dyDescent="0.3">
      <c r="A709" s="2">
        <v>1065</v>
      </c>
      <c r="B709" s="2" t="s">
        <v>0</v>
      </c>
      <c r="C709" s="2" t="s">
        <v>1</v>
      </c>
      <c r="D709" s="2" t="s">
        <v>1169</v>
      </c>
      <c r="E709" s="2">
        <v>320</v>
      </c>
      <c r="F709" s="2">
        <v>3.7600000000000001E-2</v>
      </c>
      <c r="G709" s="2">
        <v>3.2000000000000001E-2</v>
      </c>
      <c r="H709" s="4">
        <f t="shared" si="98"/>
        <v>0.14893617021276598</v>
      </c>
      <c r="I709" s="2" t="s">
        <v>98</v>
      </c>
      <c r="J709" s="2" t="s">
        <v>755</v>
      </c>
      <c r="K709" s="2" t="s">
        <v>222</v>
      </c>
      <c r="L709" s="2" t="s">
        <v>76</v>
      </c>
      <c r="M709" s="155"/>
      <c r="N709" s="155"/>
      <c r="O709" s="2">
        <v>6</v>
      </c>
      <c r="P709" s="6">
        <v>25</v>
      </c>
      <c r="Q709" s="131">
        <f t="shared" si="99"/>
        <v>21.6</v>
      </c>
      <c r="R709" s="33">
        <f t="shared" si="103"/>
        <v>25</v>
      </c>
      <c r="S709" s="132">
        <f t="shared" si="100"/>
        <v>3.125</v>
      </c>
      <c r="T709" s="132">
        <f t="shared" si="101"/>
        <v>3.125</v>
      </c>
      <c r="V709" s="131" t="str">
        <f t="shared" si="102"/>
        <v/>
      </c>
      <c r="W709" s="17"/>
      <c r="X709" s="7"/>
      <c r="Y709" s="161"/>
      <c r="Z709" s="7"/>
      <c r="AA709" s="117"/>
      <c r="AB709" s="117"/>
      <c r="AC709" s="117"/>
      <c r="CH709">
        <v>6</v>
      </c>
      <c r="CI709">
        <v>45</v>
      </c>
    </row>
    <row r="710" spans="1:87" x14ac:dyDescent="0.3">
      <c r="A710" s="2">
        <v>1066</v>
      </c>
      <c r="B710" s="2" t="s">
        <v>0</v>
      </c>
      <c r="C710" s="2" t="s">
        <v>1</v>
      </c>
      <c r="D710" s="2" t="s">
        <v>1170</v>
      </c>
      <c r="E710" s="2">
        <v>320</v>
      </c>
      <c r="F710" s="2">
        <v>3.7600000000000001E-2</v>
      </c>
      <c r="G710" s="2">
        <v>3.2000000000000001E-2</v>
      </c>
      <c r="H710" s="4">
        <f t="shared" si="98"/>
        <v>0.14893617021276598</v>
      </c>
      <c r="I710" s="2" t="s">
        <v>98</v>
      </c>
      <c r="J710" s="2" t="s">
        <v>755</v>
      </c>
      <c r="K710" s="2" t="s">
        <v>222</v>
      </c>
      <c r="L710" s="2" t="s">
        <v>76</v>
      </c>
      <c r="M710" s="155"/>
      <c r="N710" s="155"/>
      <c r="O710" s="2">
        <v>6</v>
      </c>
      <c r="P710" s="6">
        <v>25</v>
      </c>
      <c r="Q710" s="131">
        <f t="shared" si="99"/>
        <v>21.6</v>
      </c>
      <c r="R710" s="33">
        <f t="shared" si="103"/>
        <v>25</v>
      </c>
      <c r="S710" s="132">
        <f t="shared" si="100"/>
        <v>3.125</v>
      </c>
      <c r="T710" s="132">
        <f t="shared" si="101"/>
        <v>3.125</v>
      </c>
      <c r="V710" s="131" t="str">
        <f t="shared" si="102"/>
        <v/>
      </c>
      <c r="W710" s="17"/>
      <c r="X710" s="7"/>
      <c r="Y710" s="161"/>
      <c r="Z710" s="7"/>
      <c r="AA710" s="117"/>
      <c r="AB710" s="117"/>
      <c r="AC710" s="117"/>
      <c r="CH710">
        <v>2</v>
      </c>
      <c r="CI710">
        <v>58</v>
      </c>
    </row>
    <row r="711" spans="1:87" x14ac:dyDescent="0.3">
      <c r="A711" s="23">
        <v>1089</v>
      </c>
      <c r="B711" s="2" t="s">
        <v>0</v>
      </c>
      <c r="C711" s="2" t="s">
        <v>1</v>
      </c>
      <c r="D711" s="2" t="s">
        <v>1171</v>
      </c>
      <c r="E711" s="2">
        <v>360</v>
      </c>
      <c r="F711" s="2">
        <v>2.8400000000000002E-2</v>
      </c>
      <c r="G711" s="2">
        <v>1.52E-2</v>
      </c>
      <c r="H711" s="4">
        <f t="shared" si="98"/>
        <v>0.46478873239436624</v>
      </c>
      <c r="I711" s="2" t="s">
        <v>98</v>
      </c>
      <c r="J711" s="2" t="s">
        <v>1172</v>
      </c>
      <c r="K711" s="2" t="s">
        <v>261</v>
      </c>
      <c r="L711" s="2" t="s">
        <v>76</v>
      </c>
      <c r="M711" s="155"/>
      <c r="N711" s="155"/>
      <c r="O711" s="2">
        <v>10</v>
      </c>
      <c r="P711" s="6">
        <v>28</v>
      </c>
      <c r="Q711" s="131">
        <f t="shared" si="99"/>
        <v>28.571428571428573</v>
      </c>
      <c r="R711" s="33">
        <f t="shared" si="103"/>
        <v>28</v>
      </c>
      <c r="S711" s="132">
        <f t="shared" si="100"/>
        <v>3.5</v>
      </c>
      <c r="T711" s="132">
        <f t="shared" si="101"/>
        <v>3.5</v>
      </c>
      <c r="V711" s="131">
        <f t="shared" si="102"/>
        <v>26.666666666666668</v>
      </c>
      <c r="W711" s="17">
        <v>30</v>
      </c>
      <c r="X711" s="8">
        <f>60*60*8/W711</f>
        <v>960</v>
      </c>
      <c r="Y711" s="161">
        <v>45315</v>
      </c>
      <c r="Z711" s="7" t="s">
        <v>704</v>
      </c>
      <c r="AA711" s="117"/>
      <c r="AB711" s="117"/>
      <c r="AC711" s="117"/>
      <c r="CH711">
        <v>3</v>
      </c>
      <c r="CI711">
        <v>55</v>
      </c>
    </row>
    <row r="712" spans="1:87" x14ac:dyDescent="0.3">
      <c r="A712" s="2">
        <v>1090</v>
      </c>
      <c r="B712" s="2" t="s">
        <v>0</v>
      </c>
      <c r="C712" s="2" t="s">
        <v>1</v>
      </c>
      <c r="D712" s="2" t="s">
        <v>1173</v>
      </c>
      <c r="E712" s="2">
        <v>360</v>
      </c>
      <c r="F712" s="2">
        <v>3.44E-2</v>
      </c>
      <c r="G712" s="2">
        <v>2.1999999999999999E-2</v>
      </c>
      <c r="H712" s="4">
        <f t="shared" si="98"/>
        <v>0.3604651162790698</v>
      </c>
      <c r="I712" s="2" t="s">
        <v>82</v>
      </c>
      <c r="J712" s="2" t="s">
        <v>888</v>
      </c>
      <c r="K712" s="2" t="s">
        <v>261</v>
      </c>
      <c r="L712" s="2" t="s">
        <v>76</v>
      </c>
      <c r="M712" s="155"/>
      <c r="N712" s="155"/>
      <c r="O712" s="2">
        <v>10</v>
      </c>
      <c r="P712" s="6">
        <v>32</v>
      </c>
      <c r="Q712" s="131">
        <f t="shared" si="99"/>
        <v>25</v>
      </c>
      <c r="R712" s="33">
        <f t="shared" si="103"/>
        <v>32</v>
      </c>
      <c r="S712" s="132">
        <f t="shared" si="100"/>
        <v>4</v>
      </c>
      <c r="T712" s="132">
        <f t="shared" si="101"/>
        <v>4</v>
      </c>
      <c r="V712" s="131" t="str">
        <f t="shared" si="102"/>
        <v/>
      </c>
      <c r="W712" s="17"/>
      <c r="X712" s="7"/>
      <c r="Y712" s="161"/>
      <c r="Z712" s="7"/>
      <c r="AA712" s="117"/>
      <c r="AB712" s="117"/>
      <c r="AC712" s="117"/>
      <c r="CH712">
        <v>2</v>
      </c>
      <c r="CI712">
        <v>49</v>
      </c>
    </row>
    <row r="713" spans="1:87" x14ac:dyDescent="0.3">
      <c r="A713" s="2">
        <v>1091</v>
      </c>
      <c r="B713" s="2" t="s">
        <v>0</v>
      </c>
      <c r="C713" s="2" t="s">
        <v>1</v>
      </c>
      <c r="D713" s="2" t="s">
        <v>1174</v>
      </c>
      <c r="E713" s="2">
        <v>360</v>
      </c>
      <c r="F713" s="2">
        <v>3.0099999999999998E-2</v>
      </c>
      <c r="G713" s="2">
        <v>1.9E-2</v>
      </c>
      <c r="H713" s="4">
        <f t="shared" si="98"/>
        <v>0.3687707641196013</v>
      </c>
      <c r="I713" s="2" t="s">
        <v>82</v>
      </c>
      <c r="J713" s="2" t="s">
        <v>467</v>
      </c>
      <c r="K713" s="2" t="s">
        <v>261</v>
      </c>
      <c r="L713" s="2" t="s">
        <v>76</v>
      </c>
      <c r="M713" s="155"/>
      <c r="N713" s="155"/>
      <c r="O713" s="2">
        <v>10</v>
      </c>
      <c r="P713" s="6">
        <v>35</v>
      </c>
      <c r="Q713" s="131">
        <f t="shared" si="99"/>
        <v>22.857142857142858</v>
      </c>
      <c r="R713" s="33">
        <f t="shared" si="103"/>
        <v>35</v>
      </c>
      <c r="S713" s="132">
        <f t="shared" si="100"/>
        <v>4.375</v>
      </c>
      <c r="T713" s="132">
        <f t="shared" si="101"/>
        <v>4.375</v>
      </c>
      <c r="V713" s="131" t="str">
        <f t="shared" si="102"/>
        <v/>
      </c>
      <c r="W713" s="17"/>
      <c r="X713" s="7"/>
      <c r="Y713" s="161"/>
      <c r="Z713" s="7"/>
      <c r="AA713" s="117"/>
      <c r="AB713" s="117"/>
      <c r="AC713" s="117"/>
      <c r="CH713">
        <v>6</v>
      </c>
      <c r="CI713">
        <v>72</v>
      </c>
    </row>
    <row r="714" spans="1:87" x14ac:dyDescent="0.3">
      <c r="A714" s="23">
        <v>1092</v>
      </c>
      <c r="B714" s="2" t="s">
        <v>0</v>
      </c>
      <c r="C714" s="2" t="s">
        <v>1</v>
      </c>
      <c r="D714" s="2" t="s">
        <v>1175</v>
      </c>
      <c r="E714" s="2">
        <v>360</v>
      </c>
      <c r="F714" s="2">
        <v>2.58E-2</v>
      </c>
      <c r="G714" s="2">
        <v>1.6199999999999999E-2</v>
      </c>
      <c r="H714" s="4">
        <f t="shared" si="98"/>
        <v>0.372093023255814</v>
      </c>
      <c r="I714" s="2" t="s">
        <v>82</v>
      </c>
      <c r="J714" s="2" t="s">
        <v>83</v>
      </c>
      <c r="K714" s="2" t="s">
        <v>105</v>
      </c>
      <c r="L714" s="2" t="s">
        <v>76</v>
      </c>
      <c r="M714" s="155"/>
      <c r="N714" s="155"/>
      <c r="O714" s="2">
        <v>10</v>
      </c>
      <c r="P714" s="6">
        <v>38</v>
      </c>
      <c r="Q714" s="131">
        <f t="shared" si="99"/>
        <v>21.05263157894737</v>
      </c>
      <c r="R714" s="33">
        <f t="shared" si="103"/>
        <v>38</v>
      </c>
      <c r="S714" s="132">
        <f t="shared" si="100"/>
        <v>4.75</v>
      </c>
      <c r="T714" s="132">
        <f t="shared" si="101"/>
        <v>4.75</v>
      </c>
      <c r="V714" s="131">
        <f t="shared" si="102"/>
        <v>20.833333333333332</v>
      </c>
      <c r="W714" s="17">
        <v>38.4</v>
      </c>
      <c r="X714" s="8">
        <f>60*60*8/W714</f>
        <v>750</v>
      </c>
      <c r="Y714" s="161">
        <v>45495</v>
      </c>
      <c r="Z714" s="7" t="s">
        <v>7</v>
      </c>
      <c r="AA714" s="117"/>
      <c r="AB714" s="117"/>
      <c r="AC714" s="117"/>
      <c r="CH714">
        <v>1</v>
      </c>
      <c r="CI714">
        <v>36</v>
      </c>
    </row>
    <row r="715" spans="1:87" x14ac:dyDescent="0.3">
      <c r="A715" s="2">
        <v>1099</v>
      </c>
      <c r="B715" s="2" t="s">
        <v>84</v>
      </c>
      <c r="C715" s="2" t="s">
        <v>1</v>
      </c>
      <c r="D715" s="2" t="s">
        <v>1176</v>
      </c>
      <c r="E715" s="2">
        <v>160</v>
      </c>
      <c r="F715" s="2">
        <v>4.36E-2</v>
      </c>
      <c r="G715" s="2">
        <v>2.75E-2</v>
      </c>
      <c r="H715" s="4">
        <f t="shared" si="98"/>
        <v>0.36926605504587157</v>
      </c>
      <c r="I715" s="2" t="s">
        <v>98</v>
      </c>
      <c r="J715" s="2" t="s">
        <v>1066</v>
      </c>
      <c r="K715" s="2"/>
      <c r="L715" s="2" t="s">
        <v>76</v>
      </c>
      <c r="M715" s="155"/>
      <c r="N715" s="155"/>
      <c r="O715" s="2">
        <v>8</v>
      </c>
      <c r="P715" s="6"/>
      <c r="Q715" s="131" t="str">
        <f t="shared" si="99"/>
        <v/>
      </c>
      <c r="R715" s="33" t="str">
        <f t="shared" si="103"/>
        <v/>
      </c>
      <c r="S715" s="132" t="str">
        <f t="shared" si="100"/>
        <v/>
      </c>
      <c r="T715" s="132" t="str">
        <f t="shared" si="101"/>
        <v/>
      </c>
      <c r="V715" s="131" t="str">
        <f t="shared" si="102"/>
        <v/>
      </c>
      <c r="W715" s="17"/>
      <c r="X715" s="7"/>
      <c r="Y715" s="161"/>
      <c r="Z715" s="7"/>
      <c r="AA715" s="117"/>
      <c r="AB715" s="117"/>
      <c r="AC715" s="117"/>
      <c r="CH715">
        <v>6</v>
      </c>
      <c r="CI715">
        <v>37</v>
      </c>
    </row>
    <row r="716" spans="1:87" x14ac:dyDescent="0.3">
      <c r="A716" s="2">
        <v>1100</v>
      </c>
      <c r="B716" s="2" t="s">
        <v>84</v>
      </c>
      <c r="C716" s="2" t="s">
        <v>1</v>
      </c>
      <c r="D716" s="2" t="s">
        <v>1177</v>
      </c>
      <c r="E716" s="2">
        <v>160</v>
      </c>
      <c r="F716" s="2">
        <v>5.6000000000000001E-2</v>
      </c>
      <c r="G716" s="2">
        <v>3.8399999999999997E-2</v>
      </c>
      <c r="H716" s="4">
        <f t="shared" si="98"/>
        <v>0.31428571428571433</v>
      </c>
      <c r="I716" s="2" t="s">
        <v>82</v>
      </c>
      <c r="J716" s="2" t="s">
        <v>583</v>
      </c>
      <c r="K716" s="2"/>
      <c r="L716" s="2" t="s">
        <v>76</v>
      </c>
      <c r="M716" s="155"/>
      <c r="N716" s="155"/>
      <c r="O716" s="2">
        <v>8</v>
      </c>
      <c r="P716" s="6"/>
      <c r="Q716" s="131" t="str">
        <f t="shared" si="99"/>
        <v/>
      </c>
      <c r="R716" s="33" t="str">
        <f t="shared" si="103"/>
        <v/>
      </c>
      <c r="S716" s="132" t="str">
        <f t="shared" si="100"/>
        <v/>
      </c>
      <c r="T716" s="132" t="str">
        <f t="shared" si="101"/>
        <v/>
      </c>
      <c r="V716" s="131" t="str">
        <f t="shared" si="102"/>
        <v/>
      </c>
      <c r="W716" s="17"/>
      <c r="X716" s="7"/>
      <c r="Y716" s="161"/>
      <c r="Z716" s="7"/>
      <c r="AA716" s="117"/>
      <c r="AB716" s="117"/>
      <c r="AC716" s="117"/>
      <c r="CH716">
        <v>2</v>
      </c>
      <c r="CI716">
        <v>54</v>
      </c>
    </row>
    <row r="717" spans="1:87" x14ac:dyDescent="0.3">
      <c r="A717" s="2">
        <v>1101</v>
      </c>
      <c r="B717" s="2" t="s">
        <v>84</v>
      </c>
      <c r="C717" s="2" t="s">
        <v>1</v>
      </c>
      <c r="D717" s="2" t="s">
        <v>1178</v>
      </c>
      <c r="E717" s="2">
        <v>160</v>
      </c>
      <c r="F717" s="2">
        <v>4.9000000000000002E-2</v>
      </c>
      <c r="G717" s="2">
        <v>3.1399999999999997E-2</v>
      </c>
      <c r="H717" s="4">
        <f t="shared" si="98"/>
        <v>0.35918367346938784</v>
      </c>
      <c r="I717" s="2" t="s">
        <v>82</v>
      </c>
      <c r="J717" s="2" t="s">
        <v>1032</v>
      </c>
      <c r="K717" s="2"/>
      <c r="L717" s="2" t="s">
        <v>76</v>
      </c>
      <c r="M717" s="155"/>
      <c r="N717" s="155"/>
      <c r="O717" s="2">
        <v>8</v>
      </c>
      <c r="P717" s="6"/>
      <c r="Q717" s="131" t="str">
        <f t="shared" si="99"/>
        <v/>
      </c>
      <c r="R717" s="33" t="str">
        <f t="shared" si="103"/>
        <v/>
      </c>
      <c r="S717" s="132" t="str">
        <f t="shared" si="100"/>
        <v/>
      </c>
      <c r="T717" s="132" t="str">
        <f t="shared" si="101"/>
        <v/>
      </c>
      <c r="V717" s="131" t="str">
        <f t="shared" si="102"/>
        <v/>
      </c>
      <c r="W717" s="17"/>
      <c r="X717" s="7"/>
      <c r="Y717" s="161"/>
      <c r="Z717" s="7"/>
      <c r="AA717" s="117"/>
      <c r="AB717" s="117"/>
      <c r="AC717" s="117"/>
      <c r="CH717">
        <v>1</v>
      </c>
      <c r="CI717">
        <v>38</v>
      </c>
    </row>
    <row r="718" spans="1:87" x14ac:dyDescent="0.3">
      <c r="A718" s="2">
        <v>1102</v>
      </c>
      <c r="B718" s="2" t="s">
        <v>84</v>
      </c>
      <c r="C718" s="2" t="s">
        <v>1</v>
      </c>
      <c r="D718" s="2" t="s">
        <v>1179</v>
      </c>
      <c r="E718" s="2">
        <v>160</v>
      </c>
      <c r="F718" s="2">
        <v>5.6000000000000001E-2</v>
      </c>
      <c r="G718" s="2">
        <v>3.6999999999999998E-2</v>
      </c>
      <c r="H718" s="4">
        <f t="shared" si="98"/>
        <v>0.33928571428571436</v>
      </c>
      <c r="I718" s="2" t="s">
        <v>82</v>
      </c>
      <c r="J718" s="2" t="s">
        <v>583</v>
      </c>
      <c r="K718" s="2"/>
      <c r="L718" s="2" t="s">
        <v>76</v>
      </c>
      <c r="M718" s="155"/>
      <c r="N718" s="155"/>
      <c r="O718" s="2">
        <v>8</v>
      </c>
      <c r="P718" s="6"/>
      <c r="Q718" s="131" t="str">
        <f t="shared" si="99"/>
        <v/>
      </c>
      <c r="R718" s="33" t="str">
        <f t="shared" si="103"/>
        <v/>
      </c>
      <c r="S718" s="132" t="str">
        <f t="shared" si="100"/>
        <v/>
      </c>
      <c r="T718" s="132" t="str">
        <f t="shared" si="101"/>
        <v/>
      </c>
      <c r="V718" s="131" t="str">
        <f t="shared" si="102"/>
        <v/>
      </c>
      <c r="W718" s="17"/>
      <c r="X718" s="7"/>
      <c r="Y718" s="161"/>
      <c r="Z718" s="7"/>
      <c r="AA718" s="117"/>
      <c r="AB718" s="117"/>
      <c r="AC718" s="117"/>
      <c r="CH718">
        <v>5</v>
      </c>
      <c r="CI718">
        <v>46</v>
      </c>
    </row>
    <row r="719" spans="1:87" x14ac:dyDescent="0.3">
      <c r="A719" s="2">
        <v>1103</v>
      </c>
      <c r="B719" s="2" t="s">
        <v>0</v>
      </c>
      <c r="C719" s="2" t="s">
        <v>1</v>
      </c>
      <c r="D719" s="2" t="s">
        <v>1180</v>
      </c>
      <c r="E719" s="2">
        <v>160</v>
      </c>
      <c r="F719" s="2">
        <v>5.4399999999999997E-2</v>
      </c>
      <c r="G719" s="2">
        <v>4.0899999999999999E-2</v>
      </c>
      <c r="H719" s="4">
        <f t="shared" si="98"/>
        <v>0.24816176470588233</v>
      </c>
      <c r="I719" s="2" t="s">
        <v>98</v>
      </c>
      <c r="J719" s="2" t="s">
        <v>1181</v>
      </c>
      <c r="K719" s="2" t="s">
        <v>261</v>
      </c>
      <c r="L719" s="2" t="s">
        <v>76</v>
      </c>
      <c r="M719" s="155"/>
      <c r="N719" s="155"/>
      <c r="O719" s="2">
        <v>6</v>
      </c>
      <c r="P719" s="6">
        <v>44</v>
      </c>
      <c r="Q719" s="131">
        <f t="shared" si="99"/>
        <v>24.545454545454547</v>
      </c>
      <c r="R719" s="33">
        <f t="shared" si="103"/>
        <v>44</v>
      </c>
      <c r="S719" s="132">
        <f t="shared" si="100"/>
        <v>5.5</v>
      </c>
      <c r="T719" s="132">
        <f t="shared" si="101"/>
        <v>5.5</v>
      </c>
      <c r="V719" s="131" t="str">
        <f t="shared" si="102"/>
        <v/>
      </c>
      <c r="W719" s="17"/>
      <c r="X719" s="7"/>
      <c r="Y719" s="161"/>
      <c r="Z719" s="7"/>
      <c r="AA719" s="117"/>
      <c r="AB719" s="117"/>
      <c r="AC719" s="117"/>
      <c r="CH719">
        <v>6</v>
      </c>
      <c r="CI719">
        <v>52</v>
      </c>
    </row>
    <row r="720" spans="1:87" x14ac:dyDescent="0.3">
      <c r="A720" s="2">
        <v>1105</v>
      </c>
      <c r="B720" s="2" t="s">
        <v>84</v>
      </c>
      <c r="C720" s="2" t="s">
        <v>1</v>
      </c>
      <c r="D720" s="2" t="s">
        <v>1182</v>
      </c>
      <c r="E720" s="2">
        <v>160</v>
      </c>
      <c r="F720" s="2">
        <v>7.7899999999999997E-2</v>
      </c>
      <c r="G720" s="2">
        <v>5.6099999999999997E-2</v>
      </c>
      <c r="H720" s="4">
        <f t="shared" si="98"/>
        <v>0.27984595635430037</v>
      </c>
      <c r="I720" s="2" t="s">
        <v>82</v>
      </c>
      <c r="J720" s="2" t="s">
        <v>1091</v>
      </c>
      <c r="K720" s="2" t="s">
        <v>261</v>
      </c>
      <c r="L720" s="2" t="s">
        <v>76</v>
      </c>
      <c r="M720" s="155"/>
      <c r="N720" s="155"/>
      <c r="O720" s="2">
        <v>6</v>
      </c>
      <c r="P720" s="6"/>
      <c r="Q720" s="131" t="str">
        <f t="shared" si="99"/>
        <v/>
      </c>
      <c r="R720" s="33" t="str">
        <f t="shared" si="103"/>
        <v/>
      </c>
      <c r="S720" s="132" t="str">
        <f t="shared" si="100"/>
        <v/>
      </c>
      <c r="T720" s="132" t="str">
        <f t="shared" si="101"/>
        <v/>
      </c>
      <c r="V720" s="131" t="str">
        <f t="shared" si="102"/>
        <v/>
      </c>
      <c r="W720" s="17"/>
      <c r="X720" s="7"/>
      <c r="Y720" s="161"/>
      <c r="Z720" s="7"/>
      <c r="AA720" s="117"/>
      <c r="AB720" s="117"/>
      <c r="AC720" s="117"/>
      <c r="CH720">
        <v>2</v>
      </c>
      <c r="CI720">
        <v>41</v>
      </c>
    </row>
    <row r="721" spans="1:87" x14ac:dyDescent="0.3">
      <c r="A721" s="2">
        <v>1106</v>
      </c>
      <c r="B721" s="2" t="s">
        <v>0</v>
      </c>
      <c r="C721" s="2" t="s">
        <v>1</v>
      </c>
      <c r="D721" s="2" t="s">
        <v>1183</v>
      </c>
      <c r="E721" s="2">
        <v>160</v>
      </c>
      <c r="F721" s="2">
        <v>6.93E-2</v>
      </c>
      <c r="G721" s="2">
        <v>4.5900000000000003E-2</v>
      </c>
      <c r="H721" s="4">
        <f t="shared" si="98"/>
        <v>0.33766233766233761</v>
      </c>
      <c r="I721" s="2" t="s">
        <v>82</v>
      </c>
      <c r="J721" s="2" t="s">
        <v>1030</v>
      </c>
      <c r="K721" s="2" t="s">
        <v>261</v>
      </c>
      <c r="L721" s="2" t="s">
        <v>76</v>
      </c>
      <c r="M721" s="155"/>
      <c r="N721" s="155"/>
      <c r="O721" s="2">
        <v>6</v>
      </c>
      <c r="P721" s="6">
        <v>60</v>
      </c>
      <c r="Q721" s="131">
        <f t="shared" si="99"/>
        <v>18</v>
      </c>
      <c r="R721" s="33">
        <f t="shared" si="103"/>
        <v>60</v>
      </c>
      <c r="S721" s="132">
        <f t="shared" si="100"/>
        <v>7.5</v>
      </c>
      <c r="T721" s="132">
        <f t="shared" si="101"/>
        <v>7.5</v>
      </c>
      <c r="V721" s="131" t="str">
        <f t="shared" si="102"/>
        <v/>
      </c>
      <c r="W721" s="17"/>
      <c r="X721" s="7"/>
      <c r="Y721" s="161"/>
      <c r="Z721" s="7"/>
      <c r="AA721" s="117"/>
      <c r="AB721" s="117"/>
      <c r="AC721" s="117"/>
      <c r="CH721">
        <v>4</v>
      </c>
      <c r="CI721">
        <v>83</v>
      </c>
    </row>
    <row r="722" spans="1:87" x14ac:dyDescent="0.3">
      <c r="A722" s="2">
        <v>1107</v>
      </c>
      <c r="B722" s="2" t="s">
        <v>84</v>
      </c>
      <c r="C722" s="2" t="s">
        <v>1</v>
      </c>
      <c r="D722" s="2" t="s">
        <v>1184</v>
      </c>
      <c r="E722" s="2">
        <v>160</v>
      </c>
      <c r="F722" s="2">
        <v>7.7899999999999997E-2</v>
      </c>
      <c r="G722" s="2">
        <v>5.6099999999999997E-2</v>
      </c>
      <c r="H722" s="4">
        <f t="shared" si="98"/>
        <v>0.27984595635430037</v>
      </c>
      <c r="I722" s="2" t="s">
        <v>82</v>
      </c>
      <c r="J722" s="2" t="s">
        <v>1091</v>
      </c>
      <c r="K722" s="2" t="s">
        <v>261</v>
      </c>
      <c r="L722" s="2" t="s">
        <v>76</v>
      </c>
      <c r="M722" s="155"/>
      <c r="N722" s="155"/>
      <c r="O722" s="2">
        <v>6</v>
      </c>
      <c r="P722" s="6"/>
      <c r="Q722" s="131" t="str">
        <f t="shared" si="99"/>
        <v/>
      </c>
      <c r="R722" s="33" t="str">
        <f t="shared" si="103"/>
        <v/>
      </c>
      <c r="S722" s="132" t="str">
        <f t="shared" si="100"/>
        <v/>
      </c>
      <c r="T722" s="132" t="str">
        <f t="shared" si="101"/>
        <v/>
      </c>
      <c r="V722" s="131" t="str">
        <f t="shared" si="102"/>
        <v/>
      </c>
      <c r="W722" s="17"/>
      <c r="X722" s="7"/>
      <c r="Y722" s="161"/>
      <c r="Z722" s="7"/>
      <c r="AA722" s="117"/>
      <c r="AB722" s="117"/>
      <c r="AC722" s="117"/>
      <c r="CH722">
        <v>6</v>
      </c>
      <c r="CI722">
        <v>52</v>
      </c>
    </row>
    <row r="723" spans="1:87" x14ac:dyDescent="0.3">
      <c r="A723" s="23">
        <v>1108</v>
      </c>
      <c r="B723" s="2" t="s">
        <v>0</v>
      </c>
      <c r="C723" s="2" t="s">
        <v>1</v>
      </c>
      <c r="D723" s="2" t="s">
        <v>1185</v>
      </c>
      <c r="E723" s="2">
        <v>160</v>
      </c>
      <c r="F723" s="2">
        <v>8.6599999999999996E-2</v>
      </c>
      <c r="G723" s="2">
        <v>6.2799999999999995E-2</v>
      </c>
      <c r="H723" s="4">
        <f t="shared" si="98"/>
        <v>0.27482678983833719</v>
      </c>
      <c r="I723" s="2" t="s">
        <v>82</v>
      </c>
      <c r="J723" s="2" t="s">
        <v>1017</v>
      </c>
      <c r="K723" s="2" t="s">
        <v>261</v>
      </c>
      <c r="L723" s="2" t="s">
        <v>76</v>
      </c>
      <c r="M723" s="155"/>
      <c r="N723" s="155"/>
      <c r="O723" s="2">
        <v>6</v>
      </c>
      <c r="P723" s="6">
        <v>55</v>
      </c>
      <c r="Q723" s="131">
        <f t="shared" si="99"/>
        <v>19.636363636363637</v>
      </c>
      <c r="R723" s="33">
        <f t="shared" si="103"/>
        <v>55</v>
      </c>
      <c r="S723" s="132">
        <f t="shared" si="100"/>
        <v>6.875</v>
      </c>
      <c r="T723" s="132">
        <f t="shared" si="101"/>
        <v>6.875</v>
      </c>
      <c r="V723" s="131">
        <f t="shared" si="102"/>
        <v>22.689075630252102</v>
      </c>
      <c r="W723" s="17">
        <v>47.6</v>
      </c>
      <c r="X723" s="8">
        <f>60*60*8/W723</f>
        <v>605.0420168067227</v>
      </c>
      <c r="Y723" s="161">
        <v>45884</v>
      </c>
      <c r="Z723" s="7" t="s">
        <v>7</v>
      </c>
      <c r="AA723" s="117"/>
      <c r="AB723" s="117"/>
      <c r="AC723" s="117"/>
      <c r="CH723">
        <v>6</v>
      </c>
      <c r="CI723">
        <v>79</v>
      </c>
    </row>
    <row r="724" spans="1:87" x14ac:dyDescent="0.3">
      <c r="A724" s="23">
        <v>1109</v>
      </c>
      <c r="B724" s="2" t="s">
        <v>0</v>
      </c>
      <c r="C724" s="2" t="s">
        <v>1</v>
      </c>
      <c r="D724" s="2" t="s">
        <v>1186</v>
      </c>
      <c r="E724" s="2">
        <v>350</v>
      </c>
      <c r="F724" s="2">
        <v>2.07E-2</v>
      </c>
      <c r="G724" s="2">
        <v>1.7299999999999999E-2</v>
      </c>
      <c r="H724" s="4">
        <f t="shared" si="98"/>
        <v>0.16425120772946861</v>
      </c>
      <c r="I724" s="2" t="s">
        <v>98</v>
      </c>
      <c r="J724" s="2" t="s">
        <v>1187</v>
      </c>
      <c r="K724" s="2" t="s">
        <v>222</v>
      </c>
      <c r="L724" s="2" t="s">
        <v>76</v>
      </c>
      <c r="M724" s="155"/>
      <c r="N724" s="155"/>
      <c r="O724" s="2">
        <v>16</v>
      </c>
      <c r="P724" s="6">
        <v>35</v>
      </c>
      <c r="Q724" s="131">
        <f t="shared" si="99"/>
        <v>37.616326530612248</v>
      </c>
      <c r="R724" s="33">
        <f t="shared" si="103"/>
        <v>35</v>
      </c>
      <c r="S724" s="132">
        <f t="shared" si="100"/>
        <v>4.375</v>
      </c>
      <c r="T724" s="132" t="s">
        <v>1188</v>
      </c>
      <c r="V724" s="131">
        <f t="shared" si="102"/>
        <v>30.266009852216751</v>
      </c>
      <c r="W724" s="17">
        <v>43.5</v>
      </c>
      <c r="X724" s="8">
        <f>60*60*8/W724</f>
        <v>662.06896551724139</v>
      </c>
      <c r="Y724" s="161">
        <v>45580</v>
      </c>
      <c r="Z724" s="7" t="s">
        <v>7</v>
      </c>
      <c r="AA724" s="117"/>
      <c r="AB724" s="117"/>
      <c r="AC724" s="117"/>
      <c r="AD724" s="24">
        <v>45580</v>
      </c>
      <c r="AE724">
        <v>4</v>
      </c>
      <c r="AF724">
        <v>3.2</v>
      </c>
      <c r="AG724">
        <v>2</v>
      </c>
      <c r="AI724">
        <v>0.3</v>
      </c>
      <c r="AJ724">
        <v>0.2</v>
      </c>
      <c r="AK724">
        <v>7</v>
      </c>
      <c r="AL724">
        <v>6.5</v>
      </c>
      <c r="AN724">
        <v>13</v>
      </c>
      <c r="AO724">
        <v>1.6</v>
      </c>
      <c r="AP724">
        <v>1.5</v>
      </c>
      <c r="AS724">
        <v>43.5</v>
      </c>
      <c r="AT724">
        <v>6</v>
      </c>
      <c r="AU724">
        <v>18</v>
      </c>
      <c r="AV724">
        <v>133</v>
      </c>
      <c r="AW724">
        <v>143</v>
      </c>
      <c r="AX724">
        <v>15.5</v>
      </c>
      <c r="AY724">
        <v>31.5</v>
      </c>
      <c r="AZ724">
        <v>95</v>
      </c>
      <c r="BA724">
        <v>110</v>
      </c>
      <c r="BB724">
        <v>420</v>
      </c>
      <c r="CH724">
        <v>6</v>
      </c>
      <c r="CI724">
        <v>60</v>
      </c>
    </row>
    <row r="725" spans="1:87" x14ac:dyDescent="0.3">
      <c r="A725" s="23">
        <v>1110</v>
      </c>
      <c r="B725" s="2" t="s">
        <v>0</v>
      </c>
      <c r="C725" s="2" t="s">
        <v>1</v>
      </c>
      <c r="D725" s="2" t="s">
        <v>1189</v>
      </c>
      <c r="E725" s="2">
        <v>350</v>
      </c>
      <c r="F725" s="2">
        <v>3.4500000000000003E-2</v>
      </c>
      <c r="G725" s="2">
        <v>2.75E-2</v>
      </c>
      <c r="H725" s="4">
        <f t="shared" si="98"/>
        <v>0.20289855072463775</v>
      </c>
      <c r="I725" s="2" t="s">
        <v>82</v>
      </c>
      <c r="J725" s="2" t="s">
        <v>1091</v>
      </c>
      <c r="K725" s="2" t="s">
        <v>222</v>
      </c>
      <c r="L725" s="2" t="s">
        <v>76</v>
      </c>
      <c r="M725" s="155"/>
      <c r="N725" s="155"/>
      <c r="O725" s="2">
        <v>16</v>
      </c>
      <c r="P725" s="6">
        <v>50</v>
      </c>
      <c r="Q725" s="131">
        <f t="shared" si="99"/>
        <v>26.331428571428575</v>
      </c>
      <c r="R725" s="33">
        <f t="shared" si="103"/>
        <v>50</v>
      </c>
      <c r="S725" s="132">
        <f t="shared" si="100"/>
        <v>6.25</v>
      </c>
      <c r="T725" s="132">
        <f t="shared" ref="T725:T756" si="104">IFERROR(IF(R725&gt;2,S725,""),"")</f>
        <v>6.25</v>
      </c>
      <c r="V725" s="131">
        <f t="shared" si="102"/>
        <v>23.335190155466652</v>
      </c>
      <c r="W725" s="17">
        <v>56.42</v>
      </c>
      <c r="X725" s="8">
        <f>60*60*8/W725</f>
        <v>510.457284650833</v>
      </c>
      <c r="Y725" s="161">
        <v>45503</v>
      </c>
      <c r="Z725" s="7" t="s">
        <v>7</v>
      </c>
      <c r="AA725" s="117"/>
      <c r="AB725" s="117"/>
      <c r="AC725" s="117"/>
      <c r="AD725" s="24">
        <v>45504</v>
      </c>
      <c r="AE725">
        <v>4</v>
      </c>
      <c r="AF725">
        <v>12.6</v>
      </c>
      <c r="AH725">
        <v>3</v>
      </c>
      <c r="AI725">
        <v>0.9</v>
      </c>
      <c r="AJ725">
        <v>0.8</v>
      </c>
      <c r="AK725">
        <v>14</v>
      </c>
      <c r="AL725">
        <v>13.5</v>
      </c>
      <c r="AN725">
        <v>16</v>
      </c>
      <c r="AO725">
        <v>0.8</v>
      </c>
      <c r="AS725">
        <v>56.42</v>
      </c>
      <c r="AT725">
        <v>5</v>
      </c>
      <c r="AU725">
        <v>18.5</v>
      </c>
      <c r="AV725">
        <v>133.5</v>
      </c>
      <c r="AW725">
        <v>144</v>
      </c>
      <c r="AX725">
        <v>15</v>
      </c>
      <c r="AY725">
        <v>32</v>
      </c>
      <c r="AZ725">
        <v>95</v>
      </c>
      <c r="BA725">
        <v>110</v>
      </c>
      <c r="BB725">
        <v>420</v>
      </c>
      <c r="CH725">
        <v>5</v>
      </c>
      <c r="CI725">
        <v>75</v>
      </c>
    </row>
    <row r="726" spans="1:87" x14ac:dyDescent="0.3">
      <c r="A726" s="2">
        <v>1111</v>
      </c>
      <c r="B726" s="2" t="s">
        <v>0</v>
      </c>
      <c r="C726" s="2" t="s">
        <v>1</v>
      </c>
      <c r="D726" s="2" t="s">
        <v>1190</v>
      </c>
      <c r="E726" s="2">
        <v>160</v>
      </c>
      <c r="F726" s="2">
        <v>8.6599999999999996E-2</v>
      </c>
      <c r="G726" s="2">
        <v>6.2799999999999995E-2</v>
      </c>
      <c r="H726" s="4">
        <f t="shared" si="98"/>
        <v>0.27482678983833719</v>
      </c>
      <c r="I726" s="2" t="s">
        <v>82</v>
      </c>
      <c r="J726" s="2" t="s">
        <v>1017</v>
      </c>
      <c r="K726" s="2" t="s">
        <v>261</v>
      </c>
      <c r="L726" s="2" t="s">
        <v>76</v>
      </c>
      <c r="M726" s="155"/>
      <c r="N726" s="155"/>
      <c r="O726" s="2">
        <v>6</v>
      </c>
      <c r="P726" s="6">
        <v>50</v>
      </c>
      <c r="Q726" s="131">
        <f t="shared" si="99"/>
        <v>21.6</v>
      </c>
      <c r="R726" s="33">
        <f t="shared" si="103"/>
        <v>50</v>
      </c>
      <c r="S726" s="132">
        <f t="shared" si="100"/>
        <v>6.25</v>
      </c>
      <c r="T726" s="132">
        <f t="shared" si="104"/>
        <v>6.25</v>
      </c>
      <c r="V726" s="131" t="str">
        <f t="shared" si="102"/>
        <v/>
      </c>
      <c r="W726" s="17"/>
      <c r="X726" s="7"/>
      <c r="Y726" s="161"/>
      <c r="Z726" s="7"/>
      <c r="AA726" s="117"/>
      <c r="AB726" s="117"/>
      <c r="AC726" s="117"/>
      <c r="CH726">
        <v>6</v>
      </c>
      <c r="CI726">
        <v>46</v>
      </c>
    </row>
    <row r="727" spans="1:87" x14ac:dyDescent="0.3">
      <c r="A727" s="2">
        <v>1112</v>
      </c>
      <c r="B727" s="2" t="s">
        <v>0</v>
      </c>
      <c r="C727" s="2" t="s">
        <v>1</v>
      </c>
      <c r="D727" s="2" t="s">
        <v>1191</v>
      </c>
      <c r="E727" s="2">
        <v>250</v>
      </c>
      <c r="F727" s="2">
        <v>2.76E-2</v>
      </c>
      <c r="G727" s="2">
        <v>2.3599999999999999E-2</v>
      </c>
      <c r="H727" s="4">
        <f t="shared" si="98"/>
        <v>0.14492753623188406</v>
      </c>
      <c r="I727" s="2" t="s">
        <v>98</v>
      </c>
      <c r="J727" s="2" t="s">
        <v>1187</v>
      </c>
      <c r="K727" s="2" t="s">
        <v>105</v>
      </c>
      <c r="L727" s="2" t="s">
        <v>76</v>
      </c>
      <c r="M727" s="155"/>
      <c r="N727" s="155"/>
      <c r="O727" s="2">
        <v>12</v>
      </c>
      <c r="P727" s="6">
        <v>34</v>
      </c>
      <c r="Q727" s="131">
        <f t="shared" si="99"/>
        <v>40.658823529411769</v>
      </c>
      <c r="R727" s="33">
        <f t="shared" si="103"/>
        <v>34</v>
      </c>
      <c r="S727" s="132">
        <f t="shared" si="100"/>
        <v>4.25</v>
      </c>
      <c r="T727" s="132">
        <f t="shared" si="104"/>
        <v>4.25</v>
      </c>
      <c r="V727" s="131" t="str">
        <f t="shared" si="102"/>
        <v/>
      </c>
      <c r="W727" s="17"/>
      <c r="X727" s="7"/>
      <c r="Y727" s="161"/>
      <c r="Z727" s="7"/>
      <c r="AA727" s="117"/>
      <c r="AB727" s="117"/>
      <c r="AC727" s="117"/>
      <c r="CH727">
        <v>6</v>
      </c>
      <c r="CI727">
        <v>90</v>
      </c>
    </row>
    <row r="728" spans="1:87" x14ac:dyDescent="0.3">
      <c r="A728" s="2">
        <v>1113</v>
      </c>
      <c r="B728" s="2" t="s">
        <v>0</v>
      </c>
      <c r="C728" s="2" t="s">
        <v>1</v>
      </c>
      <c r="D728" s="2" t="s">
        <v>1192</v>
      </c>
      <c r="E728" s="2">
        <v>250</v>
      </c>
      <c r="F728" s="2">
        <v>4.5199999999999997E-2</v>
      </c>
      <c r="G728" s="2">
        <v>3.6400000000000002E-2</v>
      </c>
      <c r="H728" s="4">
        <f t="shared" si="98"/>
        <v>0.19469026548672558</v>
      </c>
      <c r="I728" s="2" t="s">
        <v>82</v>
      </c>
      <c r="J728" s="2" t="s">
        <v>1091</v>
      </c>
      <c r="K728" s="2" t="s">
        <v>105</v>
      </c>
      <c r="L728" s="2" t="s">
        <v>76</v>
      </c>
      <c r="M728" s="155"/>
      <c r="N728" s="155"/>
      <c r="O728" s="2">
        <v>12</v>
      </c>
      <c r="P728" s="6">
        <v>55</v>
      </c>
      <c r="Q728" s="131">
        <f t="shared" si="99"/>
        <v>25.134545454545457</v>
      </c>
      <c r="R728" s="33">
        <f t="shared" si="103"/>
        <v>55</v>
      </c>
      <c r="S728" s="132">
        <f t="shared" si="100"/>
        <v>6.875</v>
      </c>
      <c r="T728" s="132">
        <f t="shared" si="104"/>
        <v>6.875</v>
      </c>
      <c r="V728" s="131" t="str">
        <f t="shared" si="102"/>
        <v/>
      </c>
      <c r="W728" s="17"/>
      <c r="X728" s="7"/>
      <c r="Y728" s="161"/>
      <c r="Z728" s="7"/>
      <c r="AA728" s="117"/>
      <c r="AB728" s="117"/>
      <c r="AC728" s="117"/>
      <c r="CH728">
        <v>2</v>
      </c>
      <c r="CI728">
        <v>85</v>
      </c>
    </row>
    <row r="729" spans="1:87" x14ac:dyDescent="0.3">
      <c r="A729" s="2">
        <v>1119</v>
      </c>
      <c r="B729" s="2" t="s">
        <v>0</v>
      </c>
      <c r="C729" s="2" t="s">
        <v>1</v>
      </c>
      <c r="D729" s="2" t="s">
        <v>1193</v>
      </c>
      <c r="E729" s="2">
        <v>480</v>
      </c>
      <c r="F729" s="2">
        <v>2.18E-2</v>
      </c>
      <c r="G729" s="2">
        <v>1.49E-2</v>
      </c>
      <c r="H729" s="4">
        <f t="shared" si="98"/>
        <v>0.3165137614678899</v>
      </c>
      <c r="I729" s="2" t="s">
        <v>98</v>
      </c>
      <c r="J729" s="2" t="s">
        <v>99</v>
      </c>
      <c r="K729" s="2" t="s">
        <v>261</v>
      </c>
      <c r="L729" s="2" t="s">
        <v>76</v>
      </c>
      <c r="M729" s="155"/>
      <c r="N729" s="155"/>
      <c r="O729" s="2">
        <v>12</v>
      </c>
      <c r="P729" s="6">
        <v>21</v>
      </c>
      <c r="Q729" s="131">
        <f t="shared" si="99"/>
        <v>34.285714285714285</v>
      </c>
      <c r="R729" s="33">
        <f t="shared" si="103"/>
        <v>21</v>
      </c>
      <c r="S729" s="132">
        <f t="shared" si="100"/>
        <v>2.625</v>
      </c>
      <c r="T729" s="132">
        <f t="shared" si="104"/>
        <v>2.625</v>
      </c>
      <c r="V729" s="131" t="str">
        <f t="shared" si="102"/>
        <v/>
      </c>
      <c r="W729" s="17"/>
      <c r="X729" s="7"/>
      <c r="Y729" s="161"/>
      <c r="Z729" s="7"/>
      <c r="AA729" s="117"/>
      <c r="AB729" s="117"/>
      <c r="AC729" s="117"/>
      <c r="CH729">
        <v>6</v>
      </c>
      <c r="CI729">
        <v>85</v>
      </c>
    </row>
    <row r="730" spans="1:87" x14ac:dyDescent="0.3">
      <c r="A730" s="2">
        <v>1120</v>
      </c>
      <c r="B730" s="2" t="s">
        <v>0</v>
      </c>
      <c r="C730" s="2" t="s">
        <v>1</v>
      </c>
      <c r="D730" s="2" t="s">
        <v>1194</v>
      </c>
      <c r="E730" s="2">
        <v>480</v>
      </c>
      <c r="F730" s="2">
        <v>3.1600000000000003E-2</v>
      </c>
      <c r="G730" s="2">
        <v>2.0400000000000001E-2</v>
      </c>
      <c r="H730" s="4">
        <f t="shared" si="98"/>
        <v>0.35443037974683544</v>
      </c>
      <c r="I730" s="2" t="s">
        <v>82</v>
      </c>
      <c r="J730" s="2" t="s">
        <v>579</v>
      </c>
      <c r="K730" s="2" t="s">
        <v>261</v>
      </c>
      <c r="L730" s="2" t="s">
        <v>76</v>
      </c>
      <c r="M730" s="155"/>
      <c r="N730" s="155"/>
      <c r="O730" s="2">
        <v>12</v>
      </c>
      <c r="P730" s="6">
        <v>21</v>
      </c>
      <c r="Q730" s="131">
        <f t="shared" si="99"/>
        <v>34.285714285714285</v>
      </c>
      <c r="R730" s="33">
        <f t="shared" si="103"/>
        <v>21</v>
      </c>
      <c r="S730" s="132">
        <f t="shared" si="100"/>
        <v>2.625</v>
      </c>
      <c r="T730" s="132">
        <f t="shared" si="104"/>
        <v>2.625</v>
      </c>
      <c r="V730" s="131" t="str">
        <f t="shared" si="102"/>
        <v/>
      </c>
      <c r="W730" s="17"/>
      <c r="X730" s="7"/>
      <c r="Y730" s="161"/>
      <c r="Z730" s="7"/>
      <c r="AA730" s="117"/>
      <c r="AB730" s="117"/>
      <c r="AC730" s="117"/>
      <c r="CH730">
        <v>4</v>
      </c>
      <c r="CI730">
        <v>73</v>
      </c>
    </row>
    <row r="731" spans="1:87" x14ac:dyDescent="0.3">
      <c r="A731" s="2">
        <v>1121</v>
      </c>
      <c r="B731" s="23" t="s">
        <v>0</v>
      </c>
      <c r="C731" s="2" t="s">
        <v>1</v>
      </c>
      <c r="D731" s="2" t="s">
        <v>1195</v>
      </c>
      <c r="E731" s="2">
        <v>100</v>
      </c>
      <c r="F731" s="2">
        <v>1.5800000000000002E-2</v>
      </c>
      <c r="G731" s="2">
        <v>8.8999999999999999E-3</v>
      </c>
      <c r="H731" s="4">
        <f t="shared" si="98"/>
        <v>0.43670886075949372</v>
      </c>
      <c r="I731" s="2" t="s">
        <v>98</v>
      </c>
      <c r="J731" s="2" t="s">
        <v>1196</v>
      </c>
      <c r="K731" s="2"/>
      <c r="L731" s="2"/>
      <c r="M731" s="155"/>
      <c r="N731" s="155"/>
      <c r="O731" s="2">
        <v>18</v>
      </c>
      <c r="P731" s="6">
        <v>130</v>
      </c>
      <c r="Q731" s="131">
        <f t="shared" si="99"/>
        <v>39.876923076923077</v>
      </c>
      <c r="R731" s="33">
        <f t="shared" si="103"/>
        <v>130</v>
      </c>
      <c r="S731" s="132">
        <f t="shared" si="100"/>
        <v>16.25</v>
      </c>
      <c r="T731" s="132">
        <f t="shared" si="104"/>
        <v>16.25</v>
      </c>
      <c r="V731" s="131" t="str">
        <f t="shared" si="102"/>
        <v/>
      </c>
      <c r="W731" s="17"/>
      <c r="X731" s="7"/>
      <c r="Y731" s="161"/>
      <c r="Z731" s="7"/>
      <c r="AA731" s="117"/>
      <c r="AB731" s="117"/>
      <c r="AC731" s="117"/>
      <c r="CH731">
        <v>3</v>
      </c>
      <c r="CI731">
        <v>62</v>
      </c>
    </row>
    <row r="732" spans="1:87" x14ac:dyDescent="0.3">
      <c r="A732" s="2">
        <v>1123</v>
      </c>
      <c r="B732" s="2" t="s">
        <v>0</v>
      </c>
      <c r="C732" s="2" t="s">
        <v>1</v>
      </c>
      <c r="D732" s="2" t="s">
        <v>1197</v>
      </c>
      <c r="E732" s="2">
        <v>650</v>
      </c>
      <c r="F732" s="2">
        <v>1.5800000000000002E-2</v>
      </c>
      <c r="G732" s="2">
        <v>8.8999999999999999E-3</v>
      </c>
      <c r="H732" s="4">
        <f t="shared" si="98"/>
        <v>0.43670886075949372</v>
      </c>
      <c r="I732" s="2" t="s">
        <v>98</v>
      </c>
      <c r="J732" s="2" t="s">
        <v>99</v>
      </c>
      <c r="K732" s="2" t="s">
        <v>105</v>
      </c>
      <c r="L732" s="2" t="s">
        <v>76</v>
      </c>
      <c r="M732" s="155"/>
      <c r="N732" s="155"/>
      <c r="O732" s="2">
        <v>18</v>
      </c>
      <c r="P732" s="6">
        <v>130</v>
      </c>
      <c r="Q732" s="131">
        <f t="shared" si="99"/>
        <v>6.1349112426035504</v>
      </c>
      <c r="R732" s="33">
        <f t="shared" si="103"/>
        <v>130</v>
      </c>
      <c r="S732" s="132">
        <f t="shared" si="100"/>
        <v>16.25</v>
      </c>
      <c r="T732" s="132">
        <f t="shared" si="104"/>
        <v>16.25</v>
      </c>
      <c r="V732" s="131" t="str">
        <f t="shared" si="102"/>
        <v/>
      </c>
      <c r="W732" s="17"/>
      <c r="X732" s="7"/>
      <c r="Y732" s="161"/>
      <c r="Z732" s="7"/>
      <c r="AA732" s="117"/>
      <c r="AB732" s="117"/>
      <c r="AC732" s="117"/>
      <c r="CH732">
        <v>1</v>
      </c>
      <c r="CI732">
        <v>88</v>
      </c>
    </row>
    <row r="733" spans="1:87" x14ac:dyDescent="0.3">
      <c r="A733" s="2">
        <v>1124</v>
      </c>
      <c r="B733" s="2" t="s">
        <v>0</v>
      </c>
      <c r="C733" s="2" t="s">
        <v>1</v>
      </c>
      <c r="D733" s="2" t="s">
        <v>1198</v>
      </c>
      <c r="E733" s="2">
        <v>100</v>
      </c>
      <c r="F733" s="2">
        <v>3.95E-2</v>
      </c>
      <c r="G733" s="2">
        <v>2.3900000000000001E-2</v>
      </c>
      <c r="H733" s="4">
        <f t="shared" si="98"/>
        <v>0.39493670886075949</v>
      </c>
      <c r="I733" s="2" t="s">
        <v>1199</v>
      </c>
      <c r="J733" s="2" t="s">
        <v>1200</v>
      </c>
      <c r="K733" s="2"/>
      <c r="L733" s="2"/>
      <c r="M733" s="155"/>
      <c r="N733" s="155"/>
      <c r="O733" s="2">
        <v>1</v>
      </c>
      <c r="P733" s="6"/>
      <c r="Q733" s="131" t="str">
        <f t="shared" si="99"/>
        <v/>
      </c>
      <c r="R733" s="33" t="str">
        <f t="shared" si="103"/>
        <v/>
      </c>
      <c r="S733" s="132" t="str">
        <f t="shared" si="100"/>
        <v/>
      </c>
      <c r="T733" s="132" t="str">
        <f t="shared" si="104"/>
        <v/>
      </c>
      <c r="V733" s="131" t="str">
        <f t="shared" si="102"/>
        <v/>
      </c>
      <c r="W733" s="17"/>
      <c r="X733" s="7"/>
      <c r="Y733" s="161"/>
      <c r="Z733" s="7"/>
      <c r="AA733" s="117"/>
      <c r="AB733" s="117"/>
      <c r="AC733" s="117"/>
      <c r="CH733">
        <v>4</v>
      </c>
      <c r="CI733">
        <v>35</v>
      </c>
    </row>
    <row r="734" spans="1:87" x14ac:dyDescent="0.3">
      <c r="A734" s="23">
        <v>1125</v>
      </c>
      <c r="B734" s="2" t="s">
        <v>0</v>
      </c>
      <c r="C734" s="2" t="s">
        <v>1</v>
      </c>
      <c r="D734" s="2" t="s">
        <v>1201</v>
      </c>
      <c r="E734" s="2">
        <v>100</v>
      </c>
      <c r="F734" s="2">
        <v>2.3699999999999999E-2</v>
      </c>
      <c r="G734" s="2">
        <v>1.4999999999999999E-2</v>
      </c>
      <c r="H734" s="4">
        <f t="shared" si="98"/>
        <v>0.36708860759493672</v>
      </c>
      <c r="I734" s="2" t="s">
        <v>82</v>
      </c>
      <c r="J734" s="2" t="s">
        <v>1202</v>
      </c>
      <c r="K734" s="2" t="s">
        <v>163</v>
      </c>
      <c r="L734" s="2" t="s">
        <v>6</v>
      </c>
      <c r="M734" s="155">
        <v>1</v>
      </c>
      <c r="N734" s="155">
        <v>100</v>
      </c>
      <c r="O734" s="2">
        <v>18</v>
      </c>
      <c r="P734" s="6">
        <v>160</v>
      </c>
      <c r="Q734" s="131">
        <f t="shared" si="99"/>
        <v>32.4</v>
      </c>
      <c r="R734" s="33">
        <f t="shared" si="103"/>
        <v>160</v>
      </c>
      <c r="S734" s="132">
        <f t="shared" si="100"/>
        <v>20</v>
      </c>
      <c r="T734" s="132">
        <f t="shared" si="104"/>
        <v>20</v>
      </c>
      <c r="V734" s="131">
        <f t="shared" si="102"/>
        <v>114.43708609271523</v>
      </c>
      <c r="W734" s="17">
        <v>45.3</v>
      </c>
      <c r="X734" s="8">
        <f>60*60*8/W734</f>
        <v>635.76158940397352</v>
      </c>
      <c r="Y734" s="161">
        <v>45608</v>
      </c>
      <c r="Z734" s="7" t="s">
        <v>7</v>
      </c>
      <c r="AA734" s="117"/>
      <c r="AB734" s="117"/>
      <c r="AC734" s="117"/>
      <c r="AD734" s="24">
        <v>45609</v>
      </c>
      <c r="AE734">
        <v>3</v>
      </c>
      <c r="AF734">
        <v>9.8000000000000007</v>
      </c>
      <c r="AH734">
        <v>4</v>
      </c>
      <c r="AI734">
        <v>0.9</v>
      </c>
      <c r="AJ734">
        <v>0.7</v>
      </c>
      <c r="AK734">
        <v>11</v>
      </c>
      <c r="AL734">
        <v>11.5</v>
      </c>
      <c r="AN734">
        <v>12</v>
      </c>
      <c r="AO734">
        <v>0.1</v>
      </c>
      <c r="AP734">
        <v>0.4</v>
      </c>
      <c r="AS734">
        <v>45.3</v>
      </c>
      <c r="AT734">
        <v>6</v>
      </c>
      <c r="AU734">
        <v>16</v>
      </c>
      <c r="AV734">
        <v>126</v>
      </c>
      <c r="AW734">
        <v>143</v>
      </c>
      <c r="AX734">
        <v>20</v>
      </c>
      <c r="AY734">
        <v>32</v>
      </c>
      <c r="AZ734">
        <v>94</v>
      </c>
      <c r="BA734">
        <v>105</v>
      </c>
      <c r="BB734">
        <v>430</v>
      </c>
      <c r="CH734">
        <v>1</v>
      </c>
      <c r="CI734">
        <v>89</v>
      </c>
    </row>
    <row r="735" spans="1:87" x14ac:dyDescent="0.3">
      <c r="A735" s="2">
        <v>1127</v>
      </c>
      <c r="B735" s="2" t="s">
        <v>0</v>
      </c>
      <c r="C735" s="2" t="s">
        <v>1</v>
      </c>
      <c r="D735" s="2" t="s">
        <v>1203</v>
      </c>
      <c r="E735" s="2">
        <v>650</v>
      </c>
      <c r="F735" s="2">
        <v>2.1000000000000001E-2</v>
      </c>
      <c r="G735" s="2">
        <v>1.2699999999999999E-2</v>
      </c>
      <c r="H735" s="4">
        <f t="shared" si="98"/>
        <v>0.39523809523809528</v>
      </c>
      <c r="I735" s="2" t="s">
        <v>82</v>
      </c>
      <c r="J735" s="2" t="s">
        <v>581</v>
      </c>
      <c r="K735" s="2" t="s">
        <v>105</v>
      </c>
      <c r="L735" s="2" t="s">
        <v>76</v>
      </c>
      <c r="M735" s="155"/>
      <c r="N735" s="155"/>
      <c r="O735" s="2">
        <v>18</v>
      </c>
      <c r="P735" s="6">
        <v>22</v>
      </c>
      <c r="Q735" s="131">
        <f t="shared" si="99"/>
        <v>36.251748251748253</v>
      </c>
      <c r="R735" s="33">
        <f t="shared" si="103"/>
        <v>22</v>
      </c>
      <c r="S735" s="132">
        <f t="shared" si="100"/>
        <v>2.75</v>
      </c>
      <c r="T735" s="132">
        <f t="shared" si="104"/>
        <v>2.75</v>
      </c>
      <c r="V735" s="131" t="str">
        <f t="shared" si="102"/>
        <v/>
      </c>
      <c r="W735" s="17"/>
      <c r="X735" s="7"/>
      <c r="Y735" s="161"/>
      <c r="Z735" s="7"/>
      <c r="AA735" s="117"/>
      <c r="AB735" s="117"/>
      <c r="AC735" s="117"/>
      <c r="CH735">
        <v>4</v>
      </c>
      <c r="CI735">
        <v>30</v>
      </c>
    </row>
    <row r="736" spans="1:87" x14ac:dyDescent="0.3">
      <c r="A736" s="23">
        <v>1216</v>
      </c>
      <c r="B736" s="2" t="s">
        <v>0</v>
      </c>
      <c r="C736" s="2" t="s">
        <v>1</v>
      </c>
      <c r="D736" s="2" t="s">
        <v>1204</v>
      </c>
      <c r="E736" s="2">
        <v>1150</v>
      </c>
      <c r="F736" s="2">
        <v>3.5000000000000001E-3</v>
      </c>
      <c r="G736" s="2">
        <v>2.3999999999999998E-3</v>
      </c>
      <c r="H736" s="4">
        <f t="shared" si="98"/>
        <v>0.31428571428571433</v>
      </c>
      <c r="I736" s="2" t="s">
        <v>98</v>
      </c>
      <c r="J736" s="2" t="s">
        <v>1022</v>
      </c>
      <c r="K736" s="2" t="s">
        <v>90</v>
      </c>
      <c r="L736" s="2" t="s">
        <v>6</v>
      </c>
      <c r="M736" s="155"/>
      <c r="N736" s="155"/>
      <c r="O736" s="2">
        <v>36</v>
      </c>
      <c r="P736" s="6">
        <v>9</v>
      </c>
      <c r="Q736" s="131">
        <f t="shared" si="99"/>
        <v>100.17391304347827</v>
      </c>
      <c r="R736" s="33">
        <f t="shared" si="103"/>
        <v>9</v>
      </c>
      <c r="S736" s="132">
        <f t="shared" si="100"/>
        <v>1.125</v>
      </c>
      <c r="T736" s="132">
        <f t="shared" si="104"/>
        <v>1.125</v>
      </c>
      <c r="V736" s="131">
        <f t="shared" si="102"/>
        <v>25.46794399410464</v>
      </c>
      <c r="W736" s="17">
        <v>35.4</v>
      </c>
      <c r="X736" s="8">
        <f>60*60*8/W736</f>
        <v>813.5593220338983</v>
      </c>
      <c r="Y736" s="161">
        <v>45425</v>
      </c>
      <c r="Z736" s="7" t="s">
        <v>7</v>
      </c>
      <c r="AA736" s="117"/>
      <c r="AB736" s="117"/>
      <c r="AC736" s="117"/>
      <c r="CH736">
        <v>4</v>
      </c>
      <c r="CI736">
        <v>36</v>
      </c>
    </row>
    <row r="737" spans="1:87" x14ac:dyDescent="0.3">
      <c r="A737" s="2">
        <v>1217</v>
      </c>
      <c r="B737" s="2" t="s">
        <v>0</v>
      </c>
      <c r="C737" s="2" t="s">
        <v>1</v>
      </c>
      <c r="D737" s="23" t="s">
        <v>1205</v>
      </c>
      <c r="E737" s="2">
        <v>1150</v>
      </c>
      <c r="F737" s="2">
        <v>3.5999999999999999E-3</v>
      </c>
      <c r="G737" s="2">
        <v>2.0999999999999999E-3</v>
      </c>
      <c r="H737" s="4">
        <f t="shared" si="98"/>
        <v>0.41666666666666669</v>
      </c>
      <c r="I737" s="2" t="s">
        <v>82</v>
      </c>
      <c r="J737" s="2" t="s">
        <v>645</v>
      </c>
      <c r="K737" s="2" t="s">
        <v>90</v>
      </c>
      <c r="L737" s="2" t="s">
        <v>6</v>
      </c>
      <c r="M737" s="155"/>
      <c r="N737" s="155"/>
      <c r="O737" s="2">
        <v>36</v>
      </c>
      <c r="P737" s="6">
        <v>12</v>
      </c>
      <c r="Q737" s="131">
        <f t="shared" si="99"/>
        <v>75.130434782608702</v>
      </c>
      <c r="R737" s="33">
        <f t="shared" si="103"/>
        <v>12</v>
      </c>
      <c r="S737" s="132">
        <f t="shared" si="100"/>
        <v>1.5</v>
      </c>
      <c r="T737" s="132">
        <f t="shared" si="104"/>
        <v>1.5</v>
      </c>
      <c r="V737" s="131" t="str">
        <f t="shared" si="102"/>
        <v/>
      </c>
      <c r="W737" s="17"/>
      <c r="X737" s="7"/>
      <c r="Y737" s="161"/>
      <c r="Z737" s="7"/>
      <c r="AA737" s="117"/>
      <c r="AB737" s="117"/>
      <c r="AC737" s="117"/>
      <c r="CH737">
        <v>3</v>
      </c>
      <c r="CI737">
        <v>54</v>
      </c>
    </row>
    <row r="738" spans="1:87" x14ac:dyDescent="0.3">
      <c r="A738" s="2">
        <v>1711</v>
      </c>
      <c r="B738" s="2" t="s">
        <v>0</v>
      </c>
      <c r="C738" s="2" t="s">
        <v>1</v>
      </c>
      <c r="D738" s="2" t="s">
        <v>1206</v>
      </c>
      <c r="E738" s="2">
        <v>1000</v>
      </c>
      <c r="F738" s="2">
        <v>1.8599999999999998E-2</v>
      </c>
      <c r="G738" s="2">
        <v>1.46E-2</v>
      </c>
      <c r="H738" s="4">
        <f t="shared" si="98"/>
        <v>0.21505376344086014</v>
      </c>
      <c r="I738" s="2" t="s">
        <v>82</v>
      </c>
      <c r="J738" s="2" t="s">
        <v>645</v>
      </c>
      <c r="K738" s="2" t="s">
        <v>105</v>
      </c>
      <c r="L738" s="2" t="s">
        <v>76</v>
      </c>
      <c r="M738" s="155"/>
      <c r="N738" s="155"/>
      <c r="O738" s="2">
        <v>10</v>
      </c>
      <c r="P738" s="6">
        <v>13</v>
      </c>
      <c r="Q738" s="131">
        <f t="shared" si="99"/>
        <v>22.153846153846153</v>
      </c>
      <c r="R738" s="33">
        <f t="shared" si="103"/>
        <v>13</v>
      </c>
      <c r="S738" s="132">
        <f t="shared" si="100"/>
        <v>1.625</v>
      </c>
      <c r="T738" s="132">
        <f t="shared" si="104"/>
        <v>1.625</v>
      </c>
      <c r="V738" s="131" t="str">
        <f t="shared" si="102"/>
        <v/>
      </c>
      <c r="W738" s="17"/>
      <c r="X738" s="7"/>
      <c r="Y738" s="161"/>
      <c r="Z738" s="7"/>
      <c r="AA738" s="117"/>
      <c r="AB738" s="117"/>
      <c r="AC738" s="117"/>
      <c r="CH738">
        <v>2</v>
      </c>
      <c r="CI738">
        <v>90</v>
      </c>
    </row>
    <row r="739" spans="1:87" x14ac:dyDescent="0.3">
      <c r="A739" s="2">
        <v>1712</v>
      </c>
      <c r="B739" s="2" t="s">
        <v>0</v>
      </c>
      <c r="C739" s="2" t="s">
        <v>1</v>
      </c>
      <c r="D739" s="2" t="s">
        <v>1207</v>
      </c>
      <c r="E739" s="2">
        <v>1000</v>
      </c>
      <c r="F739" s="2">
        <v>2.9100000000000001E-2</v>
      </c>
      <c r="G739" s="2">
        <v>1.9900000000000001E-2</v>
      </c>
      <c r="H739" s="4">
        <f t="shared" si="98"/>
        <v>0.31615120274914088</v>
      </c>
      <c r="I739" s="2" t="s">
        <v>82</v>
      </c>
      <c r="J739" s="2" t="s">
        <v>743</v>
      </c>
      <c r="K739" s="2" t="s">
        <v>105</v>
      </c>
      <c r="L739" s="2" t="s">
        <v>76</v>
      </c>
      <c r="M739" s="155"/>
      <c r="N739" s="155"/>
      <c r="O739" s="2">
        <v>6</v>
      </c>
      <c r="P739" s="6">
        <v>16</v>
      </c>
      <c r="Q739" s="131">
        <f t="shared" si="99"/>
        <v>10.8</v>
      </c>
      <c r="R739" s="33">
        <f t="shared" si="103"/>
        <v>16</v>
      </c>
      <c r="S739" s="132">
        <f t="shared" si="100"/>
        <v>2</v>
      </c>
      <c r="T739" s="132">
        <f t="shared" si="104"/>
        <v>2</v>
      </c>
      <c r="V739" s="131" t="str">
        <f t="shared" si="102"/>
        <v/>
      </c>
      <c r="W739" s="17"/>
      <c r="X739" s="7"/>
      <c r="Y739" s="161"/>
      <c r="Z739" s="7"/>
      <c r="AA739" s="117"/>
      <c r="AB739" s="117"/>
      <c r="AC739" s="117"/>
      <c r="CH739">
        <v>2</v>
      </c>
      <c r="CI739">
        <v>38</v>
      </c>
    </row>
    <row r="740" spans="1:87" x14ac:dyDescent="0.3">
      <c r="A740" s="2">
        <v>1714</v>
      </c>
      <c r="B740" s="2" t="s">
        <v>84</v>
      </c>
      <c r="C740" s="2" t="s">
        <v>1</v>
      </c>
      <c r="D740" s="2" t="s">
        <v>1208</v>
      </c>
      <c r="E740" s="2">
        <v>1440</v>
      </c>
      <c r="F740" s="2">
        <v>1.0200000000000001E-2</v>
      </c>
      <c r="G740" s="2">
        <v>5.8999999999999999E-3</v>
      </c>
      <c r="H740" s="4">
        <f t="shared" si="98"/>
        <v>0.42156862745098045</v>
      </c>
      <c r="I740" s="2" t="s">
        <v>455</v>
      </c>
      <c r="J740" s="2" t="s">
        <v>1209</v>
      </c>
      <c r="K740" s="2" t="s">
        <v>90</v>
      </c>
      <c r="L740" s="2" t="s">
        <v>6</v>
      </c>
      <c r="M740" s="155"/>
      <c r="N740" s="155"/>
      <c r="O740" s="2">
        <v>24</v>
      </c>
      <c r="P740" s="6">
        <v>12</v>
      </c>
      <c r="Q740" s="131">
        <f t="shared" si="99"/>
        <v>40</v>
      </c>
      <c r="R740" s="33">
        <f t="shared" si="103"/>
        <v>12</v>
      </c>
      <c r="S740" s="132">
        <f t="shared" si="100"/>
        <v>1.5</v>
      </c>
      <c r="T740" s="132">
        <f t="shared" si="104"/>
        <v>1.5</v>
      </c>
      <c r="V740" s="131" t="str">
        <f t="shared" si="102"/>
        <v/>
      </c>
      <c r="W740" s="17"/>
      <c r="X740" s="7"/>
      <c r="Y740" s="161"/>
      <c r="Z740" s="7"/>
      <c r="AA740" s="117"/>
      <c r="AB740" s="117"/>
      <c r="AC740" s="117"/>
      <c r="CH740">
        <v>2</v>
      </c>
      <c r="CI740">
        <v>83</v>
      </c>
    </row>
    <row r="741" spans="1:87" x14ac:dyDescent="0.3">
      <c r="A741" s="2">
        <v>1717</v>
      </c>
      <c r="B741" s="2" t="s">
        <v>0</v>
      </c>
      <c r="C741" s="2" t="s">
        <v>1</v>
      </c>
      <c r="D741" s="2" t="s">
        <v>1210</v>
      </c>
      <c r="E741" s="2">
        <v>4600</v>
      </c>
      <c r="F741" s="2">
        <v>3.5000000000000001E-3</v>
      </c>
      <c r="G741" s="2">
        <v>2.5000000000000001E-3</v>
      </c>
      <c r="H741" s="4">
        <f t="shared" si="98"/>
        <v>0.2857142857142857</v>
      </c>
      <c r="I741" s="2" t="s">
        <v>82</v>
      </c>
      <c r="J741" s="2" t="s">
        <v>598</v>
      </c>
      <c r="K741" s="2"/>
      <c r="L741" s="2"/>
      <c r="M741" s="155"/>
      <c r="N741" s="155"/>
      <c r="O741" s="2">
        <v>72</v>
      </c>
      <c r="P741" s="6">
        <v>7</v>
      </c>
      <c r="Q741" s="131">
        <f t="shared" si="99"/>
        <v>64.397515527950318</v>
      </c>
      <c r="R741" s="33">
        <f t="shared" si="103"/>
        <v>6.9999999999999991</v>
      </c>
      <c r="S741" s="132">
        <f t="shared" si="100"/>
        <v>0.87499999999999989</v>
      </c>
      <c r="T741" s="132">
        <f t="shared" si="104"/>
        <v>0.87499999999999989</v>
      </c>
      <c r="V741" s="131" t="str">
        <f t="shared" si="102"/>
        <v/>
      </c>
      <c r="W741" s="17"/>
      <c r="X741" s="7"/>
      <c r="Y741" s="161"/>
      <c r="Z741" s="7"/>
      <c r="AA741" s="117"/>
      <c r="AB741" s="117"/>
      <c r="AC741" s="117"/>
      <c r="CH741">
        <v>4</v>
      </c>
      <c r="CI741">
        <v>54</v>
      </c>
    </row>
    <row r="742" spans="1:87" x14ac:dyDescent="0.3">
      <c r="A742" s="2">
        <v>1736</v>
      </c>
      <c r="B742" s="2" t="s">
        <v>0</v>
      </c>
      <c r="C742" s="2" t="s">
        <v>1</v>
      </c>
      <c r="D742" s="2" t="s">
        <v>1211</v>
      </c>
      <c r="E742" s="2">
        <v>2400</v>
      </c>
      <c r="F742" s="2">
        <v>2.5000000000000001E-3</v>
      </c>
      <c r="G742" s="2">
        <v>1.8E-3</v>
      </c>
      <c r="H742" s="4">
        <f t="shared" si="98"/>
        <v>0.28000000000000003</v>
      </c>
      <c r="I742" s="2" t="s">
        <v>82</v>
      </c>
      <c r="J742" s="2" t="s">
        <v>645</v>
      </c>
      <c r="K742" s="2" t="s">
        <v>5</v>
      </c>
      <c r="L742" s="2" t="s">
        <v>6</v>
      </c>
      <c r="M742" s="155"/>
      <c r="N742" s="155"/>
      <c r="O742" s="2">
        <v>48</v>
      </c>
      <c r="P742" s="6">
        <v>16</v>
      </c>
      <c r="Q742" s="131">
        <f t="shared" si="99"/>
        <v>36</v>
      </c>
      <c r="R742" s="33">
        <f t="shared" si="103"/>
        <v>16</v>
      </c>
      <c r="S742" s="132">
        <f t="shared" si="100"/>
        <v>2</v>
      </c>
      <c r="T742" s="132">
        <f t="shared" si="104"/>
        <v>2</v>
      </c>
      <c r="V742" s="131" t="str">
        <f t="shared" si="102"/>
        <v/>
      </c>
      <c r="W742" s="17"/>
      <c r="X742" s="7"/>
      <c r="Y742" s="161"/>
      <c r="Z742" s="7"/>
      <c r="AA742" s="117"/>
      <c r="AB742" s="117"/>
      <c r="AC742" s="117"/>
      <c r="CH742">
        <v>6</v>
      </c>
      <c r="CI742">
        <v>44</v>
      </c>
    </row>
    <row r="743" spans="1:87" x14ac:dyDescent="0.3">
      <c r="A743" s="2">
        <v>1737</v>
      </c>
      <c r="B743" s="2" t="s">
        <v>0</v>
      </c>
      <c r="C743" s="2" t="s">
        <v>1</v>
      </c>
      <c r="D743" s="2" t="s">
        <v>1212</v>
      </c>
      <c r="E743" s="2">
        <v>4800</v>
      </c>
      <c r="F743" s="2">
        <v>2.5000000000000001E-3</v>
      </c>
      <c r="G743" s="2">
        <v>1.8E-3</v>
      </c>
      <c r="H743" s="4">
        <f t="shared" si="98"/>
        <v>0.28000000000000003</v>
      </c>
      <c r="I743" s="2" t="s">
        <v>82</v>
      </c>
      <c r="J743" s="2" t="s">
        <v>645</v>
      </c>
      <c r="K743" s="2" t="s">
        <v>90</v>
      </c>
      <c r="L743" s="2" t="s">
        <v>6</v>
      </c>
      <c r="M743" s="155"/>
      <c r="N743" s="155"/>
      <c r="O743" s="2">
        <v>48</v>
      </c>
      <c r="P743" s="6">
        <v>8</v>
      </c>
      <c r="Q743" s="131">
        <f t="shared" si="99"/>
        <v>36</v>
      </c>
      <c r="R743" s="33">
        <f t="shared" si="103"/>
        <v>8</v>
      </c>
      <c r="S743" s="132">
        <f t="shared" si="100"/>
        <v>1</v>
      </c>
      <c r="T743" s="132">
        <f t="shared" si="104"/>
        <v>1</v>
      </c>
      <c r="V743" s="131" t="str">
        <f t="shared" si="102"/>
        <v/>
      </c>
      <c r="W743" s="17"/>
      <c r="X743" s="7"/>
      <c r="Y743" s="161"/>
      <c r="Z743" s="7"/>
      <c r="AA743" s="117"/>
      <c r="AB743" s="117"/>
      <c r="AC743" s="117"/>
      <c r="CH743">
        <v>2</v>
      </c>
      <c r="CI743">
        <v>85</v>
      </c>
    </row>
    <row r="744" spans="1:87" x14ac:dyDescent="0.3">
      <c r="A744" s="2">
        <v>1754</v>
      </c>
      <c r="B744" s="2" t="s">
        <v>0</v>
      </c>
      <c r="C744" s="2" t="s">
        <v>1</v>
      </c>
      <c r="D744" s="2" t="s">
        <v>1213</v>
      </c>
      <c r="E744" s="2">
        <v>300</v>
      </c>
      <c r="F744" s="2">
        <v>9.6799999999999997E-2</v>
      </c>
      <c r="G744" s="2">
        <v>5.96E-2</v>
      </c>
      <c r="H744" s="4">
        <f t="shared" si="98"/>
        <v>0.38429752066115702</v>
      </c>
      <c r="I744" s="2" t="s">
        <v>98</v>
      </c>
      <c r="J744" s="2" t="s">
        <v>631</v>
      </c>
      <c r="K744" s="2" t="s">
        <v>413</v>
      </c>
      <c r="L744" s="2" t="s">
        <v>76</v>
      </c>
      <c r="M744" s="155"/>
      <c r="N744" s="155"/>
      <c r="O744" s="2">
        <v>6</v>
      </c>
      <c r="P744" s="6">
        <v>20</v>
      </c>
      <c r="Q744" s="131">
        <f t="shared" si="99"/>
        <v>28.8</v>
      </c>
      <c r="R744" s="33">
        <f t="shared" si="103"/>
        <v>20</v>
      </c>
      <c r="S744" s="132">
        <f t="shared" si="100"/>
        <v>2.5</v>
      </c>
      <c r="T744" s="132">
        <f t="shared" si="104"/>
        <v>2.5</v>
      </c>
      <c r="V744" s="131" t="str">
        <f t="shared" si="102"/>
        <v/>
      </c>
      <c r="W744" s="17"/>
      <c r="X744" s="7"/>
      <c r="Y744" s="161"/>
      <c r="Z744" s="7"/>
      <c r="AA744" s="117"/>
      <c r="AB744" s="117"/>
      <c r="AC744" s="117"/>
      <c r="CH744">
        <v>1</v>
      </c>
      <c r="CI744">
        <v>62</v>
      </c>
    </row>
    <row r="745" spans="1:87" x14ac:dyDescent="0.3">
      <c r="A745" s="2">
        <v>1755</v>
      </c>
      <c r="B745" s="2" t="s">
        <v>0</v>
      </c>
      <c r="C745" s="2" t="s">
        <v>1</v>
      </c>
      <c r="D745" s="2" t="s">
        <v>1214</v>
      </c>
      <c r="E745" s="2">
        <v>300</v>
      </c>
      <c r="F745" s="2">
        <v>9.6799999999999997E-2</v>
      </c>
      <c r="G745" s="2">
        <v>5.96E-2</v>
      </c>
      <c r="H745" s="4">
        <f t="shared" si="98"/>
        <v>0.38429752066115702</v>
      </c>
      <c r="I745" s="2" t="s">
        <v>98</v>
      </c>
      <c r="J745" s="2" t="s">
        <v>631</v>
      </c>
      <c r="K745" s="2" t="s">
        <v>413</v>
      </c>
      <c r="L745" s="2" t="s">
        <v>76</v>
      </c>
      <c r="M745" s="155"/>
      <c r="N745" s="155"/>
      <c r="O745" s="2">
        <v>6</v>
      </c>
      <c r="P745" s="6">
        <v>20</v>
      </c>
      <c r="Q745" s="131">
        <f t="shared" si="99"/>
        <v>28.8</v>
      </c>
      <c r="R745" s="33">
        <f t="shared" si="103"/>
        <v>20</v>
      </c>
      <c r="S745" s="132">
        <f t="shared" si="100"/>
        <v>2.5</v>
      </c>
      <c r="T745" s="132">
        <f t="shared" si="104"/>
        <v>2.5</v>
      </c>
      <c r="V745" s="131" t="str">
        <f t="shared" si="102"/>
        <v/>
      </c>
      <c r="W745" s="17"/>
      <c r="X745" s="7"/>
      <c r="Y745" s="161"/>
      <c r="Z745" s="7"/>
      <c r="AA745" s="117"/>
      <c r="AB745" s="117"/>
      <c r="AC745" s="117"/>
      <c r="CH745">
        <v>3</v>
      </c>
      <c r="CI745">
        <v>78</v>
      </c>
    </row>
    <row r="746" spans="1:87" x14ac:dyDescent="0.3">
      <c r="A746" s="2">
        <v>1756</v>
      </c>
      <c r="B746" s="2" t="s">
        <v>0</v>
      </c>
      <c r="C746" s="2" t="s">
        <v>1</v>
      </c>
      <c r="D746" s="2" t="s">
        <v>1215</v>
      </c>
      <c r="E746" s="2">
        <v>300</v>
      </c>
      <c r="F746" s="2">
        <v>9.6799999999999997E-2</v>
      </c>
      <c r="G746" s="2">
        <v>5.96E-2</v>
      </c>
      <c r="H746" s="4">
        <f t="shared" si="98"/>
        <v>0.38429752066115702</v>
      </c>
      <c r="I746" s="2" t="s">
        <v>98</v>
      </c>
      <c r="J746" s="2" t="s">
        <v>631</v>
      </c>
      <c r="K746" s="2" t="s">
        <v>413</v>
      </c>
      <c r="L746" s="2" t="s">
        <v>76</v>
      </c>
      <c r="M746" s="155"/>
      <c r="N746" s="155"/>
      <c r="O746" s="2">
        <v>6</v>
      </c>
      <c r="P746" s="6">
        <v>20</v>
      </c>
      <c r="Q746" s="131">
        <f t="shared" si="99"/>
        <v>28.8</v>
      </c>
      <c r="R746" s="33">
        <f t="shared" si="103"/>
        <v>20</v>
      </c>
      <c r="S746" s="132">
        <f t="shared" si="100"/>
        <v>2.5</v>
      </c>
      <c r="T746" s="132">
        <f t="shared" si="104"/>
        <v>2.5</v>
      </c>
      <c r="V746" s="131" t="str">
        <f t="shared" si="102"/>
        <v/>
      </c>
      <c r="W746" s="17"/>
      <c r="X746" s="7"/>
      <c r="Y746" s="161"/>
      <c r="Z746" s="7"/>
      <c r="AA746" s="117"/>
      <c r="AB746" s="117"/>
      <c r="AC746" s="117"/>
      <c r="CH746">
        <v>4</v>
      </c>
      <c r="CI746">
        <v>67</v>
      </c>
    </row>
    <row r="747" spans="1:87" x14ac:dyDescent="0.3">
      <c r="A747" s="2">
        <v>1757</v>
      </c>
      <c r="B747" s="2" t="s">
        <v>0</v>
      </c>
      <c r="C747" s="2" t="s">
        <v>1</v>
      </c>
      <c r="D747" s="2" t="s">
        <v>1216</v>
      </c>
      <c r="E747" s="2">
        <v>300</v>
      </c>
      <c r="F747" s="2">
        <v>9.6799999999999997E-2</v>
      </c>
      <c r="G747" s="2">
        <v>5.96E-2</v>
      </c>
      <c r="H747" s="4">
        <f t="shared" si="98"/>
        <v>0.38429752066115702</v>
      </c>
      <c r="I747" s="2" t="s">
        <v>98</v>
      </c>
      <c r="J747" s="2" t="s">
        <v>1217</v>
      </c>
      <c r="K747" s="2" t="s">
        <v>413</v>
      </c>
      <c r="L747" s="2" t="s">
        <v>76</v>
      </c>
      <c r="M747" s="155"/>
      <c r="N747" s="155"/>
      <c r="O747" s="2">
        <v>6</v>
      </c>
      <c r="P747" s="6">
        <v>20</v>
      </c>
      <c r="Q747" s="131">
        <f t="shared" si="99"/>
        <v>28.8</v>
      </c>
      <c r="R747" s="33">
        <f t="shared" si="103"/>
        <v>20</v>
      </c>
      <c r="S747" s="132">
        <f t="shared" si="100"/>
        <v>2.5</v>
      </c>
      <c r="T747" s="132">
        <f t="shared" si="104"/>
        <v>2.5</v>
      </c>
      <c r="V747" s="131" t="str">
        <f t="shared" si="102"/>
        <v/>
      </c>
      <c r="W747" s="17"/>
      <c r="X747" s="7"/>
      <c r="Y747" s="161"/>
      <c r="Z747" s="7"/>
      <c r="AA747" s="117"/>
      <c r="AB747" s="117"/>
      <c r="AC747" s="117"/>
      <c r="CH747">
        <v>6</v>
      </c>
      <c r="CI747">
        <v>50</v>
      </c>
    </row>
    <row r="748" spans="1:87" x14ac:dyDescent="0.3">
      <c r="A748" s="2">
        <v>1758</v>
      </c>
      <c r="B748" s="2" t="s">
        <v>84</v>
      </c>
      <c r="C748" s="2" t="s">
        <v>1</v>
      </c>
      <c r="D748" s="2" t="s">
        <v>1218</v>
      </c>
      <c r="E748" s="2">
        <v>540</v>
      </c>
      <c r="F748" s="2">
        <v>5.1700000000000003E-2</v>
      </c>
      <c r="G748" s="2"/>
      <c r="H748" s="4">
        <f t="shared" si="98"/>
        <v>1</v>
      </c>
      <c r="I748" s="2" t="s">
        <v>98</v>
      </c>
      <c r="J748" s="2" t="s">
        <v>1219</v>
      </c>
      <c r="K748" s="2" t="s">
        <v>222</v>
      </c>
      <c r="L748" s="2" t="s">
        <v>76</v>
      </c>
      <c r="M748" s="155"/>
      <c r="N748" s="155"/>
      <c r="O748" s="2">
        <v>6</v>
      </c>
      <c r="P748" s="6">
        <v>22</v>
      </c>
      <c r="Q748" s="131">
        <f t="shared" si="99"/>
        <v>14.545454545454545</v>
      </c>
      <c r="R748" s="33">
        <f t="shared" si="103"/>
        <v>22</v>
      </c>
      <c r="S748" s="132">
        <f t="shared" si="100"/>
        <v>2.75</v>
      </c>
      <c r="T748" s="132">
        <f t="shared" si="104"/>
        <v>2.75</v>
      </c>
      <c r="V748" s="131" t="str">
        <f t="shared" si="102"/>
        <v/>
      </c>
      <c r="W748" s="17"/>
      <c r="X748" s="7"/>
      <c r="Y748" s="161"/>
      <c r="Z748" s="7"/>
      <c r="AA748" s="117"/>
      <c r="AB748" s="117"/>
      <c r="AC748" s="117"/>
      <c r="CH748">
        <v>3</v>
      </c>
      <c r="CI748">
        <v>30</v>
      </c>
    </row>
    <row r="749" spans="1:87" x14ac:dyDescent="0.3">
      <c r="A749" s="2">
        <v>1760</v>
      </c>
      <c r="B749" s="2" t="s">
        <v>0</v>
      </c>
      <c r="C749" s="2" t="s">
        <v>1</v>
      </c>
      <c r="D749" s="2" t="s">
        <v>1220</v>
      </c>
      <c r="E749" s="2">
        <v>200</v>
      </c>
      <c r="F749" s="2">
        <v>9.6799999999999997E-2</v>
      </c>
      <c r="G749" s="2">
        <v>5.96E-2</v>
      </c>
      <c r="H749" s="4">
        <f t="shared" si="98"/>
        <v>0.38429752066115702</v>
      </c>
      <c r="I749" s="2" t="s">
        <v>98</v>
      </c>
      <c r="J749" s="2" t="s">
        <v>631</v>
      </c>
      <c r="K749" s="2" t="s">
        <v>413</v>
      </c>
      <c r="L749" s="2" t="s">
        <v>76</v>
      </c>
      <c r="M749" s="155"/>
      <c r="N749" s="155"/>
      <c r="O749" s="2">
        <v>6</v>
      </c>
      <c r="P749" s="6">
        <v>28</v>
      </c>
      <c r="Q749" s="131">
        <f t="shared" si="99"/>
        <v>30.857142857142858</v>
      </c>
      <c r="R749" s="33">
        <f t="shared" si="103"/>
        <v>28</v>
      </c>
      <c r="S749" s="132">
        <f t="shared" si="100"/>
        <v>3.5</v>
      </c>
      <c r="T749" s="132">
        <f t="shared" si="104"/>
        <v>3.5</v>
      </c>
      <c r="V749" s="131" t="str">
        <f t="shared" si="102"/>
        <v/>
      </c>
      <c r="W749" s="17"/>
      <c r="X749" s="7"/>
      <c r="Y749" s="161"/>
      <c r="Z749" s="7"/>
      <c r="AA749" s="117"/>
      <c r="AB749" s="117"/>
      <c r="AC749" s="117"/>
      <c r="CH749">
        <v>2</v>
      </c>
      <c r="CI749">
        <v>59</v>
      </c>
    </row>
    <row r="750" spans="1:87" x14ac:dyDescent="0.3">
      <c r="A750" s="2">
        <v>1761</v>
      </c>
      <c r="B750" s="2" t="s">
        <v>0</v>
      </c>
      <c r="C750" s="2" t="s">
        <v>1</v>
      </c>
      <c r="D750" s="2" t="s">
        <v>1221</v>
      </c>
      <c r="E750" s="2">
        <v>200</v>
      </c>
      <c r="F750" s="2">
        <v>9.6799999999999997E-2</v>
      </c>
      <c r="G750" s="2">
        <v>5.96E-2</v>
      </c>
      <c r="H750" s="4">
        <f t="shared" si="98"/>
        <v>0.38429752066115702</v>
      </c>
      <c r="I750" s="2" t="s">
        <v>98</v>
      </c>
      <c r="J750" s="2" t="s">
        <v>1217</v>
      </c>
      <c r="K750" s="2" t="s">
        <v>413</v>
      </c>
      <c r="L750" s="2" t="s">
        <v>76</v>
      </c>
      <c r="M750" s="155"/>
      <c r="N750" s="155"/>
      <c r="O750" s="2">
        <v>6</v>
      </c>
      <c r="P750" s="6">
        <v>28</v>
      </c>
      <c r="Q750" s="131">
        <f t="shared" si="99"/>
        <v>30.857142857142858</v>
      </c>
      <c r="R750" s="33">
        <f t="shared" si="103"/>
        <v>28</v>
      </c>
      <c r="S750" s="132">
        <f t="shared" si="100"/>
        <v>3.5</v>
      </c>
      <c r="T750" s="132">
        <f t="shared" si="104"/>
        <v>3.5</v>
      </c>
      <c r="V750" s="131" t="str">
        <f t="shared" si="102"/>
        <v/>
      </c>
      <c r="W750" s="17"/>
      <c r="X750" s="7"/>
      <c r="Y750" s="161"/>
      <c r="Z750" s="7"/>
      <c r="AA750" s="117"/>
      <c r="AB750" s="117"/>
      <c r="AC750" s="117"/>
      <c r="CH750">
        <v>6</v>
      </c>
      <c r="CI750">
        <v>43</v>
      </c>
    </row>
    <row r="751" spans="1:87" x14ac:dyDescent="0.3">
      <c r="A751" s="2">
        <v>1769</v>
      </c>
      <c r="B751" s="2" t="s">
        <v>84</v>
      </c>
      <c r="C751" s="2" t="s">
        <v>1</v>
      </c>
      <c r="D751" s="2" t="s">
        <v>1222</v>
      </c>
      <c r="E751" s="2">
        <v>1140</v>
      </c>
      <c r="F751" s="2">
        <v>2.7699999999999999E-2</v>
      </c>
      <c r="G751" s="2"/>
      <c r="H751" s="4">
        <f t="shared" si="98"/>
        <v>1</v>
      </c>
      <c r="I751" s="2" t="s">
        <v>98</v>
      </c>
      <c r="J751" s="2" t="s">
        <v>1223</v>
      </c>
      <c r="K751" s="2" t="s">
        <v>413</v>
      </c>
      <c r="L751" s="2" t="s">
        <v>76</v>
      </c>
      <c r="M751" s="155"/>
      <c r="N751" s="155"/>
      <c r="O751" s="2">
        <v>26</v>
      </c>
      <c r="P751" s="6"/>
      <c r="Q751" s="131" t="str">
        <f t="shared" si="99"/>
        <v/>
      </c>
      <c r="R751" s="33" t="str">
        <f t="shared" si="103"/>
        <v/>
      </c>
      <c r="S751" s="132" t="str">
        <f t="shared" si="100"/>
        <v/>
      </c>
      <c r="T751" s="132" t="str">
        <f t="shared" si="104"/>
        <v/>
      </c>
      <c r="V751" s="131" t="str">
        <f t="shared" si="102"/>
        <v/>
      </c>
      <c r="W751" s="17"/>
      <c r="X751" s="7"/>
      <c r="Y751" s="161"/>
      <c r="Z751" s="7"/>
      <c r="AA751" s="117"/>
      <c r="AB751" s="117"/>
      <c r="AC751" s="117"/>
      <c r="CH751">
        <v>5</v>
      </c>
      <c r="CI751">
        <v>80</v>
      </c>
    </row>
    <row r="752" spans="1:87" x14ac:dyDescent="0.3">
      <c r="A752" s="2">
        <v>1770</v>
      </c>
      <c r="B752" s="2" t="s">
        <v>84</v>
      </c>
      <c r="C752" s="2" t="s">
        <v>1</v>
      </c>
      <c r="D752" s="2" t="s">
        <v>1224</v>
      </c>
      <c r="E752" s="2">
        <v>1140</v>
      </c>
      <c r="F752" s="2">
        <v>2.7699999999999999E-2</v>
      </c>
      <c r="G752" s="2"/>
      <c r="H752" s="4">
        <f t="shared" si="98"/>
        <v>1</v>
      </c>
      <c r="I752" s="2" t="s">
        <v>98</v>
      </c>
      <c r="J752" s="2" t="s">
        <v>1225</v>
      </c>
      <c r="K752" s="2" t="s">
        <v>413</v>
      </c>
      <c r="L752" s="2" t="s">
        <v>76</v>
      </c>
      <c r="M752" s="155"/>
      <c r="N752" s="155"/>
      <c r="O752" s="2">
        <v>26</v>
      </c>
      <c r="P752" s="6">
        <v>10</v>
      </c>
      <c r="Q752" s="131">
        <f t="shared" si="99"/>
        <v>65.684210526315795</v>
      </c>
      <c r="R752" s="33">
        <f t="shared" si="103"/>
        <v>10</v>
      </c>
      <c r="S752" s="132">
        <f t="shared" si="100"/>
        <v>1.25</v>
      </c>
      <c r="T752" s="132">
        <f t="shared" si="104"/>
        <v>1.25</v>
      </c>
      <c r="V752" s="131" t="str">
        <f t="shared" si="102"/>
        <v/>
      </c>
      <c r="W752" s="17"/>
      <c r="X752" s="7"/>
      <c r="Y752" s="161"/>
      <c r="Z752" s="7"/>
      <c r="AA752" s="117"/>
      <c r="AB752" s="117"/>
      <c r="AC752" s="117"/>
      <c r="CH752">
        <v>4</v>
      </c>
      <c r="CI752">
        <v>58</v>
      </c>
    </row>
    <row r="753" spans="1:87" x14ac:dyDescent="0.3">
      <c r="A753" s="2">
        <v>1771</v>
      </c>
      <c r="B753" s="2" t="s">
        <v>84</v>
      </c>
      <c r="C753" s="2" t="s">
        <v>1</v>
      </c>
      <c r="D753" s="2" t="s">
        <v>1226</v>
      </c>
      <c r="E753" s="2">
        <v>1140</v>
      </c>
      <c r="F753" s="2">
        <v>2.7699999999999999E-2</v>
      </c>
      <c r="G753" s="2"/>
      <c r="H753" s="4">
        <f t="shared" si="98"/>
        <v>1</v>
      </c>
      <c r="I753" s="2" t="s">
        <v>98</v>
      </c>
      <c r="J753" s="2" t="s">
        <v>1227</v>
      </c>
      <c r="K753" s="2" t="s">
        <v>413</v>
      </c>
      <c r="L753" s="2" t="s">
        <v>76</v>
      </c>
      <c r="M753" s="155"/>
      <c r="N753" s="155"/>
      <c r="O753" s="2">
        <v>26</v>
      </c>
      <c r="P753" s="6"/>
      <c r="Q753" s="131" t="str">
        <f t="shared" si="99"/>
        <v/>
      </c>
      <c r="R753" s="33" t="str">
        <f t="shared" si="103"/>
        <v/>
      </c>
      <c r="S753" s="132" t="str">
        <f t="shared" si="100"/>
        <v/>
      </c>
      <c r="T753" s="132" t="str">
        <f t="shared" si="104"/>
        <v/>
      </c>
      <c r="V753" s="131" t="str">
        <f t="shared" si="102"/>
        <v/>
      </c>
      <c r="W753" s="17"/>
      <c r="X753" s="7"/>
      <c r="Y753" s="161"/>
      <c r="Z753" s="7"/>
      <c r="AA753" s="117"/>
      <c r="AB753" s="117"/>
      <c r="AC753" s="117"/>
      <c r="CH753">
        <v>2</v>
      </c>
      <c r="CI753">
        <v>60</v>
      </c>
    </row>
    <row r="754" spans="1:87" x14ac:dyDescent="0.3">
      <c r="A754" s="2">
        <v>1772</v>
      </c>
      <c r="B754" s="2" t="s">
        <v>84</v>
      </c>
      <c r="C754" s="2" t="s">
        <v>1</v>
      </c>
      <c r="D754" s="2" t="s">
        <v>1228</v>
      </c>
      <c r="E754" s="2">
        <v>1140</v>
      </c>
      <c r="F754" s="2">
        <v>2.7699999999999999E-2</v>
      </c>
      <c r="G754" s="2"/>
      <c r="H754" s="4">
        <f t="shared" si="98"/>
        <v>1</v>
      </c>
      <c r="I754" s="2" t="s">
        <v>98</v>
      </c>
      <c r="J754" s="2" t="s">
        <v>1227</v>
      </c>
      <c r="K754" s="2" t="s">
        <v>413</v>
      </c>
      <c r="L754" s="2" t="s">
        <v>76</v>
      </c>
      <c r="M754" s="155"/>
      <c r="N754" s="155"/>
      <c r="O754" s="2">
        <v>26</v>
      </c>
      <c r="P754" s="6"/>
      <c r="Q754" s="131" t="str">
        <f t="shared" si="99"/>
        <v/>
      </c>
      <c r="R754" s="33" t="str">
        <f t="shared" si="103"/>
        <v/>
      </c>
      <c r="S754" s="132" t="str">
        <f t="shared" si="100"/>
        <v/>
      </c>
      <c r="T754" s="132" t="str">
        <f t="shared" si="104"/>
        <v/>
      </c>
      <c r="V754" s="131" t="str">
        <f t="shared" si="102"/>
        <v/>
      </c>
      <c r="W754" s="17"/>
      <c r="X754" s="7"/>
      <c r="Y754" s="161"/>
      <c r="Z754" s="7"/>
      <c r="AA754" s="117"/>
      <c r="AB754" s="117"/>
      <c r="AC754" s="117"/>
      <c r="CH754">
        <v>6</v>
      </c>
      <c r="CI754">
        <v>34</v>
      </c>
    </row>
    <row r="755" spans="1:87" x14ac:dyDescent="0.3">
      <c r="A755" s="2">
        <v>1773</v>
      </c>
      <c r="B755" s="2" t="s">
        <v>84</v>
      </c>
      <c r="C755" s="2" t="s">
        <v>1</v>
      </c>
      <c r="D755" s="2" t="s">
        <v>1229</v>
      </c>
      <c r="E755" s="2">
        <v>1140</v>
      </c>
      <c r="F755" s="2">
        <v>2.7699999999999999E-2</v>
      </c>
      <c r="G755" s="2"/>
      <c r="H755" s="4">
        <f t="shared" si="98"/>
        <v>1</v>
      </c>
      <c r="I755" s="2" t="s">
        <v>98</v>
      </c>
      <c r="J755" s="2" t="s">
        <v>1225</v>
      </c>
      <c r="K755" s="2" t="s">
        <v>413</v>
      </c>
      <c r="L755" s="2" t="s">
        <v>76</v>
      </c>
      <c r="M755" s="155"/>
      <c r="N755" s="155"/>
      <c r="O755" s="2">
        <v>26</v>
      </c>
      <c r="P755" s="6"/>
      <c r="Q755" s="131" t="str">
        <f t="shared" si="99"/>
        <v/>
      </c>
      <c r="R755" s="33" t="str">
        <f t="shared" si="103"/>
        <v/>
      </c>
      <c r="S755" s="132" t="str">
        <f t="shared" si="100"/>
        <v/>
      </c>
      <c r="T755" s="132" t="str">
        <f t="shared" si="104"/>
        <v/>
      </c>
      <c r="V755" s="131" t="str">
        <f t="shared" si="102"/>
        <v/>
      </c>
      <c r="W755" s="17"/>
      <c r="X755" s="7"/>
      <c r="Y755" s="161"/>
      <c r="Z755" s="7"/>
      <c r="AA755" s="117"/>
      <c r="AB755" s="117"/>
      <c r="AC755" s="117"/>
      <c r="CH755">
        <v>2</v>
      </c>
      <c r="CI755">
        <v>35</v>
      </c>
    </row>
    <row r="756" spans="1:87" x14ac:dyDescent="0.3">
      <c r="A756" s="2">
        <v>1774</v>
      </c>
      <c r="B756" s="2" t="s">
        <v>84</v>
      </c>
      <c r="C756" s="2" t="s">
        <v>1</v>
      </c>
      <c r="D756" s="2" t="s">
        <v>1230</v>
      </c>
      <c r="E756" s="2">
        <v>1140</v>
      </c>
      <c r="F756" s="2">
        <v>2.7699999999999999E-2</v>
      </c>
      <c r="G756" s="2"/>
      <c r="H756" s="4">
        <f t="shared" si="98"/>
        <v>1</v>
      </c>
      <c r="I756" s="2" t="s">
        <v>98</v>
      </c>
      <c r="J756" s="2" t="s">
        <v>1231</v>
      </c>
      <c r="K756" s="2" t="s">
        <v>413</v>
      </c>
      <c r="L756" s="2" t="s">
        <v>76</v>
      </c>
      <c r="M756" s="155"/>
      <c r="N756" s="155"/>
      <c r="O756" s="2">
        <v>26</v>
      </c>
      <c r="P756" s="6"/>
      <c r="Q756" s="131" t="str">
        <f t="shared" si="99"/>
        <v/>
      </c>
      <c r="R756" s="33" t="str">
        <f t="shared" si="103"/>
        <v/>
      </c>
      <c r="S756" s="132" t="str">
        <f t="shared" si="100"/>
        <v/>
      </c>
      <c r="T756" s="132" t="str">
        <f t="shared" si="104"/>
        <v/>
      </c>
      <c r="V756" s="131" t="str">
        <f t="shared" si="102"/>
        <v/>
      </c>
      <c r="W756" s="17"/>
      <c r="X756" s="7"/>
      <c r="Y756" s="161"/>
      <c r="Z756" s="7"/>
      <c r="AA756" s="117"/>
      <c r="AB756" s="117"/>
      <c r="AC756" s="117"/>
      <c r="CH756">
        <v>4</v>
      </c>
      <c r="CI756">
        <v>65</v>
      </c>
    </row>
    <row r="757" spans="1:87" x14ac:dyDescent="0.3">
      <c r="A757" s="2">
        <v>1775</v>
      </c>
      <c r="B757" s="2" t="s">
        <v>84</v>
      </c>
      <c r="C757" s="2" t="s">
        <v>1</v>
      </c>
      <c r="D757" s="2" t="s">
        <v>1232</v>
      </c>
      <c r="E757" s="2">
        <v>1140</v>
      </c>
      <c r="F757" s="2">
        <v>2.7699999999999999E-2</v>
      </c>
      <c r="G757" s="2"/>
      <c r="H757" s="4">
        <f t="shared" si="98"/>
        <v>1</v>
      </c>
      <c r="I757" s="2" t="s">
        <v>98</v>
      </c>
      <c r="J757" s="2" t="s">
        <v>1233</v>
      </c>
      <c r="K757" s="2" t="s">
        <v>413</v>
      </c>
      <c r="L757" s="2" t="s">
        <v>76</v>
      </c>
      <c r="M757" s="155"/>
      <c r="N757" s="155"/>
      <c r="O757" s="2">
        <v>26</v>
      </c>
      <c r="P757" s="6"/>
      <c r="Q757" s="131" t="str">
        <f t="shared" si="99"/>
        <v/>
      </c>
      <c r="R757" s="33" t="str">
        <f t="shared" si="103"/>
        <v/>
      </c>
      <c r="S757" s="132" t="str">
        <f t="shared" si="100"/>
        <v/>
      </c>
      <c r="T757" s="132" t="str">
        <f t="shared" ref="T757:T788" si="105">IFERROR(IF(R757&gt;2,S757,""),"")</f>
        <v/>
      </c>
      <c r="V757" s="131" t="str">
        <f t="shared" si="102"/>
        <v/>
      </c>
      <c r="W757" s="17"/>
      <c r="X757" s="7"/>
      <c r="Y757" s="161"/>
      <c r="Z757" s="7"/>
      <c r="AA757" s="117"/>
      <c r="AB757" s="117"/>
      <c r="AC757" s="117"/>
      <c r="CH757">
        <v>2</v>
      </c>
      <c r="CI757">
        <v>31</v>
      </c>
    </row>
    <row r="758" spans="1:87" x14ac:dyDescent="0.3">
      <c r="A758" s="2">
        <v>1776</v>
      </c>
      <c r="B758" s="2" t="s">
        <v>84</v>
      </c>
      <c r="C758" s="2" t="s">
        <v>1</v>
      </c>
      <c r="D758" s="2" t="s">
        <v>1234</v>
      </c>
      <c r="E758" s="2">
        <v>1140</v>
      </c>
      <c r="F758" s="2">
        <v>2.7699999999999999E-2</v>
      </c>
      <c r="G758" s="2"/>
      <c r="H758" s="4">
        <f t="shared" si="98"/>
        <v>1</v>
      </c>
      <c r="I758" s="2" t="s">
        <v>98</v>
      </c>
      <c r="J758" s="2" t="s">
        <v>1235</v>
      </c>
      <c r="K758" s="2" t="s">
        <v>413</v>
      </c>
      <c r="L758" s="2" t="s">
        <v>76</v>
      </c>
      <c r="M758" s="155"/>
      <c r="N758" s="155"/>
      <c r="O758" s="2">
        <v>26</v>
      </c>
      <c r="P758" s="6"/>
      <c r="Q758" s="131" t="str">
        <f t="shared" si="99"/>
        <v/>
      </c>
      <c r="R758" s="33" t="str">
        <f t="shared" si="103"/>
        <v/>
      </c>
      <c r="S758" s="132" t="str">
        <f t="shared" si="100"/>
        <v/>
      </c>
      <c r="T758" s="132" t="str">
        <f t="shared" si="105"/>
        <v/>
      </c>
      <c r="V758" s="131" t="str">
        <f t="shared" si="102"/>
        <v/>
      </c>
      <c r="W758" s="17"/>
      <c r="X758" s="7"/>
      <c r="Y758" s="161"/>
      <c r="Z758" s="7"/>
      <c r="AA758" s="117"/>
      <c r="AB758" s="117"/>
      <c r="AC758" s="117"/>
      <c r="CH758">
        <v>5</v>
      </c>
      <c r="CI758">
        <v>62</v>
      </c>
    </row>
    <row r="759" spans="1:87" x14ac:dyDescent="0.3">
      <c r="A759" s="2">
        <v>1777</v>
      </c>
      <c r="B759" s="2" t="s">
        <v>84</v>
      </c>
      <c r="C759" s="2" t="s">
        <v>1</v>
      </c>
      <c r="D759" s="2" t="s">
        <v>1236</v>
      </c>
      <c r="E759" s="2">
        <v>1140</v>
      </c>
      <c r="F759" s="2">
        <v>2.7699999999999999E-2</v>
      </c>
      <c r="G759" s="2"/>
      <c r="H759" s="4">
        <f t="shared" ref="H759:H781" si="106">(F759-G759)/F759</f>
        <v>1</v>
      </c>
      <c r="I759" s="2" t="s">
        <v>98</v>
      </c>
      <c r="J759" s="2" t="s">
        <v>1237</v>
      </c>
      <c r="K759" s="2" t="s">
        <v>413</v>
      </c>
      <c r="L759" s="2" t="s">
        <v>76</v>
      </c>
      <c r="M759" s="155"/>
      <c r="N759" s="155"/>
      <c r="O759" s="2">
        <v>26</v>
      </c>
      <c r="P759" s="6"/>
      <c r="Q759" s="131" t="str">
        <f t="shared" ref="Q759:Q806" si="107">IFERROR(60*60*8*O759/E759/P759,"")</f>
        <v/>
      </c>
      <c r="R759" s="33" t="str">
        <f t="shared" si="103"/>
        <v/>
      </c>
      <c r="S759" s="132" t="str">
        <f t="shared" ref="S759:S806" si="108">IFERROR(R759/8,"")</f>
        <v/>
      </c>
      <c r="T759" s="132" t="str">
        <f t="shared" si="105"/>
        <v/>
      </c>
      <c r="V759" s="131" t="str">
        <f t="shared" ref="V759:V806" si="109">IF(X759&gt;10,X759*O759/E759,"")</f>
        <v/>
      </c>
      <c r="W759" s="17"/>
      <c r="X759" s="7"/>
      <c r="Y759" s="161"/>
      <c r="Z759" s="7"/>
      <c r="AA759" s="117"/>
      <c r="AB759" s="117"/>
      <c r="AC759" s="117"/>
      <c r="CH759">
        <v>5</v>
      </c>
      <c r="CI759">
        <v>38</v>
      </c>
    </row>
    <row r="760" spans="1:87" x14ac:dyDescent="0.3">
      <c r="A760" s="2">
        <v>1778</v>
      </c>
      <c r="B760" s="2" t="s">
        <v>84</v>
      </c>
      <c r="C760" s="2" t="s">
        <v>1</v>
      </c>
      <c r="D760" s="2" t="s">
        <v>1238</v>
      </c>
      <c r="E760" s="2">
        <v>1140</v>
      </c>
      <c r="F760" s="2">
        <v>2.7699999999999999E-2</v>
      </c>
      <c r="G760" s="2"/>
      <c r="H760" s="4">
        <f t="shared" si="106"/>
        <v>1</v>
      </c>
      <c r="I760" s="2" t="s">
        <v>98</v>
      </c>
      <c r="J760" s="2" t="s">
        <v>1237</v>
      </c>
      <c r="K760" s="2" t="s">
        <v>413</v>
      </c>
      <c r="L760" s="2" t="s">
        <v>76</v>
      </c>
      <c r="M760" s="155"/>
      <c r="N760" s="155"/>
      <c r="O760" s="2">
        <v>26</v>
      </c>
      <c r="P760" s="6"/>
      <c r="Q760" s="131" t="str">
        <f t="shared" si="107"/>
        <v/>
      </c>
      <c r="R760" s="33" t="str">
        <f t="shared" si="103"/>
        <v/>
      </c>
      <c r="S760" s="132" t="str">
        <f t="shared" si="108"/>
        <v/>
      </c>
      <c r="T760" s="132" t="str">
        <f t="shared" si="105"/>
        <v/>
      </c>
      <c r="V760" s="131" t="str">
        <f t="shared" si="109"/>
        <v/>
      </c>
      <c r="W760" s="17"/>
      <c r="X760" s="7"/>
      <c r="Y760" s="161"/>
      <c r="Z760" s="7"/>
      <c r="AA760" s="117"/>
      <c r="AB760" s="117"/>
      <c r="AC760" s="117"/>
      <c r="CH760">
        <v>1</v>
      </c>
      <c r="CI760">
        <v>68</v>
      </c>
    </row>
    <row r="761" spans="1:87" x14ac:dyDescent="0.3">
      <c r="A761" s="2">
        <v>1779</v>
      </c>
      <c r="B761" s="2" t="s">
        <v>0</v>
      </c>
      <c r="C761" s="2" t="s">
        <v>1</v>
      </c>
      <c r="D761" s="2" t="s">
        <v>1239</v>
      </c>
      <c r="E761" s="2">
        <v>200</v>
      </c>
      <c r="F761" s="2">
        <v>9.6799999999999997E-2</v>
      </c>
      <c r="G761" s="2">
        <v>5.96E-2</v>
      </c>
      <c r="H761" s="4">
        <f t="shared" si="106"/>
        <v>0.38429752066115702</v>
      </c>
      <c r="I761" s="2" t="s">
        <v>98</v>
      </c>
      <c r="J761" s="2" t="s">
        <v>1240</v>
      </c>
      <c r="K761" s="2" t="s">
        <v>413</v>
      </c>
      <c r="L761" s="2" t="s">
        <v>76</v>
      </c>
      <c r="M761" s="155"/>
      <c r="N761" s="155"/>
      <c r="O761" s="2">
        <v>6</v>
      </c>
      <c r="P761" s="6">
        <v>28</v>
      </c>
      <c r="Q761" s="131">
        <f t="shared" si="107"/>
        <v>30.857142857142858</v>
      </c>
      <c r="R761" s="33">
        <f t="shared" si="103"/>
        <v>28</v>
      </c>
      <c r="S761" s="132">
        <f t="shared" si="108"/>
        <v>3.5</v>
      </c>
      <c r="T761" s="132">
        <f t="shared" si="105"/>
        <v>3.5</v>
      </c>
      <c r="V761" s="131" t="str">
        <f t="shared" si="109"/>
        <v/>
      </c>
      <c r="W761" s="17"/>
      <c r="X761" s="7"/>
      <c r="Y761" s="161"/>
      <c r="Z761" s="7"/>
      <c r="AA761" s="117"/>
      <c r="AB761" s="117"/>
      <c r="AC761" s="117"/>
      <c r="CH761">
        <v>5</v>
      </c>
      <c r="CI761">
        <v>57</v>
      </c>
    </row>
    <row r="762" spans="1:87" x14ac:dyDescent="0.3">
      <c r="A762" s="2">
        <v>1782</v>
      </c>
      <c r="B762" s="2" t="s">
        <v>84</v>
      </c>
      <c r="C762" s="2" t="s">
        <v>1</v>
      </c>
      <c r="D762" s="2" t="s">
        <v>1241</v>
      </c>
      <c r="E762" s="2">
        <v>360</v>
      </c>
      <c r="F762" s="2">
        <v>5.8999999999999997E-2</v>
      </c>
      <c r="G762" s="2"/>
      <c r="H762" s="4">
        <f t="shared" si="106"/>
        <v>1</v>
      </c>
      <c r="I762" s="2" t="s">
        <v>98</v>
      </c>
      <c r="J762" s="2" t="s">
        <v>1242</v>
      </c>
      <c r="K762" s="2" t="s">
        <v>105</v>
      </c>
      <c r="L762" s="2" t="s">
        <v>76</v>
      </c>
      <c r="M762" s="155"/>
      <c r="N762" s="155"/>
      <c r="O762" s="2">
        <v>6</v>
      </c>
      <c r="P762" s="6">
        <v>20</v>
      </c>
      <c r="Q762" s="131">
        <f t="shared" si="107"/>
        <v>24</v>
      </c>
      <c r="R762" s="33">
        <f t="shared" si="103"/>
        <v>20</v>
      </c>
      <c r="S762" s="132">
        <f t="shared" si="108"/>
        <v>2.5</v>
      </c>
      <c r="T762" s="132">
        <f t="shared" si="105"/>
        <v>2.5</v>
      </c>
      <c r="V762" s="131" t="str">
        <f t="shared" si="109"/>
        <v/>
      </c>
      <c r="W762" s="17"/>
      <c r="X762" s="7"/>
      <c r="Y762" s="161"/>
      <c r="Z762" s="7"/>
      <c r="AA762" s="117"/>
      <c r="AB762" s="117"/>
      <c r="AC762" s="117"/>
      <c r="CH762">
        <v>2</v>
      </c>
      <c r="CI762">
        <v>73</v>
      </c>
    </row>
    <row r="763" spans="1:87" x14ac:dyDescent="0.3">
      <c r="A763" s="2">
        <v>1788</v>
      </c>
      <c r="B763" s="2" t="s">
        <v>84</v>
      </c>
      <c r="C763" s="2" t="s">
        <v>1</v>
      </c>
      <c r="D763" s="2" t="s">
        <v>1243</v>
      </c>
      <c r="E763" s="2">
        <v>1440</v>
      </c>
      <c r="F763" s="2">
        <v>1.41E-2</v>
      </c>
      <c r="G763" s="2"/>
      <c r="H763" s="4">
        <f t="shared" si="106"/>
        <v>1</v>
      </c>
      <c r="I763" s="2" t="s">
        <v>82</v>
      </c>
      <c r="J763" s="2" t="s">
        <v>743</v>
      </c>
      <c r="K763" s="2" t="s">
        <v>105</v>
      </c>
      <c r="L763" s="2" t="s">
        <v>76</v>
      </c>
      <c r="M763" s="155"/>
      <c r="N763" s="155"/>
      <c r="O763" s="2">
        <v>26</v>
      </c>
      <c r="P763" s="6">
        <v>18</v>
      </c>
      <c r="Q763" s="131">
        <f t="shared" si="107"/>
        <v>28.888888888888889</v>
      </c>
      <c r="R763" s="33">
        <f t="shared" si="103"/>
        <v>18</v>
      </c>
      <c r="S763" s="132">
        <f t="shared" si="108"/>
        <v>2.25</v>
      </c>
      <c r="T763" s="132">
        <f t="shared" si="105"/>
        <v>2.25</v>
      </c>
      <c r="V763" s="131" t="str">
        <f t="shared" si="109"/>
        <v/>
      </c>
      <c r="W763" s="17"/>
      <c r="X763" s="7"/>
      <c r="Y763" s="161"/>
      <c r="Z763" s="7"/>
      <c r="AA763" s="117"/>
      <c r="AB763" s="117"/>
      <c r="AC763" s="117"/>
      <c r="CH763">
        <v>6</v>
      </c>
      <c r="CI763">
        <v>46</v>
      </c>
    </row>
    <row r="764" spans="1:87" x14ac:dyDescent="0.3">
      <c r="A764" s="2">
        <v>1794</v>
      </c>
      <c r="B764" s="2" t="s">
        <v>0</v>
      </c>
      <c r="C764" s="2" t="s">
        <v>1</v>
      </c>
      <c r="D764" s="2" t="s">
        <v>1244</v>
      </c>
      <c r="E764" s="2">
        <v>540</v>
      </c>
      <c r="F764" s="2">
        <v>1.6500000000000001E-2</v>
      </c>
      <c r="G764" s="2">
        <v>1.01E-2</v>
      </c>
      <c r="H764" s="4">
        <f t="shared" si="106"/>
        <v>0.38787878787878793</v>
      </c>
      <c r="I764" s="2" t="s">
        <v>82</v>
      </c>
      <c r="J764" s="2" t="s">
        <v>600</v>
      </c>
      <c r="K764" s="2" t="s">
        <v>105</v>
      </c>
      <c r="L764" s="2" t="s">
        <v>76</v>
      </c>
      <c r="M764" s="155"/>
      <c r="N764" s="155"/>
      <c r="O764" s="2">
        <v>15</v>
      </c>
      <c r="P764" s="6">
        <v>20</v>
      </c>
      <c r="Q764" s="131">
        <f t="shared" si="107"/>
        <v>40</v>
      </c>
      <c r="R764" s="33">
        <f t="shared" si="103"/>
        <v>20</v>
      </c>
      <c r="S764" s="132">
        <f t="shared" si="108"/>
        <v>2.5</v>
      </c>
      <c r="T764" s="132">
        <f t="shared" si="105"/>
        <v>2.5</v>
      </c>
      <c r="V764" s="131" t="str">
        <f t="shared" si="109"/>
        <v/>
      </c>
      <c r="W764" s="17"/>
      <c r="X764" s="7"/>
      <c r="Y764" s="161"/>
      <c r="Z764" s="7"/>
      <c r="AA764" s="117"/>
      <c r="AB764" s="117"/>
      <c r="AC764" s="117"/>
      <c r="CH764">
        <v>5</v>
      </c>
      <c r="CI764">
        <v>39</v>
      </c>
    </row>
    <row r="765" spans="1:87" x14ac:dyDescent="0.3">
      <c r="A765" s="2">
        <v>1799</v>
      </c>
      <c r="B765" s="2" t="s">
        <v>0</v>
      </c>
      <c r="C765" s="2" t="s">
        <v>1</v>
      </c>
      <c r="D765" s="2" t="s">
        <v>1245</v>
      </c>
      <c r="E765" s="2">
        <v>10500</v>
      </c>
      <c r="F765" s="2">
        <v>1.9E-3</v>
      </c>
      <c r="G765" s="2">
        <v>1.1999999999999999E-3</v>
      </c>
      <c r="H765" s="4">
        <f t="shared" si="106"/>
        <v>0.36842105263157898</v>
      </c>
      <c r="I765" s="2" t="s">
        <v>82</v>
      </c>
      <c r="J765" s="2" t="s">
        <v>645</v>
      </c>
      <c r="K765" s="2" t="s">
        <v>5</v>
      </c>
      <c r="L765" s="2" t="s">
        <v>6</v>
      </c>
      <c r="M765" s="155"/>
      <c r="N765" s="155"/>
      <c r="O765" s="2">
        <v>70</v>
      </c>
      <c r="P765" s="6">
        <v>7</v>
      </c>
      <c r="Q765" s="131">
        <f t="shared" si="107"/>
        <v>27.428571428571427</v>
      </c>
      <c r="R765" s="33">
        <f t="shared" ref="R765:R806" si="110">IFERROR(60*60*8*O765/E765/Q765,"")</f>
        <v>7</v>
      </c>
      <c r="S765" s="132">
        <f t="shared" si="108"/>
        <v>0.875</v>
      </c>
      <c r="T765" s="132">
        <f t="shared" si="105"/>
        <v>0.875</v>
      </c>
      <c r="V765" s="131" t="str">
        <f t="shared" si="109"/>
        <v/>
      </c>
      <c r="W765" s="17"/>
      <c r="X765" s="7"/>
      <c r="Y765" s="161"/>
      <c r="Z765" s="7"/>
      <c r="AA765" s="117"/>
      <c r="AB765" s="117"/>
      <c r="AC765" s="117"/>
      <c r="CH765">
        <v>2</v>
      </c>
      <c r="CI765">
        <v>49</v>
      </c>
    </row>
    <row r="766" spans="1:87" x14ac:dyDescent="0.3">
      <c r="A766" s="2">
        <v>1801</v>
      </c>
      <c r="B766" s="2" t="s">
        <v>0</v>
      </c>
      <c r="C766" s="2" t="s">
        <v>1</v>
      </c>
      <c r="D766" s="2" t="s">
        <v>1246</v>
      </c>
      <c r="E766" s="2">
        <v>2500</v>
      </c>
      <c r="F766" s="2">
        <v>5.7000000000000002E-3</v>
      </c>
      <c r="G766" s="2">
        <v>4.0000000000000001E-3</v>
      </c>
      <c r="H766" s="4">
        <f t="shared" si="106"/>
        <v>0.2982456140350877</v>
      </c>
      <c r="I766" s="2" t="s">
        <v>98</v>
      </c>
      <c r="J766" s="2" t="s">
        <v>1089</v>
      </c>
      <c r="K766" s="2" t="s">
        <v>105</v>
      </c>
      <c r="L766" s="2" t="s">
        <v>76</v>
      </c>
      <c r="M766" s="155"/>
      <c r="N766" s="155"/>
      <c r="O766" s="2">
        <v>27</v>
      </c>
      <c r="P766" s="6">
        <v>20</v>
      </c>
      <c r="Q766" s="131">
        <f t="shared" si="107"/>
        <v>15.552000000000001</v>
      </c>
      <c r="R766" s="33">
        <f t="shared" si="110"/>
        <v>20</v>
      </c>
      <c r="S766" s="132">
        <f t="shared" si="108"/>
        <v>2.5</v>
      </c>
      <c r="T766" s="132">
        <f t="shared" si="105"/>
        <v>2.5</v>
      </c>
      <c r="V766" s="131" t="str">
        <f t="shared" si="109"/>
        <v/>
      </c>
      <c r="W766" s="17"/>
      <c r="X766" s="7"/>
      <c r="Y766" s="161"/>
      <c r="Z766" s="7"/>
      <c r="AA766" s="117"/>
      <c r="AB766" s="117"/>
      <c r="AC766" s="117"/>
      <c r="CH766">
        <v>4</v>
      </c>
      <c r="CI766">
        <v>46</v>
      </c>
    </row>
    <row r="767" spans="1:87" x14ac:dyDescent="0.3">
      <c r="A767" s="2">
        <v>1804</v>
      </c>
      <c r="B767" s="2" t="s">
        <v>0</v>
      </c>
      <c r="C767" s="2" t="s">
        <v>1</v>
      </c>
      <c r="D767" s="2" t="s">
        <v>1247</v>
      </c>
      <c r="E767" s="2">
        <v>1200</v>
      </c>
      <c r="F767" s="2">
        <v>2.5399999999999999E-2</v>
      </c>
      <c r="G767" s="2">
        <v>1.8100000000000002E-2</v>
      </c>
      <c r="H767" s="4">
        <f t="shared" si="106"/>
        <v>0.28740157480314954</v>
      </c>
      <c r="I767" s="2" t="s">
        <v>98</v>
      </c>
      <c r="J767" s="2" t="s">
        <v>596</v>
      </c>
      <c r="K767" s="2" t="s">
        <v>105</v>
      </c>
      <c r="L767" s="2" t="s">
        <v>76</v>
      </c>
      <c r="M767" s="155"/>
      <c r="N767" s="155"/>
      <c r="O767" s="2">
        <v>12</v>
      </c>
      <c r="P767" s="6">
        <v>8</v>
      </c>
      <c r="Q767" s="131">
        <f t="shared" si="107"/>
        <v>36</v>
      </c>
      <c r="R767" s="33">
        <f t="shared" si="110"/>
        <v>8</v>
      </c>
      <c r="S767" s="132">
        <f t="shared" si="108"/>
        <v>1</v>
      </c>
      <c r="T767" s="132">
        <f t="shared" si="105"/>
        <v>1</v>
      </c>
      <c r="V767" s="131" t="str">
        <f t="shared" si="109"/>
        <v/>
      </c>
      <c r="W767" s="17"/>
      <c r="X767" s="7"/>
      <c r="Y767" s="161"/>
      <c r="Z767" s="7"/>
      <c r="AA767" s="117"/>
      <c r="AB767" s="117"/>
      <c r="AC767" s="117"/>
      <c r="CH767">
        <v>2</v>
      </c>
      <c r="CI767">
        <v>82</v>
      </c>
    </row>
    <row r="768" spans="1:87" x14ac:dyDescent="0.3">
      <c r="A768" s="2">
        <v>1805</v>
      </c>
      <c r="B768" s="2" t="s">
        <v>0</v>
      </c>
      <c r="C768" s="2" t="s">
        <v>1</v>
      </c>
      <c r="D768" s="2" t="s">
        <v>1248</v>
      </c>
      <c r="E768" s="2">
        <v>1200</v>
      </c>
      <c r="F768" s="2">
        <v>1.24E-2</v>
      </c>
      <c r="G768" s="2">
        <v>7.1000000000000004E-3</v>
      </c>
      <c r="H768" s="4">
        <f t="shared" si="106"/>
        <v>0.42741935483870963</v>
      </c>
      <c r="I768" s="2" t="s">
        <v>98</v>
      </c>
      <c r="J768" s="2" t="s">
        <v>499</v>
      </c>
      <c r="K768" s="2" t="s">
        <v>5</v>
      </c>
      <c r="L768" s="2" t="s">
        <v>6</v>
      </c>
      <c r="M768" s="155"/>
      <c r="N768" s="155"/>
      <c r="O768" s="2">
        <v>12</v>
      </c>
      <c r="P768" s="6">
        <v>15</v>
      </c>
      <c r="Q768" s="131">
        <f t="shared" si="107"/>
        <v>19.2</v>
      </c>
      <c r="R768" s="33">
        <f t="shared" si="110"/>
        <v>15</v>
      </c>
      <c r="S768" s="132">
        <f t="shared" si="108"/>
        <v>1.875</v>
      </c>
      <c r="T768" s="132">
        <f t="shared" si="105"/>
        <v>1.875</v>
      </c>
      <c r="V768" s="131" t="str">
        <f t="shared" si="109"/>
        <v/>
      </c>
      <c r="W768" s="17"/>
      <c r="X768" s="7"/>
      <c r="Y768" s="161"/>
      <c r="Z768" s="7"/>
      <c r="AA768" s="117"/>
      <c r="AB768" s="117"/>
      <c r="AC768" s="117"/>
      <c r="CH768">
        <v>5</v>
      </c>
      <c r="CI768">
        <v>59</v>
      </c>
    </row>
    <row r="769" spans="1:87" x14ac:dyDescent="0.3">
      <c r="A769" s="2">
        <v>1806</v>
      </c>
      <c r="B769" s="2" t="s">
        <v>0</v>
      </c>
      <c r="C769" s="2" t="s">
        <v>1</v>
      </c>
      <c r="D769" s="2" t="s">
        <v>1249</v>
      </c>
      <c r="E769" s="2">
        <v>4800</v>
      </c>
      <c r="F769" s="2">
        <v>3.3E-3</v>
      </c>
      <c r="G769" s="2">
        <v>1.9E-3</v>
      </c>
      <c r="H769" s="4">
        <f t="shared" si="106"/>
        <v>0.42424242424242425</v>
      </c>
      <c r="I769" s="2" t="s">
        <v>98</v>
      </c>
      <c r="J769" s="2" t="s">
        <v>1250</v>
      </c>
      <c r="K769" s="2" t="s">
        <v>105</v>
      </c>
      <c r="L769" s="2" t="s">
        <v>76</v>
      </c>
      <c r="M769" s="155"/>
      <c r="N769" s="155"/>
      <c r="O769" s="2">
        <v>96</v>
      </c>
      <c r="P769" s="6">
        <v>7</v>
      </c>
      <c r="Q769" s="131">
        <f t="shared" si="107"/>
        <v>82.285714285714292</v>
      </c>
      <c r="R769" s="33">
        <f t="shared" si="110"/>
        <v>6.9999999999999991</v>
      </c>
      <c r="S769" s="132">
        <f t="shared" si="108"/>
        <v>0.87499999999999989</v>
      </c>
      <c r="T769" s="132">
        <f t="shared" si="105"/>
        <v>0.87499999999999989</v>
      </c>
      <c r="V769" s="131" t="str">
        <f t="shared" si="109"/>
        <v/>
      </c>
      <c r="W769" s="17"/>
      <c r="X769" s="7"/>
      <c r="Y769" s="161"/>
      <c r="Z769" s="7"/>
      <c r="AA769" s="117"/>
      <c r="AB769" s="117"/>
      <c r="AC769" s="117"/>
      <c r="CH769">
        <v>6</v>
      </c>
      <c r="CI769">
        <v>81</v>
      </c>
    </row>
    <row r="770" spans="1:87" x14ac:dyDescent="0.3">
      <c r="A770" s="2">
        <v>1807</v>
      </c>
      <c r="B770" s="2" t="s">
        <v>0</v>
      </c>
      <c r="C770" s="2" t="s">
        <v>1</v>
      </c>
      <c r="D770" s="2" t="s">
        <v>1251</v>
      </c>
      <c r="E770" s="2">
        <v>5600</v>
      </c>
      <c r="F770" s="2">
        <v>3.0000000000000001E-3</v>
      </c>
      <c r="G770" s="2">
        <v>1.5E-3</v>
      </c>
      <c r="H770" s="4">
        <f t="shared" si="106"/>
        <v>0.5</v>
      </c>
      <c r="I770" s="2" t="s">
        <v>98</v>
      </c>
      <c r="J770" s="2" t="s">
        <v>1250</v>
      </c>
      <c r="K770" s="2" t="s">
        <v>105</v>
      </c>
      <c r="L770" s="2" t="s">
        <v>76</v>
      </c>
      <c r="M770" s="155"/>
      <c r="N770" s="155"/>
      <c r="O770" s="2">
        <v>112</v>
      </c>
      <c r="P770" s="6">
        <v>6</v>
      </c>
      <c r="Q770" s="131">
        <f t="shared" si="107"/>
        <v>96</v>
      </c>
      <c r="R770" s="33">
        <f t="shared" si="110"/>
        <v>6</v>
      </c>
      <c r="S770" s="132">
        <f t="shared" si="108"/>
        <v>0.75</v>
      </c>
      <c r="T770" s="132">
        <f t="shared" si="105"/>
        <v>0.75</v>
      </c>
      <c r="V770" s="131" t="str">
        <f t="shared" si="109"/>
        <v/>
      </c>
      <c r="W770" s="17"/>
      <c r="X770" s="7"/>
      <c r="Y770" s="161"/>
      <c r="Z770" s="7"/>
      <c r="AA770" s="117"/>
      <c r="AB770" s="117"/>
      <c r="AC770" s="117"/>
      <c r="CH770">
        <v>3</v>
      </c>
      <c r="CI770">
        <v>82</v>
      </c>
    </row>
    <row r="771" spans="1:87" x14ac:dyDescent="0.3">
      <c r="A771" s="23">
        <v>1836</v>
      </c>
      <c r="B771" s="2" t="s">
        <v>0</v>
      </c>
      <c r="C771" s="2" t="s">
        <v>1</v>
      </c>
      <c r="D771" s="2" t="s">
        <v>1252</v>
      </c>
      <c r="E771" s="2">
        <v>2100</v>
      </c>
      <c r="F771" s="2">
        <v>5.8999999999999999E-3</v>
      </c>
      <c r="G771" s="2">
        <v>4.7000000000000002E-3</v>
      </c>
      <c r="H771" s="4">
        <f t="shared" si="106"/>
        <v>0.20338983050847453</v>
      </c>
      <c r="I771" s="2" t="s">
        <v>98</v>
      </c>
      <c r="J771" s="2" t="s">
        <v>1253</v>
      </c>
      <c r="K771" s="2" t="s">
        <v>105</v>
      </c>
      <c r="L771" s="2" t="s">
        <v>76</v>
      </c>
      <c r="M771" s="155"/>
      <c r="N771" s="155"/>
      <c r="O771" s="2">
        <v>30</v>
      </c>
      <c r="P771" s="6">
        <v>22</v>
      </c>
      <c r="Q771" s="131">
        <f t="shared" si="107"/>
        <v>18.7012987012987</v>
      </c>
      <c r="R771" s="33">
        <f t="shared" si="110"/>
        <v>22.000000000000004</v>
      </c>
      <c r="S771" s="132">
        <f t="shared" si="108"/>
        <v>2.7500000000000004</v>
      </c>
      <c r="T771" s="132">
        <f t="shared" si="105"/>
        <v>2.7500000000000004</v>
      </c>
      <c r="V771" s="131">
        <f t="shared" si="109"/>
        <v>15.238095238095239</v>
      </c>
      <c r="W771" s="17">
        <v>27</v>
      </c>
      <c r="X771" s="8">
        <f>60*60*8/W771</f>
        <v>1066.6666666666667</v>
      </c>
      <c r="Y771" s="161">
        <v>45314</v>
      </c>
      <c r="Z771" s="7" t="s">
        <v>704</v>
      </c>
      <c r="AA771" s="117"/>
      <c r="AB771" s="117"/>
      <c r="AC771" s="117"/>
      <c r="AD771" s="24">
        <v>45504</v>
      </c>
      <c r="AE771">
        <v>3</v>
      </c>
      <c r="AF771">
        <v>3.6</v>
      </c>
      <c r="AH771">
        <v>3</v>
      </c>
      <c r="AI771">
        <v>0.5</v>
      </c>
      <c r="AK771">
        <v>6</v>
      </c>
      <c r="AL771">
        <v>5.5</v>
      </c>
      <c r="AN771">
        <v>6</v>
      </c>
      <c r="AO771">
        <v>0.3</v>
      </c>
      <c r="AS771">
        <v>27</v>
      </c>
      <c r="AT771">
        <v>7</v>
      </c>
      <c r="AU771">
        <v>18</v>
      </c>
      <c r="AV771">
        <v>132</v>
      </c>
      <c r="AW771">
        <v>144</v>
      </c>
      <c r="AX771">
        <v>20.5</v>
      </c>
      <c r="AY771">
        <v>52</v>
      </c>
      <c r="AZ771">
        <v>94.5</v>
      </c>
      <c r="BA771">
        <v>115.5</v>
      </c>
      <c r="BB771">
        <v>420</v>
      </c>
      <c r="CH771">
        <v>3</v>
      </c>
      <c r="CI771">
        <v>76</v>
      </c>
    </row>
    <row r="772" spans="1:87" x14ac:dyDescent="0.3">
      <c r="A772" s="23">
        <v>1870</v>
      </c>
      <c r="B772" s="2" t="s">
        <v>0</v>
      </c>
      <c r="C772" s="2" t="s">
        <v>1</v>
      </c>
      <c r="D772" s="2" t="s">
        <v>1254</v>
      </c>
      <c r="E772" s="2">
        <v>2100</v>
      </c>
      <c r="F772" s="2">
        <v>5.8999999999999999E-3</v>
      </c>
      <c r="G772" s="2">
        <v>4.7000000000000002E-3</v>
      </c>
      <c r="H772" s="4">
        <f t="shared" si="106"/>
        <v>0.20338983050847453</v>
      </c>
      <c r="I772" s="2" t="s">
        <v>98</v>
      </c>
      <c r="J772" s="2" t="s">
        <v>1253</v>
      </c>
      <c r="K772" s="2" t="s">
        <v>105</v>
      </c>
      <c r="L772" s="2" t="s">
        <v>76</v>
      </c>
      <c r="M772" s="155"/>
      <c r="N772" s="155"/>
      <c r="O772" s="2">
        <v>30</v>
      </c>
      <c r="P772" s="6">
        <v>22</v>
      </c>
      <c r="Q772" s="131">
        <f t="shared" si="107"/>
        <v>18.7012987012987</v>
      </c>
      <c r="R772" s="33">
        <f t="shared" si="110"/>
        <v>22.000000000000004</v>
      </c>
      <c r="S772" s="132">
        <f t="shared" si="108"/>
        <v>2.7500000000000004</v>
      </c>
      <c r="T772" s="132">
        <f t="shared" si="105"/>
        <v>2.7500000000000004</v>
      </c>
      <c r="V772" s="131">
        <f t="shared" si="109"/>
        <v>15.306122448979593</v>
      </c>
      <c r="W772" s="17">
        <v>26.88</v>
      </c>
      <c r="X772" s="8">
        <f>60*60*8/W772</f>
        <v>1071.4285714285716</v>
      </c>
      <c r="Y772" s="161">
        <v>45308</v>
      </c>
      <c r="Z772" s="7" t="s">
        <v>704</v>
      </c>
      <c r="AA772" s="117"/>
      <c r="AB772" s="117"/>
      <c r="AC772" s="117"/>
      <c r="CH772">
        <v>5</v>
      </c>
      <c r="CI772">
        <v>86</v>
      </c>
    </row>
    <row r="773" spans="1:87" x14ac:dyDescent="0.3">
      <c r="A773" s="2">
        <v>1871</v>
      </c>
      <c r="B773" s="2" t="s">
        <v>0</v>
      </c>
      <c r="C773" s="2" t="s">
        <v>1</v>
      </c>
      <c r="D773" s="2" t="s">
        <v>1255</v>
      </c>
      <c r="E773" s="2">
        <v>450</v>
      </c>
      <c r="F773" s="2">
        <v>3.5000000000000003E-2</v>
      </c>
      <c r="G773" s="2">
        <v>2.5700000000000001E-2</v>
      </c>
      <c r="H773" s="4">
        <f t="shared" si="106"/>
        <v>0.26571428571428579</v>
      </c>
      <c r="I773" s="2" t="s">
        <v>73</v>
      </c>
      <c r="J773" s="2" t="s">
        <v>1256</v>
      </c>
      <c r="K773" s="2" t="s">
        <v>105</v>
      </c>
      <c r="L773" s="2" t="s">
        <v>76</v>
      </c>
      <c r="M773" s="155"/>
      <c r="N773" s="155"/>
      <c r="O773" s="2">
        <v>12</v>
      </c>
      <c r="P773" s="6">
        <v>20</v>
      </c>
      <c r="Q773" s="131">
        <f t="shared" si="107"/>
        <v>38.4</v>
      </c>
      <c r="R773" s="33">
        <f t="shared" si="110"/>
        <v>20</v>
      </c>
      <c r="S773" s="132">
        <f t="shared" si="108"/>
        <v>2.5</v>
      </c>
      <c r="T773" s="132">
        <f t="shared" si="105"/>
        <v>2.5</v>
      </c>
      <c r="V773" s="131" t="str">
        <f t="shared" si="109"/>
        <v/>
      </c>
      <c r="W773" s="17"/>
      <c r="X773" s="7"/>
      <c r="Y773" s="161"/>
      <c r="Z773" s="7"/>
      <c r="AA773" s="117"/>
      <c r="AB773" s="117"/>
      <c r="AC773" s="117"/>
      <c r="CH773">
        <v>3</v>
      </c>
      <c r="CI773">
        <v>39</v>
      </c>
    </row>
    <row r="774" spans="1:87" x14ac:dyDescent="0.3">
      <c r="A774" s="2">
        <v>1872</v>
      </c>
      <c r="B774" s="2" t="s">
        <v>0</v>
      </c>
      <c r="C774" s="2" t="s">
        <v>1</v>
      </c>
      <c r="D774" s="2" t="s">
        <v>1257</v>
      </c>
      <c r="E774" s="2">
        <v>1920</v>
      </c>
      <c r="F774" s="2">
        <v>1.0699999999999999E-2</v>
      </c>
      <c r="G774" s="2">
        <v>8.0999999999999996E-3</v>
      </c>
      <c r="H774" s="4">
        <f t="shared" si="106"/>
        <v>0.24299065420560748</v>
      </c>
      <c r="I774" s="2" t="s">
        <v>98</v>
      </c>
      <c r="J774" s="2" t="s">
        <v>755</v>
      </c>
      <c r="K774" s="2" t="s">
        <v>105</v>
      </c>
      <c r="L774" s="2" t="s">
        <v>76</v>
      </c>
      <c r="M774" s="155"/>
      <c r="N774" s="155"/>
      <c r="O774" s="2">
        <v>20</v>
      </c>
      <c r="P774" s="6">
        <v>16</v>
      </c>
      <c r="Q774" s="131">
        <f t="shared" si="107"/>
        <v>18.75</v>
      </c>
      <c r="R774" s="33">
        <f t="shared" si="110"/>
        <v>16</v>
      </c>
      <c r="S774" s="132">
        <f t="shared" si="108"/>
        <v>2</v>
      </c>
      <c r="T774" s="132">
        <f t="shared" si="105"/>
        <v>2</v>
      </c>
      <c r="V774" s="131" t="str">
        <f t="shared" si="109"/>
        <v/>
      </c>
      <c r="W774" s="17"/>
      <c r="X774" s="7"/>
      <c r="Y774" s="161"/>
      <c r="Z774" s="7"/>
      <c r="AA774" s="117"/>
      <c r="AB774" s="117"/>
      <c r="AC774" s="117"/>
      <c r="CH774">
        <v>2</v>
      </c>
      <c r="CI774">
        <v>39</v>
      </c>
    </row>
    <row r="775" spans="1:87" x14ac:dyDescent="0.3">
      <c r="A775" s="2">
        <v>1898</v>
      </c>
      <c r="B775" s="2" t="s">
        <v>0</v>
      </c>
      <c r="C775" s="2" t="s">
        <v>1</v>
      </c>
      <c r="D775" s="2" t="s">
        <v>1258</v>
      </c>
      <c r="E775" s="2">
        <v>300</v>
      </c>
      <c r="F775" s="2">
        <v>2.5700000000000001E-2</v>
      </c>
      <c r="G775" s="2">
        <v>2.0199999999999999E-2</v>
      </c>
      <c r="H775" s="4">
        <f t="shared" si="106"/>
        <v>0.21400778210116736</v>
      </c>
      <c r="I775" s="2" t="s">
        <v>82</v>
      </c>
      <c r="J775" s="2" t="s">
        <v>581</v>
      </c>
      <c r="K775" s="2" t="s">
        <v>5</v>
      </c>
      <c r="L775" s="2" t="s">
        <v>6</v>
      </c>
      <c r="M775" s="155"/>
      <c r="N775" s="155"/>
      <c r="O775" s="2">
        <v>14</v>
      </c>
      <c r="P775" s="6">
        <v>24</v>
      </c>
      <c r="Q775" s="131">
        <f t="shared" si="107"/>
        <v>56</v>
      </c>
      <c r="R775" s="33">
        <f t="shared" si="110"/>
        <v>24</v>
      </c>
      <c r="S775" s="132">
        <f t="shared" si="108"/>
        <v>3</v>
      </c>
      <c r="T775" s="132">
        <f t="shared" si="105"/>
        <v>3</v>
      </c>
      <c r="V775" s="131" t="str">
        <f t="shared" si="109"/>
        <v/>
      </c>
      <c r="W775" s="17"/>
      <c r="X775" s="7"/>
      <c r="Y775" s="161"/>
      <c r="Z775" s="7"/>
      <c r="AA775" s="117"/>
      <c r="AB775" s="117"/>
      <c r="AC775" s="117"/>
      <c r="CH775">
        <v>3</v>
      </c>
      <c r="CI775">
        <v>66</v>
      </c>
    </row>
    <row r="776" spans="1:87" x14ac:dyDescent="0.3">
      <c r="A776" s="2">
        <v>1899</v>
      </c>
      <c r="B776" s="2" t="s">
        <v>0</v>
      </c>
      <c r="C776" s="2" t="s">
        <v>1</v>
      </c>
      <c r="D776" s="2" t="s">
        <v>1259</v>
      </c>
      <c r="E776" s="2">
        <v>300</v>
      </c>
      <c r="F776" s="2">
        <v>2.5700000000000001E-2</v>
      </c>
      <c r="G776" s="2">
        <v>2.0199999999999999E-2</v>
      </c>
      <c r="H776" s="4">
        <f t="shared" si="106"/>
        <v>0.21400778210116736</v>
      </c>
      <c r="I776" s="2" t="s">
        <v>98</v>
      </c>
      <c r="J776" s="2" t="s">
        <v>1260</v>
      </c>
      <c r="K776" s="2" t="s">
        <v>5</v>
      </c>
      <c r="L776" s="2" t="s">
        <v>6</v>
      </c>
      <c r="M776" s="155"/>
      <c r="N776" s="155"/>
      <c r="O776" s="2">
        <v>14</v>
      </c>
      <c r="P776" s="6">
        <v>24</v>
      </c>
      <c r="Q776" s="131">
        <f t="shared" si="107"/>
        <v>56</v>
      </c>
      <c r="R776" s="33">
        <f t="shared" si="110"/>
        <v>24</v>
      </c>
      <c r="S776" s="132">
        <f t="shared" si="108"/>
        <v>3</v>
      </c>
      <c r="T776" s="132">
        <f t="shared" si="105"/>
        <v>3</v>
      </c>
      <c r="V776" s="131" t="str">
        <f t="shared" si="109"/>
        <v/>
      </c>
      <c r="W776" s="17"/>
      <c r="X776" s="7"/>
      <c r="Y776" s="161"/>
      <c r="Z776" s="7"/>
      <c r="AA776" s="117"/>
      <c r="AB776" s="117"/>
      <c r="AC776" s="117"/>
      <c r="CH776">
        <v>5</v>
      </c>
      <c r="CI776">
        <v>57</v>
      </c>
    </row>
    <row r="777" spans="1:87" x14ac:dyDescent="0.3">
      <c r="A777" s="2">
        <v>1901</v>
      </c>
      <c r="B777" s="2" t="s">
        <v>0</v>
      </c>
      <c r="C777" s="2" t="s">
        <v>1</v>
      </c>
      <c r="D777" s="2" t="s">
        <v>1261</v>
      </c>
      <c r="E777" s="2">
        <v>300</v>
      </c>
      <c r="F777" s="2">
        <v>2.06E-2</v>
      </c>
      <c r="G777" s="2">
        <v>1.21E-2</v>
      </c>
      <c r="H777" s="4">
        <f t="shared" si="106"/>
        <v>0.41262135922330101</v>
      </c>
      <c r="I777" s="2" t="s">
        <v>98</v>
      </c>
      <c r="J777" s="2" t="s">
        <v>1262</v>
      </c>
      <c r="K777" s="2" t="s">
        <v>5</v>
      </c>
      <c r="L777" s="2" t="s">
        <v>6</v>
      </c>
      <c r="M777" s="155"/>
      <c r="N777" s="155"/>
      <c r="O777" s="2">
        <v>14</v>
      </c>
      <c r="P777" s="6">
        <v>26</v>
      </c>
      <c r="Q777" s="131">
        <f t="shared" si="107"/>
        <v>51.692307692307693</v>
      </c>
      <c r="R777" s="33">
        <f t="shared" si="110"/>
        <v>26</v>
      </c>
      <c r="S777" s="132">
        <f t="shared" si="108"/>
        <v>3.25</v>
      </c>
      <c r="T777" s="132">
        <f t="shared" si="105"/>
        <v>3.25</v>
      </c>
      <c r="V777" s="131" t="str">
        <f t="shared" si="109"/>
        <v/>
      </c>
      <c r="W777" s="17"/>
      <c r="X777" s="7"/>
      <c r="Y777" s="161"/>
      <c r="Z777" s="7"/>
      <c r="AA777" s="117"/>
      <c r="AB777" s="117"/>
      <c r="AC777" s="117"/>
      <c r="CH777">
        <v>5</v>
      </c>
      <c r="CI777">
        <v>66</v>
      </c>
    </row>
    <row r="778" spans="1:87" x14ac:dyDescent="0.3">
      <c r="A778" s="2">
        <v>1903</v>
      </c>
      <c r="B778" s="2" t="s">
        <v>0</v>
      </c>
      <c r="C778" s="2" t="s">
        <v>1</v>
      </c>
      <c r="D778" s="2" t="s">
        <v>1263</v>
      </c>
      <c r="E778" s="2">
        <v>300</v>
      </c>
      <c r="F778" s="2">
        <v>2.64E-2</v>
      </c>
      <c r="G778" s="2">
        <v>1.7299999999999999E-2</v>
      </c>
      <c r="H778" s="4">
        <f t="shared" si="106"/>
        <v>0.34469696969696972</v>
      </c>
      <c r="I778" s="2" t="s">
        <v>98</v>
      </c>
      <c r="J778" s="2" t="s">
        <v>229</v>
      </c>
      <c r="K778" s="2" t="s">
        <v>5</v>
      </c>
      <c r="L778" s="2" t="s">
        <v>6</v>
      </c>
      <c r="M778" s="155"/>
      <c r="N778" s="155"/>
      <c r="O778" s="2">
        <v>12</v>
      </c>
      <c r="P778" s="6">
        <v>26</v>
      </c>
      <c r="Q778" s="131">
        <f t="shared" si="107"/>
        <v>44.307692307692307</v>
      </c>
      <c r="R778" s="33">
        <f t="shared" si="110"/>
        <v>26</v>
      </c>
      <c r="S778" s="132">
        <f t="shared" si="108"/>
        <v>3.25</v>
      </c>
      <c r="T778" s="132">
        <f t="shared" si="105"/>
        <v>3.25</v>
      </c>
      <c r="V778" s="131" t="str">
        <f t="shared" si="109"/>
        <v/>
      </c>
      <c r="W778" s="17"/>
      <c r="X778" s="7"/>
      <c r="Y778" s="161"/>
      <c r="Z778" s="7"/>
      <c r="AA778" s="117"/>
      <c r="AB778" s="117"/>
      <c r="AC778" s="117"/>
      <c r="CH778">
        <v>2</v>
      </c>
      <c r="CI778">
        <v>54</v>
      </c>
    </row>
    <row r="779" spans="1:87" x14ac:dyDescent="0.3">
      <c r="A779" s="2">
        <v>1904</v>
      </c>
      <c r="B779" s="2" t="s">
        <v>0</v>
      </c>
      <c r="C779" s="2" t="s">
        <v>1</v>
      </c>
      <c r="D779" s="2" t="s">
        <v>1264</v>
      </c>
      <c r="E779" s="2">
        <v>300</v>
      </c>
      <c r="F779" s="2">
        <v>2.1000000000000001E-2</v>
      </c>
      <c r="G779" s="2">
        <v>1.52E-2</v>
      </c>
      <c r="H779" s="4">
        <f t="shared" si="106"/>
        <v>0.27619047619047626</v>
      </c>
      <c r="I779" s="2" t="s">
        <v>82</v>
      </c>
      <c r="J779" s="2" t="s">
        <v>600</v>
      </c>
      <c r="K779" s="2" t="s">
        <v>5</v>
      </c>
      <c r="L779" s="2" t="s">
        <v>6</v>
      </c>
      <c r="M779" s="155"/>
      <c r="N779" s="155"/>
      <c r="O779" s="2">
        <v>12</v>
      </c>
      <c r="P779" s="6">
        <v>24</v>
      </c>
      <c r="Q779" s="131">
        <f t="shared" si="107"/>
        <v>48</v>
      </c>
      <c r="R779" s="33">
        <f t="shared" si="110"/>
        <v>24</v>
      </c>
      <c r="S779" s="132">
        <f t="shared" si="108"/>
        <v>3</v>
      </c>
      <c r="T779" s="132">
        <f t="shared" si="105"/>
        <v>3</v>
      </c>
      <c r="V779" s="131" t="str">
        <f t="shared" si="109"/>
        <v/>
      </c>
      <c r="W779" s="17"/>
      <c r="X779" s="7"/>
      <c r="Y779" s="161"/>
      <c r="Z779" s="7"/>
      <c r="AA779" s="117"/>
      <c r="AB779" s="117"/>
      <c r="AC779" s="117"/>
      <c r="CH779">
        <v>6</v>
      </c>
      <c r="CI779">
        <v>57</v>
      </c>
    </row>
    <row r="780" spans="1:87" x14ac:dyDescent="0.3">
      <c r="A780" s="2">
        <v>1938</v>
      </c>
      <c r="B780" s="2" t="s">
        <v>0</v>
      </c>
      <c r="C780" s="2" t="s">
        <v>1</v>
      </c>
      <c r="D780" s="2" t="s">
        <v>607</v>
      </c>
      <c r="E780" s="2">
        <v>300</v>
      </c>
      <c r="F780" s="2">
        <v>1.5800000000000002E-2</v>
      </c>
      <c r="G780" s="2">
        <v>1.17E-2</v>
      </c>
      <c r="H780" s="4">
        <f t="shared" si="106"/>
        <v>0.259493670886076</v>
      </c>
      <c r="I780" s="2" t="s">
        <v>82</v>
      </c>
      <c r="J780" s="2" t="s">
        <v>587</v>
      </c>
      <c r="K780" s="2" t="s">
        <v>5</v>
      </c>
      <c r="L780" s="2" t="s">
        <v>6</v>
      </c>
      <c r="M780" s="155"/>
      <c r="N780" s="155"/>
      <c r="O780" s="2">
        <v>14</v>
      </c>
      <c r="P780" s="6">
        <v>24</v>
      </c>
      <c r="Q780" s="131">
        <f t="shared" si="107"/>
        <v>56</v>
      </c>
      <c r="R780" s="33">
        <f t="shared" si="110"/>
        <v>24</v>
      </c>
      <c r="S780" s="132">
        <f t="shared" si="108"/>
        <v>3</v>
      </c>
      <c r="T780" s="132">
        <f t="shared" si="105"/>
        <v>3</v>
      </c>
      <c r="V780" s="131" t="str">
        <f t="shared" si="109"/>
        <v/>
      </c>
      <c r="W780" s="17"/>
      <c r="X780" s="7"/>
      <c r="Y780" s="161"/>
      <c r="Z780" s="7"/>
      <c r="AA780" s="117"/>
      <c r="AB780" s="117"/>
      <c r="AC780" s="117"/>
      <c r="CH780">
        <v>1</v>
      </c>
      <c r="CI780">
        <v>60</v>
      </c>
    </row>
    <row r="781" spans="1:87" x14ac:dyDescent="0.3">
      <c r="A781" s="2">
        <v>1939</v>
      </c>
      <c r="B781" s="2" t="s">
        <v>0</v>
      </c>
      <c r="C781" s="2" t="s">
        <v>1</v>
      </c>
      <c r="D781" s="2" t="s">
        <v>617</v>
      </c>
      <c r="E781" s="2">
        <v>300</v>
      </c>
      <c r="F781" s="2">
        <v>2.8899999999999999E-2</v>
      </c>
      <c r="G781" s="2">
        <v>1.84E-2</v>
      </c>
      <c r="H781" s="4">
        <f t="shared" si="106"/>
        <v>0.36332179930795844</v>
      </c>
      <c r="I781" s="2" t="s">
        <v>82</v>
      </c>
      <c r="J781" s="2" t="s">
        <v>610</v>
      </c>
      <c r="K781" s="2" t="s">
        <v>5</v>
      </c>
      <c r="L781" s="2" t="s">
        <v>6</v>
      </c>
      <c r="M781" s="155"/>
      <c r="N781" s="155"/>
      <c r="O781" s="2">
        <v>12</v>
      </c>
      <c r="P781" s="6">
        <v>24</v>
      </c>
      <c r="Q781" s="131">
        <f t="shared" si="107"/>
        <v>48</v>
      </c>
      <c r="R781" s="33">
        <f t="shared" si="110"/>
        <v>24</v>
      </c>
      <c r="S781" s="132">
        <f t="shared" si="108"/>
        <v>3</v>
      </c>
      <c r="T781" s="132">
        <f t="shared" si="105"/>
        <v>3</v>
      </c>
      <c r="V781" s="131" t="str">
        <f t="shared" si="109"/>
        <v/>
      </c>
      <c r="W781" s="17"/>
      <c r="X781" s="7"/>
      <c r="Y781" s="161"/>
      <c r="Z781" s="7"/>
      <c r="AA781" s="117"/>
      <c r="AB781" s="117"/>
      <c r="AC781" s="117"/>
      <c r="CH781">
        <v>2</v>
      </c>
      <c r="CI781">
        <v>87</v>
      </c>
    </row>
    <row r="782" spans="1:87" x14ac:dyDescent="0.3">
      <c r="A782" s="2">
        <v>1943</v>
      </c>
      <c r="B782" s="2" t="s">
        <v>0</v>
      </c>
      <c r="C782" s="2" t="s">
        <v>1</v>
      </c>
      <c r="D782" s="2" t="s">
        <v>1265</v>
      </c>
      <c r="E782" s="2">
        <v>342</v>
      </c>
      <c r="F782" s="2"/>
      <c r="G782" s="2">
        <v>2.2800000000000001E-2</v>
      </c>
      <c r="H782" s="4"/>
      <c r="I782" s="2" t="s">
        <v>73</v>
      </c>
      <c r="J782" s="2" t="s">
        <v>1266</v>
      </c>
      <c r="K782" s="2" t="s">
        <v>1267</v>
      </c>
      <c r="L782" s="2" t="s">
        <v>1268</v>
      </c>
      <c r="M782" s="155"/>
      <c r="N782" s="155"/>
      <c r="O782" s="2">
        <v>24</v>
      </c>
      <c r="P782" s="6">
        <v>18</v>
      </c>
      <c r="Q782" s="131">
        <f t="shared" si="107"/>
        <v>112.28070175438596</v>
      </c>
      <c r="R782" s="33">
        <f t="shared" si="110"/>
        <v>18</v>
      </c>
      <c r="S782" s="132">
        <f t="shared" si="108"/>
        <v>2.25</v>
      </c>
      <c r="T782" s="132">
        <f t="shared" si="105"/>
        <v>2.25</v>
      </c>
      <c r="V782" s="131" t="str">
        <f t="shared" si="109"/>
        <v/>
      </c>
      <c r="W782" s="17"/>
      <c r="X782" s="7"/>
      <c r="Y782" s="161"/>
      <c r="Z782" s="7"/>
      <c r="AA782" s="117"/>
      <c r="AB782" s="117"/>
      <c r="AC782" s="117"/>
      <c r="CH782">
        <v>1</v>
      </c>
      <c r="CI782">
        <v>65</v>
      </c>
    </row>
    <row r="783" spans="1:87" x14ac:dyDescent="0.3">
      <c r="A783" s="23">
        <v>1953</v>
      </c>
      <c r="B783" s="2" t="s">
        <v>0</v>
      </c>
      <c r="C783" s="2" t="s">
        <v>1</v>
      </c>
      <c r="D783" s="2" t="s">
        <v>1269</v>
      </c>
      <c r="E783" s="2">
        <v>760</v>
      </c>
      <c r="F783" s="2">
        <v>2.3300000000000001E-2</v>
      </c>
      <c r="G783" s="2">
        <v>1.6799999999999999E-2</v>
      </c>
      <c r="H783" s="4">
        <f t="shared" ref="H783:H806" si="111">(F783-G783)/F783</f>
        <v>0.27896995708154515</v>
      </c>
      <c r="I783" s="2" t="s">
        <v>73</v>
      </c>
      <c r="J783" s="2" t="s">
        <v>656</v>
      </c>
      <c r="K783" s="2" t="s">
        <v>105</v>
      </c>
      <c r="L783" s="2" t="s">
        <v>76</v>
      </c>
      <c r="M783" s="155"/>
      <c r="N783" s="155"/>
      <c r="O783" s="2">
        <v>24</v>
      </c>
      <c r="P783" s="6">
        <v>14</v>
      </c>
      <c r="Q783" s="131">
        <f t="shared" si="107"/>
        <v>64.962406015037601</v>
      </c>
      <c r="R783" s="33">
        <f t="shared" si="110"/>
        <v>14</v>
      </c>
      <c r="S783" s="132">
        <f t="shared" si="108"/>
        <v>1.75</v>
      </c>
      <c r="T783" s="132">
        <f t="shared" si="105"/>
        <v>1.75</v>
      </c>
      <c r="V783" s="131">
        <f t="shared" si="109"/>
        <v>25.58294470353098</v>
      </c>
      <c r="W783" s="17">
        <v>35.549999999999997</v>
      </c>
      <c r="X783" s="8">
        <f>60*60*8/W783</f>
        <v>810.12658227848112</v>
      </c>
      <c r="Y783" s="161">
        <v>45376</v>
      </c>
      <c r="Z783" s="7" t="s">
        <v>7</v>
      </c>
      <c r="AA783" s="117"/>
      <c r="AB783" s="117"/>
      <c r="AC783" s="117"/>
      <c r="CH783">
        <v>2</v>
      </c>
      <c r="CI783">
        <v>44</v>
      </c>
    </row>
    <row r="784" spans="1:87" x14ac:dyDescent="0.3">
      <c r="A784" s="2">
        <v>1954</v>
      </c>
      <c r="B784" s="2" t="s">
        <v>0</v>
      </c>
      <c r="C784" s="2" t="s">
        <v>1</v>
      </c>
      <c r="D784" s="2" t="s">
        <v>1270</v>
      </c>
      <c r="E784" s="2">
        <v>760</v>
      </c>
      <c r="F784" s="2">
        <v>2.3300000000000001E-2</v>
      </c>
      <c r="G784" s="2">
        <v>1.6799999999999999E-2</v>
      </c>
      <c r="H784" s="4">
        <f t="shared" si="111"/>
        <v>0.27896995708154515</v>
      </c>
      <c r="I784" s="2" t="s">
        <v>73</v>
      </c>
      <c r="J784" s="2" t="s">
        <v>656</v>
      </c>
      <c r="K784" s="2" t="s">
        <v>105</v>
      </c>
      <c r="L784" s="2" t="s">
        <v>76</v>
      </c>
      <c r="M784" s="155"/>
      <c r="N784" s="155"/>
      <c r="O784" s="2">
        <v>24</v>
      </c>
      <c r="P784" s="6">
        <v>14</v>
      </c>
      <c r="Q784" s="131">
        <f t="shared" si="107"/>
        <v>64.962406015037601</v>
      </c>
      <c r="R784" s="33">
        <f t="shared" si="110"/>
        <v>14</v>
      </c>
      <c r="S784" s="132">
        <f t="shared" si="108"/>
        <v>1.75</v>
      </c>
      <c r="T784" s="132">
        <f t="shared" si="105"/>
        <v>1.75</v>
      </c>
      <c r="V784" s="131" t="str">
        <f t="shared" si="109"/>
        <v/>
      </c>
      <c r="W784" s="17"/>
      <c r="X784" s="8"/>
      <c r="Y784" s="161"/>
      <c r="Z784" s="7"/>
      <c r="AA784" s="117"/>
      <c r="AB784" s="117"/>
      <c r="AC784" s="117"/>
      <c r="CH784">
        <v>1</v>
      </c>
      <c r="CI784">
        <v>45</v>
      </c>
    </row>
    <row r="785" spans="1:87" x14ac:dyDescent="0.3">
      <c r="A785" s="2">
        <v>1955</v>
      </c>
      <c r="B785" s="2" t="s">
        <v>0</v>
      </c>
      <c r="C785" s="2" t="s">
        <v>1</v>
      </c>
      <c r="D785" s="2" t="s">
        <v>1255</v>
      </c>
      <c r="E785" s="2">
        <v>450</v>
      </c>
      <c r="F785" s="2">
        <v>3.5000000000000003E-2</v>
      </c>
      <c r="G785" s="2">
        <v>2.5700000000000001E-2</v>
      </c>
      <c r="H785" s="4">
        <f t="shared" si="111"/>
        <v>0.26571428571428579</v>
      </c>
      <c r="I785" s="2" t="s">
        <v>73</v>
      </c>
      <c r="J785" s="2" t="s">
        <v>1256</v>
      </c>
      <c r="K785" s="2" t="s">
        <v>105</v>
      </c>
      <c r="L785" s="2" t="s">
        <v>76</v>
      </c>
      <c r="M785" s="155"/>
      <c r="N785" s="155"/>
      <c r="O785" s="2">
        <v>12</v>
      </c>
      <c r="P785" s="6">
        <v>20</v>
      </c>
      <c r="Q785" s="131">
        <f t="shared" si="107"/>
        <v>38.4</v>
      </c>
      <c r="R785" s="33">
        <f t="shared" si="110"/>
        <v>20</v>
      </c>
      <c r="S785" s="132">
        <f t="shared" si="108"/>
        <v>2.5</v>
      </c>
      <c r="T785" s="132">
        <f t="shared" si="105"/>
        <v>2.5</v>
      </c>
      <c r="V785" s="131" t="str">
        <f t="shared" si="109"/>
        <v/>
      </c>
      <c r="W785" s="17"/>
      <c r="X785" s="8"/>
      <c r="Y785" s="161"/>
      <c r="Z785" s="7"/>
      <c r="AA785" s="117"/>
      <c r="AB785" s="117"/>
      <c r="AC785" s="117"/>
      <c r="CH785">
        <v>4</v>
      </c>
      <c r="CI785">
        <v>51</v>
      </c>
    </row>
    <row r="786" spans="1:87" x14ac:dyDescent="0.3">
      <c r="A786" s="2">
        <v>1973</v>
      </c>
      <c r="B786" s="2" t="s">
        <v>0</v>
      </c>
      <c r="C786" s="2" t="s">
        <v>1</v>
      </c>
      <c r="D786" s="2" t="s">
        <v>1271</v>
      </c>
      <c r="E786" s="2">
        <v>100</v>
      </c>
      <c r="F786" s="2">
        <v>2.18E-2</v>
      </c>
      <c r="G786" s="2">
        <v>1.49E-2</v>
      </c>
      <c r="H786" s="4">
        <f t="shared" si="111"/>
        <v>0.3165137614678899</v>
      </c>
      <c r="I786" s="2" t="s">
        <v>3</v>
      </c>
      <c r="J786" s="2" t="s">
        <v>99</v>
      </c>
      <c r="K786" s="2"/>
      <c r="L786" s="2" t="s">
        <v>96</v>
      </c>
      <c r="M786" s="155"/>
      <c r="N786" s="155"/>
      <c r="O786" s="2">
        <v>12</v>
      </c>
      <c r="P786" s="6">
        <v>100</v>
      </c>
      <c r="Q786" s="131">
        <f t="shared" si="107"/>
        <v>34.56</v>
      </c>
      <c r="R786" s="33">
        <f t="shared" si="110"/>
        <v>100</v>
      </c>
      <c r="S786" s="132">
        <f t="shared" si="108"/>
        <v>12.5</v>
      </c>
      <c r="T786" s="132">
        <f t="shared" si="105"/>
        <v>12.5</v>
      </c>
      <c r="V786" s="131" t="str">
        <f t="shared" si="109"/>
        <v/>
      </c>
      <c r="W786" s="17"/>
      <c r="X786" s="8"/>
      <c r="Y786" s="161"/>
      <c r="Z786" s="7"/>
      <c r="AA786" s="117"/>
      <c r="AB786" s="117"/>
      <c r="AC786" s="117"/>
      <c r="CH786">
        <v>2</v>
      </c>
      <c r="CI786">
        <v>68</v>
      </c>
    </row>
    <row r="787" spans="1:87" x14ac:dyDescent="0.3">
      <c r="A787" s="2">
        <v>1974</v>
      </c>
      <c r="B787" s="2" t="s">
        <v>0</v>
      </c>
      <c r="C787" s="2" t="s">
        <v>1</v>
      </c>
      <c r="D787" s="2" t="s">
        <v>1272</v>
      </c>
      <c r="E787" s="2">
        <v>100</v>
      </c>
      <c r="F787" s="2">
        <v>3.1600000000000003E-2</v>
      </c>
      <c r="G787" s="2">
        <v>2.0400000000000001E-2</v>
      </c>
      <c r="H787" s="4">
        <f t="shared" si="111"/>
        <v>0.35443037974683544</v>
      </c>
      <c r="I787" s="2" t="s">
        <v>82</v>
      </c>
      <c r="J787" s="2" t="s">
        <v>579</v>
      </c>
      <c r="K787" s="2"/>
      <c r="L787" s="2" t="s">
        <v>96</v>
      </c>
      <c r="M787" s="155"/>
      <c r="N787" s="155"/>
      <c r="O787" s="2">
        <v>12</v>
      </c>
      <c r="P787" s="6">
        <v>80</v>
      </c>
      <c r="Q787" s="131">
        <f t="shared" si="107"/>
        <v>43.2</v>
      </c>
      <c r="R787" s="33">
        <f t="shared" si="110"/>
        <v>80</v>
      </c>
      <c r="S787" s="132">
        <f t="shared" si="108"/>
        <v>10</v>
      </c>
      <c r="T787" s="132">
        <f t="shared" si="105"/>
        <v>10</v>
      </c>
      <c r="V787" s="131" t="str">
        <f t="shared" si="109"/>
        <v/>
      </c>
      <c r="W787" s="17"/>
      <c r="X787" s="8"/>
      <c r="Y787" s="161"/>
      <c r="Z787" s="7"/>
      <c r="AA787" s="117"/>
      <c r="AB787" s="117"/>
      <c r="AC787" s="117"/>
      <c r="CH787">
        <v>5</v>
      </c>
      <c r="CI787">
        <v>30</v>
      </c>
    </row>
    <row r="788" spans="1:87" x14ac:dyDescent="0.3">
      <c r="A788" s="2">
        <v>1975</v>
      </c>
      <c r="B788" s="2" t="s">
        <v>0</v>
      </c>
      <c r="C788" s="2" t="s">
        <v>1</v>
      </c>
      <c r="D788" s="2" t="s">
        <v>1273</v>
      </c>
      <c r="E788" s="2">
        <v>100</v>
      </c>
      <c r="F788" s="2">
        <v>5.3400000000000003E-2</v>
      </c>
      <c r="G788" s="2">
        <v>3.5299999999999998E-2</v>
      </c>
      <c r="H788" s="4">
        <f t="shared" si="111"/>
        <v>0.33895131086142327</v>
      </c>
      <c r="I788" s="2" t="s">
        <v>208</v>
      </c>
      <c r="J788" s="2" t="s">
        <v>1274</v>
      </c>
      <c r="K788" s="2" t="s">
        <v>163</v>
      </c>
      <c r="L788" s="2" t="s">
        <v>96</v>
      </c>
      <c r="M788" s="155"/>
      <c r="N788" s="155"/>
      <c r="O788" s="2">
        <v>1</v>
      </c>
      <c r="P788" s="6" t="s">
        <v>210</v>
      </c>
      <c r="Q788" s="131" t="str">
        <f t="shared" si="107"/>
        <v/>
      </c>
      <c r="R788" s="33" t="str">
        <f t="shared" si="110"/>
        <v/>
      </c>
      <c r="S788" s="132" t="str">
        <f t="shared" si="108"/>
        <v/>
      </c>
      <c r="T788" s="132" t="str">
        <f t="shared" si="105"/>
        <v/>
      </c>
      <c r="V788" s="131" t="str">
        <f t="shared" si="109"/>
        <v/>
      </c>
      <c r="W788" s="17"/>
      <c r="X788" s="8"/>
      <c r="Y788" s="161"/>
      <c r="Z788" s="7"/>
      <c r="AA788" s="117"/>
      <c r="AB788" s="117"/>
      <c r="AC788" s="117"/>
      <c r="CH788">
        <v>3</v>
      </c>
      <c r="CI788">
        <v>50</v>
      </c>
    </row>
    <row r="789" spans="1:87" x14ac:dyDescent="0.3">
      <c r="A789" s="23">
        <v>1976</v>
      </c>
      <c r="B789" s="2" t="s">
        <v>0</v>
      </c>
      <c r="C789" s="2" t="s">
        <v>1</v>
      </c>
      <c r="D789" s="2" t="s">
        <v>1275</v>
      </c>
      <c r="E789" s="2">
        <v>100</v>
      </c>
      <c r="F789" s="2">
        <v>1.5800000000000002E-2</v>
      </c>
      <c r="G789" s="2">
        <v>1.2699999999999999E-2</v>
      </c>
      <c r="H789" s="4">
        <f t="shared" si="111"/>
        <v>0.19620253164556972</v>
      </c>
      <c r="I789" s="2" t="s">
        <v>82</v>
      </c>
      <c r="J789" s="2" t="s">
        <v>581</v>
      </c>
      <c r="K789" s="2" t="s">
        <v>163</v>
      </c>
      <c r="L789" s="2" t="s">
        <v>6</v>
      </c>
      <c r="M789" s="155">
        <v>1</v>
      </c>
      <c r="N789" s="155">
        <v>100</v>
      </c>
      <c r="O789" s="2">
        <v>18</v>
      </c>
      <c r="P789" s="6">
        <v>130</v>
      </c>
      <c r="Q789" s="131">
        <f t="shared" si="107"/>
        <v>39.876923076923077</v>
      </c>
      <c r="R789" s="33">
        <f t="shared" si="110"/>
        <v>130</v>
      </c>
      <c r="S789" s="132">
        <f t="shared" si="108"/>
        <v>16.25</v>
      </c>
      <c r="T789" s="132">
        <f t="shared" ref="T789:T806" si="112">IFERROR(IF(R789&gt;2,S789,""),"")</f>
        <v>16.25</v>
      </c>
      <c r="V789" s="131">
        <f t="shared" si="109"/>
        <v>115.71428571428572</v>
      </c>
      <c r="W789" s="17">
        <v>44.8</v>
      </c>
      <c r="X789" s="8">
        <f>60*60*8/W789</f>
        <v>642.85714285714289</v>
      </c>
      <c r="Y789" s="161">
        <v>45499</v>
      </c>
      <c r="Z789" s="7" t="s">
        <v>7</v>
      </c>
      <c r="AA789" s="117"/>
      <c r="AB789" s="117"/>
      <c r="AC789" s="117"/>
      <c r="CH789">
        <v>3</v>
      </c>
      <c r="CI789">
        <v>53</v>
      </c>
    </row>
    <row r="790" spans="1:87" x14ac:dyDescent="0.3">
      <c r="A790" s="2">
        <v>1977</v>
      </c>
      <c r="B790" s="2" t="s">
        <v>0</v>
      </c>
      <c r="C790" s="2" t="s">
        <v>1</v>
      </c>
      <c r="D790" s="2" t="s">
        <v>1276</v>
      </c>
      <c r="E790" s="2">
        <v>100</v>
      </c>
      <c r="F790" s="2">
        <v>3.6799999999999999E-2</v>
      </c>
      <c r="G790" s="2">
        <v>2.1600000000000001E-2</v>
      </c>
      <c r="H790" s="4">
        <f t="shared" si="111"/>
        <v>0.41304347826086951</v>
      </c>
      <c r="I790" s="2" t="s">
        <v>208</v>
      </c>
      <c r="J790" s="2" t="s">
        <v>1274</v>
      </c>
      <c r="K790" s="2" t="s">
        <v>163</v>
      </c>
      <c r="L790" s="2" t="s">
        <v>96</v>
      </c>
      <c r="M790" s="155"/>
      <c r="N790" s="155"/>
      <c r="O790" s="2">
        <v>1</v>
      </c>
      <c r="P790" s="6" t="s">
        <v>210</v>
      </c>
      <c r="Q790" s="131" t="str">
        <f t="shared" si="107"/>
        <v/>
      </c>
      <c r="R790" s="33" t="str">
        <f t="shared" si="110"/>
        <v/>
      </c>
      <c r="S790" s="132" t="str">
        <f t="shared" si="108"/>
        <v/>
      </c>
      <c r="T790" s="132" t="str">
        <f t="shared" si="112"/>
        <v/>
      </c>
      <c r="V790" s="131" t="str">
        <f t="shared" si="109"/>
        <v/>
      </c>
      <c r="W790" s="17"/>
      <c r="X790" s="8"/>
      <c r="Y790" s="161"/>
      <c r="Z790" s="7"/>
      <c r="AA790" s="117"/>
      <c r="AB790" s="117"/>
      <c r="AC790" s="117"/>
      <c r="CH790">
        <v>3</v>
      </c>
      <c r="CI790">
        <v>88</v>
      </c>
    </row>
    <row r="791" spans="1:87" x14ac:dyDescent="0.3">
      <c r="A791" s="23">
        <v>1978</v>
      </c>
      <c r="B791" s="2" t="s">
        <v>0</v>
      </c>
      <c r="C791" s="2" t="s">
        <v>1</v>
      </c>
      <c r="D791" s="2" t="s">
        <v>1277</v>
      </c>
      <c r="E791" s="2">
        <v>1000</v>
      </c>
      <c r="F791" s="2">
        <v>9.4999999999999998E-3</v>
      </c>
      <c r="G791" s="2">
        <v>5.5999999999999999E-3</v>
      </c>
      <c r="H791" s="4">
        <f t="shared" si="111"/>
        <v>0.41052631578947368</v>
      </c>
      <c r="I791" s="2" t="s">
        <v>82</v>
      </c>
      <c r="J791" s="2" t="s">
        <v>579</v>
      </c>
      <c r="K791" s="2" t="s">
        <v>163</v>
      </c>
      <c r="L791" s="2" t="s">
        <v>6</v>
      </c>
      <c r="M791" s="155">
        <v>13</v>
      </c>
      <c r="N791" s="155">
        <v>77</v>
      </c>
      <c r="O791" s="2">
        <v>36</v>
      </c>
      <c r="P791" s="6">
        <v>12</v>
      </c>
      <c r="Q791" s="131">
        <f t="shared" si="107"/>
        <v>86.399999999999991</v>
      </c>
      <c r="R791" s="33">
        <f t="shared" si="110"/>
        <v>12</v>
      </c>
      <c r="S791" s="132">
        <f t="shared" si="108"/>
        <v>1.5</v>
      </c>
      <c r="T791" s="132">
        <f t="shared" si="112"/>
        <v>1.5</v>
      </c>
      <c r="V791" s="131">
        <f t="shared" si="109"/>
        <v>23.671232876712331</v>
      </c>
      <c r="W791" s="17">
        <v>43.8</v>
      </c>
      <c r="X791" s="8">
        <f t="shared" ref="X791:X796" si="113">60*60*8/W791</f>
        <v>657.53424657534254</v>
      </c>
      <c r="Y791" s="161">
        <v>45569</v>
      </c>
      <c r="Z791" s="7" t="s">
        <v>7</v>
      </c>
      <c r="AA791" s="117"/>
      <c r="AB791" s="117"/>
      <c r="AC791" s="117"/>
      <c r="AD791" s="24">
        <v>45569</v>
      </c>
      <c r="AE791">
        <v>8</v>
      </c>
      <c r="AF791">
        <v>7.6</v>
      </c>
      <c r="AH791">
        <v>3</v>
      </c>
      <c r="AI791">
        <v>0.8</v>
      </c>
      <c r="AJ791">
        <v>0.6</v>
      </c>
      <c r="AK791">
        <v>8</v>
      </c>
      <c r="AL791">
        <v>7.5</v>
      </c>
      <c r="AN791">
        <v>14</v>
      </c>
      <c r="AO791">
        <v>1.2</v>
      </c>
      <c r="AS791">
        <v>43.8</v>
      </c>
      <c r="AT791">
        <v>8</v>
      </c>
      <c r="AU791">
        <v>17</v>
      </c>
      <c r="AV791">
        <v>112</v>
      </c>
      <c r="AW791">
        <v>122</v>
      </c>
      <c r="AX791">
        <v>12</v>
      </c>
      <c r="AY791">
        <v>24</v>
      </c>
      <c r="AZ791">
        <v>101</v>
      </c>
      <c r="BA791">
        <v>112</v>
      </c>
      <c r="BB791">
        <v>420</v>
      </c>
      <c r="CH791">
        <v>1</v>
      </c>
      <c r="CI791">
        <v>54</v>
      </c>
    </row>
    <row r="792" spans="1:87" x14ac:dyDescent="0.3">
      <c r="A792" s="23">
        <v>2005</v>
      </c>
      <c r="B792" s="2" t="s">
        <v>0</v>
      </c>
      <c r="C792" s="2" t="s">
        <v>1</v>
      </c>
      <c r="D792" s="2" t="s">
        <v>1278</v>
      </c>
      <c r="E792" s="2">
        <v>670</v>
      </c>
      <c r="F792" s="2">
        <v>1.7500000000000002E-2</v>
      </c>
      <c r="G792" s="2">
        <v>1.44E-2</v>
      </c>
      <c r="H792" s="4">
        <f t="shared" si="111"/>
        <v>0.17714285714285724</v>
      </c>
      <c r="I792" s="2" t="s">
        <v>3</v>
      </c>
      <c r="J792" s="2" t="s">
        <v>664</v>
      </c>
      <c r="K792" s="2" t="s">
        <v>105</v>
      </c>
      <c r="L792" s="2" t="s">
        <v>76</v>
      </c>
      <c r="M792" s="155"/>
      <c r="N792" s="155"/>
      <c r="O792" s="2">
        <v>16</v>
      </c>
      <c r="P792" s="6">
        <v>15</v>
      </c>
      <c r="Q792" s="131">
        <f t="shared" si="107"/>
        <v>45.850746268656721</v>
      </c>
      <c r="R792" s="33">
        <f t="shared" si="110"/>
        <v>15</v>
      </c>
      <c r="S792" s="132">
        <f t="shared" si="108"/>
        <v>1.875</v>
      </c>
      <c r="T792" s="132">
        <f t="shared" si="112"/>
        <v>1.875</v>
      </c>
      <c r="V792" s="131">
        <f t="shared" si="109"/>
        <v>21.973201087215678</v>
      </c>
      <c r="W792" s="17">
        <v>31.3</v>
      </c>
      <c r="X792" s="8">
        <f t="shared" si="113"/>
        <v>920.12779552715654</v>
      </c>
      <c r="Y792" s="161">
        <v>45513</v>
      </c>
      <c r="Z792" s="7" t="s">
        <v>7</v>
      </c>
      <c r="AA792" s="117"/>
      <c r="AB792" s="117"/>
      <c r="AC792" s="117"/>
      <c r="CH792">
        <v>1</v>
      </c>
      <c r="CI792">
        <v>55</v>
      </c>
    </row>
    <row r="793" spans="1:87" x14ac:dyDescent="0.3">
      <c r="A793" s="23">
        <v>2013</v>
      </c>
      <c r="B793" s="2" t="s">
        <v>0</v>
      </c>
      <c r="C793" s="2" t="s">
        <v>1</v>
      </c>
      <c r="D793" s="2" t="s">
        <v>2</v>
      </c>
      <c r="E793" s="2">
        <v>2000</v>
      </c>
      <c r="F793" s="2">
        <v>4.7999999999999996E-3</v>
      </c>
      <c r="G793" s="2">
        <v>3.5000000000000001E-3</v>
      </c>
      <c r="H793" s="4">
        <f t="shared" si="111"/>
        <v>0.27083333333333326</v>
      </c>
      <c r="I793" s="2" t="s">
        <v>3</v>
      </c>
      <c r="J793" s="2" t="s">
        <v>4</v>
      </c>
      <c r="K793" s="2" t="s">
        <v>5</v>
      </c>
      <c r="L793" s="2" t="s">
        <v>6</v>
      </c>
      <c r="M793" s="155"/>
      <c r="N793" s="155"/>
      <c r="O793" s="2">
        <v>35</v>
      </c>
      <c r="P793" s="6">
        <f>17/0.8</f>
        <v>21.25</v>
      </c>
      <c r="Q793" s="131">
        <f t="shared" si="107"/>
        <v>23.71764705882353</v>
      </c>
      <c r="R793" s="33">
        <v>20</v>
      </c>
      <c r="S793" s="132">
        <f t="shared" si="108"/>
        <v>2.5</v>
      </c>
      <c r="T793" s="132">
        <f t="shared" si="112"/>
        <v>2.5</v>
      </c>
      <c r="V793" s="131">
        <f t="shared" si="109"/>
        <v>19.45945945945946</v>
      </c>
      <c r="W793" s="17">
        <v>25.9</v>
      </c>
      <c r="X793" s="8">
        <f t="shared" si="113"/>
        <v>1111.969111969112</v>
      </c>
      <c r="Y793" s="161">
        <v>45553</v>
      </c>
      <c r="Z793" s="7" t="s">
        <v>7</v>
      </c>
      <c r="AA793" s="117"/>
      <c r="AB793" s="117"/>
      <c r="AC793" s="117"/>
      <c r="CH793">
        <v>2</v>
      </c>
      <c r="CI793">
        <v>69</v>
      </c>
    </row>
    <row r="794" spans="1:87" x14ac:dyDescent="0.3">
      <c r="A794" s="23">
        <v>2014</v>
      </c>
      <c r="B794" s="2" t="s">
        <v>0</v>
      </c>
      <c r="C794" s="2" t="s">
        <v>1</v>
      </c>
      <c r="D794" s="2" t="s">
        <v>1279</v>
      </c>
      <c r="E794" s="2">
        <v>3570</v>
      </c>
      <c r="F794" s="2">
        <v>4.7999999999999996E-3</v>
      </c>
      <c r="G794" s="2">
        <v>3.5000000000000001E-3</v>
      </c>
      <c r="H794" s="4">
        <f t="shared" si="111"/>
        <v>0.27083333333333326</v>
      </c>
      <c r="I794" s="2" t="s">
        <v>3</v>
      </c>
      <c r="J794" s="2" t="s">
        <v>4</v>
      </c>
      <c r="K794" s="2" t="s">
        <v>5</v>
      </c>
      <c r="L794" s="2" t="s">
        <v>6</v>
      </c>
      <c r="M794" s="155" t="s">
        <v>1280</v>
      </c>
      <c r="N794" s="155"/>
      <c r="O794" s="2">
        <v>35</v>
      </c>
      <c r="P794" s="6">
        <v>11</v>
      </c>
      <c r="Q794" s="131">
        <f t="shared" si="107"/>
        <v>25.668449197860966</v>
      </c>
      <c r="R794" s="33">
        <f t="shared" si="110"/>
        <v>11</v>
      </c>
      <c r="S794" s="132">
        <f t="shared" si="108"/>
        <v>1.375</v>
      </c>
      <c r="T794" s="132">
        <f t="shared" si="112"/>
        <v>1.375</v>
      </c>
      <c r="V794" s="131">
        <f t="shared" si="109"/>
        <v>10.90165796048149</v>
      </c>
      <c r="W794" s="17">
        <v>25.9</v>
      </c>
      <c r="X794" s="8">
        <f t="shared" si="113"/>
        <v>1111.969111969112</v>
      </c>
      <c r="Y794" s="161">
        <v>45621</v>
      </c>
      <c r="Z794" s="7" t="s">
        <v>7</v>
      </c>
      <c r="AA794" s="117"/>
      <c r="AB794" s="117"/>
      <c r="AC794" s="117"/>
      <c r="CH794">
        <v>5</v>
      </c>
      <c r="CI794">
        <v>54</v>
      </c>
    </row>
    <row r="795" spans="1:87" x14ac:dyDescent="0.3">
      <c r="A795" s="23">
        <v>2019</v>
      </c>
      <c r="B795" s="2" t="s">
        <v>0</v>
      </c>
      <c r="C795" s="2" t="s">
        <v>1</v>
      </c>
      <c r="D795" s="2" t="s">
        <v>1281</v>
      </c>
      <c r="E795" s="2">
        <v>700</v>
      </c>
      <c r="F795" s="2">
        <v>1.6299999999999999E-2</v>
      </c>
      <c r="G795" s="2">
        <v>1.21E-2</v>
      </c>
      <c r="H795" s="4">
        <f t="shared" si="111"/>
        <v>0.25766871165644167</v>
      </c>
      <c r="I795" s="2" t="s">
        <v>73</v>
      </c>
      <c r="J795" s="2" t="s">
        <v>1282</v>
      </c>
      <c r="K795" s="2" t="s">
        <v>105</v>
      </c>
      <c r="L795" s="2" t="s">
        <v>76</v>
      </c>
      <c r="M795" s="155"/>
      <c r="N795" s="155"/>
      <c r="O795" s="2">
        <v>24</v>
      </c>
      <c r="P795" s="6">
        <v>17</v>
      </c>
      <c r="Q795" s="131">
        <f t="shared" si="107"/>
        <v>58.084033613445378</v>
      </c>
      <c r="R795" s="33">
        <f t="shared" si="110"/>
        <v>17</v>
      </c>
      <c r="S795" s="132">
        <f t="shared" si="108"/>
        <v>2.125</v>
      </c>
      <c r="T795" s="132">
        <f t="shared" si="112"/>
        <v>2.125</v>
      </c>
      <c r="V795" s="131">
        <f t="shared" si="109"/>
        <v>27.277032359905284</v>
      </c>
      <c r="W795" s="17">
        <v>36.200000000000003</v>
      </c>
      <c r="X795" s="8">
        <f t="shared" si="113"/>
        <v>795.58011049723746</v>
      </c>
      <c r="Y795" s="161">
        <v>45596</v>
      </c>
      <c r="Z795" s="7" t="s">
        <v>7</v>
      </c>
      <c r="AA795" s="117"/>
      <c r="AB795" s="117"/>
      <c r="AC795" s="117"/>
      <c r="CH795">
        <v>3</v>
      </c>
      <c r="CI795">
        <v>69</v>
      </c>
    </row>
    <row r="796" spans="1:87" x14ac:dyDescent="0.3">
      <c r="A796" s="23">
        <v>2018</v>
      </c>
      <c r="B796" s="2" t="s">
        <v>0</v>
      </c>
      <c r="C796" s="2" t="s">
        <v>1</v>
      </c>
      <c r="D796" s="23" t="s">
        <v>1283</v>
      </c>
      <c r="E796" s="2">
        <v>360</v>
      </c>
      <c r="F796" s="2">
        <v>2.9000000000000001E-2</v>
      </c>
      <c r="G796" s="2">
        <v>2.18E-2</v>
      </c>
      <c r="H796" s="91">
        <f t="shared" si="111"/>
        <v>0.24827586206896557</v>
      </c>
      <c r="I796" s="2" t="s">
        <v>73</v>
      </c>
      <c r="J796" s="2" t="s">
        <v>1284</v>
      </c>
      <c r="K796" s="2" t="s">
        <v>105</v>
      </c>
      <c r="L796" s="2" t="s">
        <v>76</v>
      </c>
      <c r="M796" s="155"/>
      <c r="N796" s="155"/>
      <c r="O796" s="2">
        <v>12</v>
      </c>
      <c r="P796" s="6">
        <v>24</v>
      </c>
      <c r="Q796" s="131">
        <f t="shared" si="107"/>
        <v>40</v>
      </c>
      <c r="R796" s="33">
        <f t="shared" si="110"/>
        <v>24</v>
      </c>
      <c r="S796" s="132">
        <f t="shared" si="108"/>
        <v>3</v>
      </c>
      <c r="T796" s="132">
        <f t="shared" si="112"/>
        <v>3</v>
      </c>
      <c r="V796" s="131">
        <f t="shared" si="109"/>
        <v>24</v>
      </c>
      <c r="W796" s="17">
        <v>40</v>
      </c>
      <c r="X796" s="8">
        <f t="shared" si="113"/>
        <v>720</v>
      </c>
      <c r="Y796" s="161">
        <v>45612</v>
      </c>
      <c r="Z796" s="7" t="s">
        <v>7</v>
      </c>
      <c r="AA796" s="117"/>
      <c r="AB796" s="117"/>
      <c r="AC796" s="117"/>
      <c r="CH796">
        <v>5</v>
      </c>
      <c r="CI796">
        <v>49</v>
      </c>
    </row>
    <row r="797" spans="1:87" x14ac:dyDescent="0.3">
      <c r="A797" s="2">
        <v>2048</v>
      </c>
      <c r="B797" s="2" t="s">
        <v>0</v>
      </c>
      <c r="C797" s="2" t="s">
        <v>1</v>
      </c>
      <c r="D797" t="s">
        <v>1285</v>
      </c>
      <c r="E797" s="2">
        <v>1000</v>
      </c>
      <c r="F797" s="2">
        <v>2.4199999999999999E-2</v>
      </c>
      <c r="G797" s="2">
        <v>2.0400000000000001E-2</v>
      </c>
      <c r="H797" s="4">
        <f t="shared" si="111"/>
        <v>0.15702479338842967</v>
      </c>
      <c r="I797" s="2" t="s">
        <v>98</v>
      </c>
      <c r="J797" s="2" t="s">
        <v>964</v>
      </c>
      <c r="K797" s="2" t="s">
        <v>75</v>
      </c>
      <c r="L797" s="2" t="s">
        <v>76</v>
      </c>
      <c r="M797" s="155"/>
      <c r="N797" s="155"/>
      <c r="O797" s="2">
        <v>4</v>
      </c>
      <c r="P797" s="6">
        <v>45</v>
      </c>
      <c r="Q797" s="131">
        <f t="shared" si="107"/>
        <v>2.56</v>
      </c>
      <c r="R797" s="33">
        <f t="shared" si="110"/>
        <v>45</v>
      </c>
      <c r="S797" s="132">
        <f t="shared" si="108"/>
        <v>5.625</v>
      </c>
      <c r="T797" s="132">
        <f t="shared" si="112"/>
        <v>5.625</v>
      </c>
      <c r="V797" s="131" t="str">
        <f t="shared" si="109"/>
        <v/>
      </c>
      <c r="W797" s="17"/>
      <c r="X797" s="7"/>
      <c r="Y797" s="161"/>
      <c r="Z797" s="7"/>
      <c r="AA797" s="117"/>
      <c r="AB797" s="117"/>
      <c r="AC797" s="117"/>
      <c r="CH797">
        <v>3</v>
      </c>
      <c r="CI797">
        <v>56</v>
      </c>
    </row>
    <row r="798" spans="1:87" x14ac:dyDescent="0.3">
      <c r="A798" s="2">
        <v>2050</v>
      </c>
      <c r="B798" s="2" t="s">
        <v>0</v>
      </c>
      <c r="C798" s="2" t="s">
        <v>1</v>
      </c>
      <c r="D798" s="2" t="s">
        <v>1286</v>
      </c>
      <c r="E798" s="2">
        <v>1000</v>
      </c>
      <c r="F798" s="2">
        <v>2.4199999999999999E-2</v>
      </c>
      <c r="G798" s="2">
        <v>2.0400000000000001E-2</v>
      </c>
      <c r="H798" s="4">
        <f t="shared" si="111"/>
        <v>0.15702479338842967</v>
      </c>
      <c r="I798" s="2" t="s">
        <v>98</v>
      </c>
      <c r="J798" s="2" t="s">
        <v>964</v>
      </c>
      <c r="K798" s="2" t="s">
        <v>75</v>
      </c>
      <c r="L798" s="2" t="s">
        <v>76</v>
      </c>
      <c r="M798" s="155"/>
      <c r="N798" s="155"/>
      <c r="O798" s="2">
        <v>4</v>
      </c>
      <c r="P798" s="6">
        <v>45</v>
      </c>
      <c r="Q798" s="131">
        <f t="shared" si="107"/>
        <v>2.56</v>
      </c>
      <c r="R798" s="33">
        <f t="shared" si="110"/>
        <v>45</v>
      </c>
      <c r="S798" s="132">
        <f t="shared" si="108"/>
        <v>5.625</v>
      </c>
      <c r="T798" s="132">
        <f t="shared" si="112"/>
        <v>5.625</v>
      </c>
      <c r="V798" s="131">
        <f t="shared" si="109"/>
        <v>4.6639676113360329</v>
      </c>
      <c r="W798" s="17">
        <v>24.7</v>
      </c>
      <c r="X798" s="8">
        <f>60*60*8/W798</f>
        <v>1165.9919028340082</v>
      </c>
      <c r="Y798" s="161">
        <v>45596</v>
      </c>
      <c r="Z798" s="7" t="s">
        <v>7</v>
      </c>
      <c r="AA798" s="117"/>
      <c r="AB798" s="117"/>
      <c r="AC798" s="117"/>
      <c r="CH798">
        <v>4</v>
      </c>
      <c r="CI798">
        <v>77</v>
      </c>
    </row>
    <row r="799" spans="1:87" x14ac:dyDescent="0.3">
      <c r="A799" s="2">
        <v>2051</v>
      </c>
      <c r="B799" s="2" t="s">
        <v>0</v>
      </c>
      <c r="C799" s="2" t="s">
        <v>1</v>
      </c>
      <c r="D799" s="2" t="s">
        <v>1287</v>
      </c>
      <c r="E799" s="2">
        <v>1000</v>
      </c>
      <c r="F799" s="2">
        <v>2.4199999999999999E-2</v>
      </c>
      <c r="G799" s="2">
        <v>2.0400000000000001E-2</v>
      </c>
      <c r="H799" s="4">
        <f t="shared" si="111"/>
        <v>0.15702479338842967</v>
      </c>
      <c r="I799" s="2" t="s">
        <v>98</v>
      </c>
      <c r="J799" s="2" t="s">
        <v>964</v>
      </c>
      <c r="K799" s="2" t="s">
        <v>75</v>
      </c>
      <c r="L799" s="2" t="s">
        <v>76</v>
      </c>
      <c r="M799" s="155"/>
      <c r="N799" s="155"/>
      <c r="O799" s="2">
        <v>4</v>
      </c>
      <c r="P799" s="6">
        <v>45</v>
      </c>
      <c r="Q799" s="131">
        <f t="shared" si="107"/>
        <v>2.56</v>
      </c>
      <c r="R799" s="33">
        <f t="shared" si="110"/>
        <v>45</v>
      </c>
      <c r="S799" s="132">
        <f t="shared" si="108"/>
        <v>5.625</v>
      </c>
      <c r="T799" s="132">
        <f t="shared" si="112"/>
        <v>5.625</v>
      </c>
      <c r="V799" s="131">
        <f t="shared" si="109"/>
        <v>4.6639676113360329</v>
      </c>
      <c r="W799" s="17">
        <v>24.7</v>
      </c>
      <c r="X799" s="8">
        <f>60*60*8/W799</f>
        <v>1165.9919028340082</v>
      </c>
      <c r="Y799" s="161">
        <v>45596</v>
      </c>
      <c r="Z799" s="7" t="s">
        <v>7</v>
      </c>
      <c r="AA799" s="117"/>
      <c r="AB799" s="117"/>
      <c r="AC799" s="117"/>
      <c r="CH799">
        <v>5</v>
      </c>
      <c r="CI799">
        <v>30</v>
      </c>
    </row>
    <row r="800" spans="1:87" x14ac:dyDescent="0.3">
      <c r="A800" s="2">
        <v>2052</v>
      </c>
      <c r="B800" s="2" t="s">
        <v>0</v>
      </c>
      <c r="C800" s="2" t="s">
        <v>1</v>
      </c>
      <c r="D800" s="2" t="s">
        <v>1288</v>
      </c>
      <c r="E800" s="2">
        <v>1000</v>
      </c>
      <c r="F800" s="2">
        <v>2.4199999999999999E-2</v>
      </c>
      <c r="G800" s="2">
        <v>2.0400000000000001E-2</v>
      </c>
      <c r="H800" s="4">
        <f t="shared" si="111"/>
        <v>0.15702479338842967</v>
      </c>
      <c r="I800" s="2" t="s">
        <v>98</v>
      </c>
      <c r="J800" s="2" t="s">
        <v>964</v>
      </c>
      <c r="K800" s="2" t="s">
        <v>75</v>
      </c>
      <c r="L800" s="2" t="s">
        <v>76</v>
      </c>
      <c r="M800" s="155"/>
      <c r="N800" s="155"/>
      <c r="O800" s="2">
        <v>4</v>
      </c>
      <c r="P800" s="6">
        <v>45</v>
      </c>
      <c r="Q800" s="131">
        <f t="shared" si="107"/>
        <v>2.56</v>
      </c>
      <c r="R800" s="33">
        <f t="shared" si="110"/>
        <v>45</v>
      </c>
      <c r="S800" s="132">
        <f t="shared" si="108"/>
        <v>5.625</v>
      </c>
      <c r="T800" s="132">
        <f t="shared" si="112"/>
        <v>5.625</v>
      </c>
      <c r="V800" s="131">
        <f t="shared" si="109"/>
        <v>4.6639676113360329</v>
      </c>
      <c r="W800" s="17">
        <v>24.7</v>
      </c>
      <c r="X800" s="8">
        <f>60*60*8/W800</f>
        <v>1165.9919028340082</v>
      </c>
      <c r="Y800" s="161">
        <v>45596</v>
      </c>
      <c r="Z800" s="7" t="s">
        <v>7</v>
      </c>
      <c r="AA800" s="117"/>
      <c r="AB800" s="117"/>
      <c r="AC800" s="117"/>
      <c r="CH800">
        <v>1</v>
      </c>
      <c r="CI800">
        <v>86</v>
      </c>
    </row>
    <row r="801" spans="1:87" x14ac:dyDescent="0.3">
      <c r="A801" s="2">
        <v>2055</v>
      </c>
      <c r="B801" s="2" t="s">
        <v>0</v>
      </c>
      <c r="C801" s="2" t="s">
        <v>1</v>
      </c>
      <c r="D801" s="2" t="s">
        <v>1289</v>
      </c>
      <c r="E801" s="2">
        <v>1000</v>
      </c>
      <c r="F801" s="2">
        <v>2.4199999999999999E-2</v>
      </c>
      <c r="G801" s="2">
        <v>2.0400000000000001E-2</v>
      </c>
      <c r="H801" s="4">
        <f t="shared" si="111"/>
        <v>0.15702479338842967</v>
      </c>
      <c r="I801" s="2" t="s">
        <v>98</v>
      </c>
      <c r="J801" s="2" t="s">
        <v>964</v>
      </c>
      <c r="K801" s="2" t="s">
        <v>75</v>
      </c>
      <c r="L801" s="2" t="s">
        <v>76</v>
      </c>
      <c r="M801" s="155"/>
      <c r="N801" s="155"/>
      <c r="O801" s="2">
        <v>4</v>
      </c>
      <c r="P801" s="6">
        <v>45</v>
      </c>
      <c r="Q801" s="131">
        <f t="shared" si="107"/>
        <v>2.56</v>
      </c>
      <c r="R801" s="33">
        <f t="shared" si="110"/>
        <v>45</v>
      </c>
      <c r="S801" s="132">
        <f t="shared" si="108"/>
        <v>5.625</v>
      </c>
      <c r="T801" s="132">
        <f t="shared" si="112"/>
        <v>5.625</v>
      </c>
      <c r="V801" s="131">
        <f t="shared" si="109"/>
        <v>4.6639676113360329</v>
      </c>
      <c r="W801" s="17">
        <v>24.7</v>
      </c>
      <c r="X801" s="8">
        <f>60*60*8/W801</f>
        <v>1165.9919028340082</v>
      </c>
      <c r="Y801" s="161">
        <v>45596</v>
      </c>
      <c r="Z801" s="7" t="s">
        <v>7</v>
      </c>
      <c r="AA801" s="117"/>
      <c r="AB801" s="117"/>
      <c r="AC801" s="117"/>
      <c r="AD801" t="s">
        <v>969</v>
      </c>
      <c r="CH801">
        <v>2</v>
      </c>
      <c r="CI801">
        <v>72</v>
      </c>
    </row>
    <row r="802" spans="1:87" x14ac:dyDescent="0.3">
      <c r="A802" s="2">
        <v>2058</v>
      </c>
      <c r="B802" s="2" t="s">
        <v>0</v>
      </c>
      <c r="C802" s="2" t="s">
        <v>1</v>
      </c>
      <c r="D802" s="2" t="s">
        <v>1290</v>
      </c>
      <c r="E802" s="2">
        <v>1000</v>
      </c>
      <c r="F802" s="2">
        <v>2.4199999999999999E-2</v>
      </c>
      <c r="G802" s="2">
        <v>2.0400000000000001E-2</v>
      </c>
      <c r="H802" s="4">
        <f t="shared" si="111"/>
        <v>0.15702479338842967</v>
      </c>
      <c r="I802" s="2" t="s">
        <v>98</v>
      </c>
      <c r="J802" s="2" t="s">
        <v>964</v>
      </c>
      <c r="K802" s="2" t="s">
        <v>75</v>
      </c>
      <c r="L802" s="2" t="s">
        <v>76</v>
      </c>
      <c r="M802" s="155"/>
      <c r="N802" s="155"/>
      <c r="O802" s="2">
        <v>4</v>
      </c>
      <c r="P802" s="6">
        <v>45</v>
      </c>
      <c r="Q802" s="131">
        <f t="shared" si="107"/>
        <v>2.56</v>
      </c>
      <c r="R802" s="33">
        <f t="shared" si="110"/>
        <v>45</v>
      </c>
      <c r="S802" s="132">
        <f t="shared" si="108"/>
        <v>5.625</v>
      </c>
      <c r="T802" s="132">
        <f t="shared" si="112"/>
        <v>5.625</v>
      </c>
      <c r="V802" s="131" t="str">
        <f t="shared" si="109"/>
        <v/>
      </c>
      <c r="W802" s="17"/>
      <c r="X802" s="7"/>
      <c r="Y802" s="161"/>
      <c r="Z802" s="7"/>
      <c r="AA802" s="117"/>
      <c r="AB802" s="117"/>
      <c r="AC802" s="117"/>
      <c r="CH802">
        <v>5</v>
      </c>
      <c r="CI802">
        <v>82</v>
      </c>
    </row>
    <row r="803" spans="1:87" x14ac:dyDescent="0.3">
      <c r="A803" s="2">
        <v>2058</v>
      </c>
      <c r="B803" s="2" t="s">
        <v>0</v>
      </c>
      <c r="C803" s="2" t="s">
        <v>1</v>
      </c>
      <c r="D803" s="2" t="s">
        <v>1290</v>
      </c>
      <c r="E803" s="2">
        <v>1000</v>
      </c>
      <c r="F803" s="2">
        <v>2.4199999999999999E-2</v>
      </c>
      <c r="G803" s="2">
        <v>2.0400000000000001E-2</v>
      </c>
      <c r="H803" s="4">
        <f t="shared" si="111"/>
        <v>0.15702479338842967</v>
      </c>
      <c r="I803" s="2" t="s">
        <v>98</v>
      </c>
      <c r="J803" s="2" t="s">
        <v>964</v>
      </c>
      <c r="K803" s="2" t="s">
        <v>75</v>
      </c>
      <c r="L803" s="2" t="s">
        <v>76</v>
      </c>
      <c r="M803" s="155"/>
      <c r="N803" s="155"/>
      <c r="O803" s="2">
        <v>4</v>
      </c>
      <c r="P803" s="6">
        <v>45</v>
      </c>
      <c r="Q803" s="131">
        <f t="shared" si="107"/>
        <v>2.56</v>
      </c>
      <c r="R803" s="33">
        <f t="shared" si="110"/>
        <v>45</v>
      </c>
      <c r="S803" s="132">
        <f t="shared" si="108"/>
        <v>5.625</v>
      </c>
      <c r="T803" s="132">
        <f t="shared" si="112"/>
        <v>5.625</v>
      </c>
      <c r="V803" s="131" t="str">
        <f t="shared" si="109"/>
        <v/>
      </c>
      <c r="W803" s="17"/>
      <c r="X803" s="7"/>
      <c r="Y803" s="161"/>
      <c r="Z803" s="7"/>
      <c r="AA803" s="117"/>
      <c r="AB803" s="117"/>
      <c r="AC803" s="117"/>
      <c r="CH803">
        <v>3</v>
      </c>
      <c r="CI803">
        <v>80</v>
      </c>
    </row>
    <row r="804" spans="1:87" x14ac:dyDescent="0.3">
      <c r="A804" s="2">
        <v>2080</v>
      </c>
      <c r="B804" s="2" t="s">
        <v>0</v>
      </c>
      <c r="C804" s="2" t="s">
        <v>1</v>
      </c>
      <c r="D804" s="2" t="s">
        <v>1291</v>
      </c>
      <c r="E804" s="2">
        <v>1100</v>
      </c>
      <c r="F804" s="2">
        <v>9.4999999999999998E-3</v>
      </c>
      <c r="G804" s="23">
        <v>2.0400000000000001E-2</v>
      </c>
      <c r="H804" s="154">
        <f t="shared" si="111"/>
        <v>-1.1473684210526318</v>
      </c>
      <c r="I804" s="2" t="s">
        <v>82</v>
      </c>
      <c r="J804" s="2" t="s">
        <v>698</v>
      </c>
      <c r="K804" s="2" t="s">
        <v>357</v>
      </c>
      <c r="L804" s="2" t="s">
        <v>6</v>
      </c>
      <c r="M804" s="155" t="s">
        <v>1292</v>
      </c>
      <c r="N804" s="155"/>
      <c r="O804" s="2">
        <v>18</v>
      </c>
      <c r="P804" s="6">
        <v>20</v>
      </c>
      <c r="Q804" s="131">
        <f t="shared" si="107"/>
        <v>23.563636363636363</v>
      </c>
      <c r="R804" s="33">
        <f t="shared" si="110"/>
        <v>20</v>
      </c>
      <c r="S804" s="132">
        <f t="shared" si="108"/>
        <v>2.5</v>
      </c>
      <c r="T804" s="132">
        <f t="shared" si="112"/>
        <v>2.5</v>
      </c>
      <c r="V804" s="131">
        <f t="shared" si="109"/>
        <v>11.752437089095443</v>
      </c>
      <c r="W804" s="17">
        <v>40.1</v>
      </c>
      <c r="X804" s="8">
        <f>60*60*8/W804</f>
        <v>718.20448877805484</v>
      </c>
      <c r="Y804" s="161">
        <v>45688</v>
      </c>
      <c r="Z804" s="7" t="s">
        <v>7</v>
      </c>
      <c r="AA804" s="117"/>
      <c r="AB804" s="117"/>
      <c r="AC804" s="117"/>
      <c r="CH804">
        <v>3</v>
      </c>
      <c r="CI804">
        <v>79</v>
      </c>
    </row>
    <row r="805" spans="1:87" x14ac:dyDescent="0.3">
      <c r="A805" s="2">
        <v>2092</v>
      </c>
      <c r="B805" s="2" t="s">
        <v>0</v>
      </c>
      <c r="C805" s="2" t="s">
        <v>1</v>
      </c>
      <c r="D805" s="23" t="s">
        <v>1293</v>
      </c>
      <c r="E805" s="2">
        <v>3100</v>
      </c>
      <c r="F805" s="2">
        <v>2.7000000000000001E-3</v>
      </c>
      <c r="G805" s="2">
        <v>2.3E-3</v>
      </c>
      <c r="H805" s="4">
        <f t="shared" si="111"/>
        <v>0.1481481481481482</v>
      </c>
      <c r="I805" s="2" t="s">
        <v>98</v>
      </c>
      <c r="J805" s="2" t="s">
        <v>1294</v>
      </c>
      <c r="K805" s="2" t="s">
        <v>95</v>
      </c>
      <c r="L805" s="2" t="s">
        <v>96</v>
      </c>
      <c r="M805" s="155"/>
      <c r="N805" s="155"/>
      <c r="O805" s="2">
        <v>48</v>
      </c>
      <c r="P805" s="6">
        <v>14</v>
      </c>
      <c r="Q805" s="131">
        <f t="shared" si="107"/>
        <v>31.852534562211982</v>
      </c>
      <c r="R805" s="33">
        <f t="shared" si="110"/>
        <v>14</v>
      </c>
      <c r="S805" s="132">
        <f t="shared" si="108"/>
        <v>1.75</v>
      </c>
      <c r="T805" s="132">
        <f t="shared" si="112"/>
        <v>1.75</v>
      </c>
      <c r="V805" s="131">
        <f t="shared" si="109"/>
        <v>17.284321080270068</v>
      </c>
      <c r="W805" s="17">
        <v>25.8</v>
      </c>
      <c r="X805" s="8">
        <f>60*60*8/W805</f>
        <v>1116.2790697674418</v>
      </c>
      <c r="Y805" s="161">
        <v>45547</v>
      </c>
      <c r="Z805" s="7" t="s">
        <v>7</v>
      </c>
      <c r="AA805" s="117"/>
      <c r="AB805" s="117"/>
      <c r="AC805" s="117"/>
      <c r="AD805" s="24">
        <v>45547</v>
      </c>
      <c r="AE805">
        <v>8</v>
      </c>
      <c r="AF805">
        <v>3</v>
      </c>
      <c r="AG805">
        <v>1.6</v>
      </c>
      <c r="AI805">
        <v>0.2</v>
      </c>
      <c r="AJ805">
        <v>0.2</v>
      </c>
      <c r="AK805">
        <v>5</v>
      </c>
      <c r="AL805">
        <v>4.5</v>
      </c>
      <c r="AO805">
        <v>0.5</v>
      </c>
      <c r="AS805">
        <v>25.8</v>
      </c>
      <c r="AT805">
        <v>6.5</v>
      </c>
      <c r="AU805">
        <v>16</v>
      </c>
      <c r="AV805">
        <v>123</v>
      </c>
      <c r="AW805">
        <v>133</v>
      </c>
      <c r="AX805">
        <v>12</v>
      </c>
      <c r="AY805">
        <v>23.5</v>
      </c>
      <c r="AZ805">
        <v>101</v>
      </c>
      <c r="BA805">
        <v>112</v>
      </c>
      <c r="BB805">
        <v>420</v>
      </c>
      <c r="CH805">
        <v>3</v>
      </c>
      <c r="CI805">
        <v>89</v>
      </c>
    </row>
    <row r="806" spans="1:87" x14ac:dyDescent="0.3">
      <c r="A806" s="2">
        <v>2091</v>
      </c>
      <c r="B806" s="2" t="s">
        <v>0</v>
      </c>
      <c r="C806" s="2" t="s">
        <v>1</v>
      </c>
      <c r="D806" s="23" t="s">
        <v>1295</v>
      </c>
      <c r="E806" s="2">
        <v>760</v>
      </c>
      <c r="F806" s="2">
        <v>1.6299999999999999E-2</v>
      </c>
      <c r="G806" s="2">
        <v>1.2E-2</v>
      </c>
      <c r="H806" s="4">
        <f t="shared" si="111"/>
        <v>0.26380368098159501</v>
      </c>
      <c r="I806" s="2" t="s">
        <v>73</v>
      </c>
      <c r="J806" s="2" t="s">
        <v>1282</v>
      </c>
      <c r="K806" s="2" t="s">
        <v>105</v>
      </c>
      <c r="L806" s="2" t="s">
        <v>76</v>
      </c>
      <c r="M806" s="155"/>
      <c r="N806" s="155"/>
      <c r="O806" s="2">
        <v>24</v>
      </c>
      <c r="P806" s="6">
        <v>17</v>
      </c>
      <c r="Q806" s="131">
        <f t="shared" si="107"/>
        <v>53.4984520123839</v>
      </c>
      <c r="R806" s="33">
        <f t="shared" si="110"/>
        <v>17</v>
      </c>
      <c r="S806" s="132">
        <f t="shared" si="108"/>
        <v>2.125</v>
      </c>
      <c r="T806" s="132">
        <f t="shared" si="112"/>
        <v>2.125</v>
      </c>
      <c r="V806" s="131" t="str">
        <f t="shared" si="109"/>
        <v/>
      </c>
      <c r="W806" s="17"/>
      <c r="X806" s="7"/>
      <c r="Y806" s="161"/>
      <c r="Z806" s="7"/>
      <c r="BE806"/>
      <c r="CH806">
        <v>1</v>
      </c>
      <c r="CI806">
        <v>49</v>
      </c>
    </row>
    <row r="807" spans="1:87" x14ac:dyDescent="0.3">
      <c r="A807" s="2">
        <v>692</v>
      </c>
      <c r="B807" s="2" t="s">
        <v>0</v>
      </c>
      <c r="C807" s="2" t="s">
        <v>1303</v>
      </c>
      <c r="D807" s="2" t="s">
        <v>1304</v>
      </c>
      <c r="E807" s="2">
        <v>500</v>
      </c>
      <c r="F807" s="2">
        <v>1.7000000000000001E-2</v>
      </c>
      <c r="G807" s="2">
        <v>0.01</v>
      </c>
      <c r="H807" s="4">
        <f t="shared" ref="H807:H816" si="114">(F807-G807)/F807</f>
        <v>0.41176470588235298</v>
      </c>
      <c r="I807" s="2" t="s">
        <v>73</v>
      </c>
      <c r="J807" s="2" t="s">
        <v>1305</v>
      </c>
      <c r="K807" s="2" t="s">
        <v>1306</v>
      </c>
      <c r="L807" s="2" t="s">
        <v>96</v>
      </c>
      <c r="M807" s="163">
        <f>E807/N807</f>
        <v>10</v>
      </c>
      <c r="N807" s="163">
        <v>50</v>
      </c>
      <c r="O807" s="2">
        <v>24</v>
      </c>
      <c r="P807" s="6">
        <v>180</v>
      </c>
      <c r="Q807" s="131">
        <v>5.2</v>
      </c>
      <c r="R807" s="33">
        <f t="shared" ref="R807:R816" si="115">60*60*8*O807/E807/Q807</f>
        <v>265.84615384615387</v>
      </c>
      <c r="S807" s="132">
        <f t="shared" ref="S807:S838" si="116">IFERROR(R807/8,"")</f>
        <v>33.230769230769234</v>
      </c>
      <c r="T807" s="132">
        <f t="shared" ref="T807:T816" si="117">IFERROR(IF(R807&gt;2,S807,""),"")</f>
        <v>33.230769230769234</v>
      </c>
      <c r="U807" s="28">
        <f>1000/R807</f>
        <v>3.761574074074074</v>
      </c>
      <c r="V807" s="28">
        <f t="shared" ref="V807:V821" si="118">U807/0.85</f>
        <v>4.4253812636165577</v>
      </c>
      <c r="W807" s="15">
        <f t="shared" ref="W807:W816" si="119">P807/Z807</f>
        <v>0.83333333333333337</v>
      </c>
      <c r="X807" s="16">
        <v>125</v>
      </c>
      <c r="Y807" s="162">
        <f>X807/Z807</f>
        <v>0.57870370370370372</v>
      </c>
      <c r="Z807" s="5">
        <f t="shared" ref="Z807:Z816" si="120">60*60*O807/E807/AD807*7.5</f>
        <v>216</v>
      </c>
      <c r="AA807" s="5"/>
      <c r="AB807" s="5"/>
      <c r="AC807" s="5"/>
      <c r="AD807" s="29">
        <v>6</v>
      </c>
      <c r="AG807" s="20">
        <v>0.83333333333333337</v>
      </c>
      <c r="AI807" s="20">
        <f t="shared" ref="AI807:AI812" si="121">X807/Z807</f>
        <v>0.57870370370370372</v>
      </c>
      <c r="CH807">
        <v>6</v>
      </c>
      <c r="CI807">
        <v>50</v>
      </c>
    </row>
    <row r="808" spans="1:87" x14ac:dyDescent="0.3">
      <c r="A808" s="2">
        <v>2002</v>
      </c>
      <c r="B808" s="2" t="s">
        <v>0</v>
      </c>
      <c r="C808" s="2" t="s">
        <v>1303</v>
      </c>
      <c r="D808" s="2" t="s">
        <v>1307</v>
      </c>
      <c r="E808" s="2">
        <v>400</v>
      </c>
      <c r="F808" s="2">
        <v>1.7000000000000001E-2</v>
      </c>
      <c r="G808" s="2">
        <v>0.01</v>
      </c>
      <c r="H808" s="4">
        <f t="shared" si="114"/>
        <v>0.41176470588235298</v>
      </c>
      <c r="I808" s="2" t="s">
        <v>73</v>
      </c>
      <c r="J808" s="2" t="s">
        <v>1305</v>
      </c>
      <c r="K808" s="2" t="s">
        <v>1308</v>
      </c>
      <c r="L808" s="2" t="s">
        <v>6</v>
      </c>
      <c r="M808" s="163">
        <f t="shared" ref="M808:M812" si="122">E808/N808</f>
        <v>8</v>
      </c>
      <c r="N808" s="163">
        <v>50</v>
      </c>
      <c r="O808" s="2">
        <v>24</v>
      </c>
      <c r="P808" s="6">
        <f>180*500/400</f>
        <v>225</v>
      </c>
      <c r="Q808" s="131">
        <v>5.2</v>
      </c>
      <c r="R808" s="33">
        <f t="shared" si="115"/>
        <v>332.30769230769232</v>
      </c>
      <c r="S808" s="132">
        <f t="shared" si="116"/>
        <v>41.53846153846154</v>
      </c>
      <c r="T808" s="132">
        <f t="shared" si="117"/>
        <v>41.53846153846154</v>
      </c>
      <c r="U808" s="28">
        <f t="shared" ref="U808:U850" si="123">1000/R808</f>
        <v>3.0092592592592591</v>
      </c>
      <c r="V808" s="28">
        <f t="shared" si="118"/>
        <v>3.5403050108932459</v>
      </c>
      <c r="W808" s="15">
        <f t="shared" si="119"/>
        <v>0.83333333333333337</v>
      </c>
      <c r="X808" s="16">
        <v>125</v>
      </c>
      <c r="Y808" s="162">
        <f>X808/Z808</f>
        <v>0.46296296296296297</v>
      </c>
      <c r="Z808" s="5">
        <f t="shared" si="120"/>
        <v>270</v>
      </c>
      <c r="AA808" s="5"/>
      <c r="AB808" s="5"/>
      <c r="AC808" s="5"/>
      <c r="AD808" s="29">
        <v>6</v>
      </c>
      <c r="AG808" s="20">
        <v>0.83333333333333337</v>
      </c>
      <c r="AI808" s="20">
        <f t="shared" si="121"/>
        <v>0.46296296296296297</v>
      </c>
      <c r="CH808">
        <v>6</v>
      </c>
      <c r="CI808">
        <v>37</v>
      </c>
    </row>
    <row r="809" spans="1:87" x14ac:dyDescent="0.3">
      <c r="A809" s="2">
        <v>693</v>
      </c>
      <c r="B809" s="2" t="s">
        <v>0</v>
      </c>
      <c r="C809" s="2" t="s">
        <v>1303</v>
      </c>
      <c r="D809" s="2" t="s">
        <v>1309</v>
      </c>
      <c r="E809" s="2">
        <v>500</v>
      </c>
      <c r="F809" s="2">
        <v>1.8700000000000001E-2</v>
      </c>
      <c r="G809" s="2">
        <v>1.1299999999999999E-2</v>
      </c>
      <c r="H809" s="4">
        <f t="shared" si="114"/>
        <v>0.39572192513368992</v>
      </c>
      <c r="I809" s="2" t="s">
        <v>73</v>
      </c>
      <c r="J809" s="2" t="s">
        <v>1310</v>
      </c>
      <c r="K809" s="2" t="s">
        <v>1306</v>
      </c>
      <c r="L809" s="2" t="s">
        <v>96</v>
      </c>
      <c r="M809" s="163">
        <f t="shared" si="122"/>
        <v>10</v>
      </c>
      <c r="N809" s="163">
        <v>50</v>
      </c>
      <c r="O809" s="2">
        <v>24</v>
      </c>
      <c r="P809" s="6">
        <v>180</v>
      </c>
      <c r="Q809" s="131">
        <v>5.2</v>
      </c>
      <c r="R809" s="33">
        <f t="shared" si="115"/>
        <v>265.84615384615387</v>
      </c>
      <c r="S809" s="132">
        <f t="shared" si="116"/>
        <v>33.230769230769234</v>
      </c>
      <c r="T809" s="132">
        <f t="shared" si="117"/>
        <v>33.230769230769234</v>
      </c>
      <c r="U809" s="28">
        <f t="shared" si="123"/>
        <v>3.761574074074074</v>
      </c>
      <c r="V809" s="28">
        <f t="shared" si="118"/>
        <v>4.4253812636165577</v>
      </c>
      <c r="W809" s="15">
        <f t="shared" si="119"/>
        <v>0.83333333333333337</v>
      </c>
      <c r="X809" s="16">
        <v>120</v>
      </c>
      <c r="Y809" s="162">
        <f t="shared" ref="Y809:Y816" si="124">X809/Z809</f>
        <v>0.55555555555555558</v>
      </c>
      <c r="Z809" s="5">
        <f t="shared" si="120"/>
        <v>216</v>
      </c>
      <c r="AA809" s="5"/>
      <c r="AB809" s="5"/>
      <c r="AC809" s="5"/>
      <c r="AD809" s="29">
        <v>6</v>
      </c>
      <c r="AG809" s="20">
        <v>0.81944444444444442</v>
      </c>
      <c r="AI809" s="20">
        <f t="shared" si="121"/>
        <v>0.55555555555555558</v>
      </c>
      <c r="CH809">
        <v>5</v>
      </c>
      <c r="CI809">
        <v>50</v>
      </c>
    </row>
    <row r="810" spans="1:87" x14ac:dyDescent="0.3">
      <c r="A810" s="146">
        <v>2003</v>
      </c>
      <c r="B810" s="146" t="s">
        <v>0</v>
      </c>
      <c r="C810" s="146" t="s">
        <v>1303</v>
      </c>
      <c r="D810" s="146" t="s">
        <v>1311</v>
      </c>
      <c r="E810" s="146">
        <v>400</v>
      </c>
      <c r="F810" s="146">
        <v>1.8700000000000001E-2</v>
      </c>
      <c r="G810" s="146">
        <v>1.1299999999999999E-2</v>
      </c>
      <c r="H810" s="4">
        <f t="shared" si="114"/>
        <v>0.39572192513368992</v>
      </c>
      <c r="I810" s="2" t="s">
        <v>73</v>
      </c>
      <c r="J810" s="2" t="s">
        <v>1310</v>
      </c>
      <c r="K810" s="2" t="s">
        <v>1308</v>
      </c>
      <c r="L810" s="2" t="s">
        <v>6</v>
      </c>
      <c r="M810" s="163">
        <f t="shared" si="122"/>
        <v>8</v>
      </c>
      <c r="N810" s="163">
        <v>50</v>
      </c>
      <c r="O810" s="2">
        <v>24</v>
      </c>
      <c r="P810" s="6">
        <f>180*500/400</f>
        <v>225</v>
      </c>
      <c r="Q810" s="131">
        <v>5.2</v>
      </c>
      <c r="R810" s="33">
        <f t="shared" si="115"/>
        <v>332.30769230769232</v>
      </c>
      <c r="S810" s="132">
        <f t="shared" si="116"/>
        <v>41.53846153846154</v>
      </c>
      <c r="T810" s="132">
        <f t="shared" si="117"/>
        <v>41.53846153846154</v>
      </c>
      <c r="U810" s="28">
        <f t="shared" si="123"/>
        <v>3.0092592592592591</v>
      </c>
      <c r="V810" s="28">
        <f t="shared" si="118"/>
        <v>3.5403050108932459</v>
      </c>
      <c r="W810" s="15">
        <f t="shared" si="119"/>
        <v>0.83333333333333337</v>
      </c>
      <c r="X810" s="16">
        <v>120</v>
      </c>
      <c r="Y810" s="162">
        <f t="shared" si="124"/>
        <v>0.44444444444444442</v>
      </c>
      <c r="Z810" s="5">
        <f t="shared" si="120"/>
        <v>270</v>
      </c>
      <c r="AA810" s="5"/>
      <c r="AB810" s="5"/>
      <c r="AC810" s="5"/>
      <c r="AD810" s="29">
        <v>6</v>
      </c>
      <c r="AG810" s="20">
        <v>0.81944444444444442</v>
      </c>
      <c r="AI810" s="20">
        <f t="shared" si="121"/>
        <v>0.44444444444444442</v>
      </c>
      <c r="CH810">
        <v>2</v>
      </c>
      <c r="CI810">
        <v>86</v>
      </c>
    </row>
    <row r="811" spans="1:87" x14ac:dyDescent="0.3">
      <c r="A811" s="2">
        <v>694</v>
      </c>
      <c r="B811" s="2" t="s">
        <v>0</v>
      </c>
      <c r="C811" s="2" t="s">
        <v>1303</v>
      </c>
      <c r="D811" s="2" t="s">
        <v>1312</v>
      </c>
      <c r="E811" s="2">
        <v>500</v>
      </c>
      <c r="F811" s="2">
        <v>2.3800000000000002E-2</v>
      </c>
      <c r="G811" s="2">
        <v>1.3899999999999999E-2</v>
      </c>
      <c r="H811" s="4">
        <f t="shared" si="114"/>
        <v>0.41596638655462193</v>
      </c>
      <c r="I811" s="2" t="s">
        <v>73</v>
      </c>
      <c r="J811" s="2" t="s">
        <v>1313</v>
      </c>
      <c r="K811" s="2" t="s">
        <v>1306</v>
      </c>
      <c r="L811" s="2" t="s">
        <v>96</v>
      </c>
      <c r="M811" s="163">
        <f t="shared" si="122"/>
        <v>10</v>
      </c>
      <c r="N811" s="163">
        <v>50</v>
      </c>
      <c r="O811" s="2">
        <v>24</v>
      </c>
      <c r="P811" s="6">
        <v>170</v>
      </c>
      <c r="Q811" s="131">
        <v>5.2</v>
      </c>
      <c r="R811" s="33">
        <f t="shared" si="115"/>
        <v>265.84615384615387</v>
      </c>
      <c r="S811" s="132">
        <f t="shared" si="116"/>
        <v>33.230769230769234</v>
      </c>
      <c r="T811" s="132">
        <f t="shared" si="117"/>
        <v>33.230769230769234</v>
      </c>
      <c r="U811" s="28">
        <f t="shared" si="123"/>
        <v>3.761574074074074</v>
      </c>
      <c r="V811" s="28">
        <f t="shared" si="118"/>
        <v>4.4253812636165577</v>
      </c>
      <c r="W811" s="15">
        <f t="shared" si="119"/>
        <v>0.78703703703703709</v>
      </c>
      <c r="X811" s="16">
        <v>116</v>
      </c>
      <c r="Y811" s="162">
        <f t="shared" si="124"/>
        <v>0.53703703703703709</v>
      </c>
      <c r="Z811" s="5">
        <f t="shared" si="120"/>
        <v>216</v>
      </c>
      <c r="AA811" s="5"/>
      <c r="AB811" s="5"/>
      <c r="AC811" s="5"/>
      <c r="AD811" s="29">
        <v>6</v>
      </c>
      <c r="AG811" s="20">
        <v>0.76080246913580241</v>
      </c>
      <c r="AI811" s="20">
        <f t="shared" si="121"/>
        <v>0.53703703703703709</v>
      </c>
      <c r="CH811">
        <v>3</v>
      </c>
      <c r="CI811">
        <v>66</v>
      </c>
    </row>
    <row r="812" spans="1:87" x14ac:dyDescent="0.3">
      <c r="A812" s="2">
        <v>2004</v>
      </c>
      <c r="B812" s="2" t="s">
        <v>0</v>
      </c>
      <c r="C812" s="2" t="s">
        <v>1303</v>
      </c>
      <c r="D812" s="2" t="s">
        <v>1314</v>
      </c>
      <c r="E812" s="2">
        <v>400</v>
      </c>
      <c r="F812" s="2">
        <v>2.3800000000000002E-2</v>
      </c>
      <c r="G812" s="2">
        <v>1.3899999999999999E-2</v>
      </c>
      <c r="H812" s="4">
        <f t="shared" si="114"/>
        <v>0.41596638655462193</v>
      </c>
      <c r="I812" s="2" t="s">
        <v>73</v>
      </c>
      <c r="J812" s="2" t="s">
        <v>1313</v>
      </c>
      <c r="K812" s="2" t="s">
        <v>1308</v>
      </c>
      <c r="L812" s="2" t="s">
        <v>6</v>
      </c>
      <c r="M812" s="163">
        <f t="shared" si="122"/>
        <v>8</v>
      </c>
      <c r="N812" s="163">
        <v>50</v>
      </c>
      <c r="O812" s="2">
        <v>24</v>
      </c>
      <c r="P812" s="6">
        <f>180*500/400</f>
        <v>225</v>
      </c>
      <c r="Q812" s="131">
        <v>5.2</v>
      </c>
      <c r="R812" s="33">
        <f t="shared" si="115"/>
        <v>332.30769230769232</v>
      </c>
      <c r="S812" s="132">
        <f t="shared" si="116"/>
        <v>41.53846153846154</v>
      </c>
      <c r="T812" s="132">
        <f t="shared" si="117"/>
        <v>41.53846153846154</v>
      </c>
      <c r="U812" s="28">
        <f t="shared" si="123"/>
        <v>3.0092592592592591</v>
      </c>
      <c r="V812" s="28">
        <f t="shared" si="118"/>
        <v>3.5403050108932459</v>
      </c>
      <c r="W812" s="15">
        <f t="shared" si="119"/>
        <v>0.83333333333333337</v>
      </c>
      <c r="X812" s="16">
        <v>116</v>
      </c>
      <c r="Y812" s="162">
        <f t="shared" si="124"/>
        <v>0.42962962962962964</v>
      </c>
      <c r="Z812" s="5">
        <f t="shared" si="120"/>
        <v>270</v>
      </c>
      <c r="AA812" s="5"/>
      <c r="AB812" s="5"/>
      <c r="AC812" s="5"/>
      <c r="AD812" s="29">
        <v>6</v>
      </c>
      <c r="AG812" s="20">
        <v>0.76080246913580241</v>
      </c>
      <c r="AI812" s="20">
        <f t="shared" si="121"/>
        <v>0.42962962962962964</v>
      </c>
      <c r="CH812">
        <v>4</v>
      </c>
      <c r="CI812">
        <v>45</v>
      </c>
    </row>
    <row r="813" spans="1:87" x14ac:dyDescent="0.3">
      <c r="A813" s="2">
        <v>865</v>
      </c>
      <c r="B813" s="2" t="s">
        <v>0</v>
      </c>
      <c r="C813" s="2" t="s">
        <v>1303</v>
      </c>
      <c r="D813" s="123" t="s">
        <v>1315</v>
      </c>
      <c r="E813" s="123">
        <v>800</v>
      </c>
      <c r="F813" s="2">
        <v>1.9300000000000001E-2</v>
      </c>
      <c r="G813" s="2">
        <v>1.11E-2</v>
      </c>
      <c r="H813" s="4">
        <f t="shared" si="114"/>
        <v>0.42487046632124353</v>
      </c>
      <c r="I813" s="2" t="s">
        <v>73</v>
      </c>
      <c r="J813" s="2" t="s">
        <v>1316</v>
      </c>
      <c r="K813" s="2" t="s">
        <v>213</v>
      </c>
      <c r="L813" s="2" t="s">
        <v>76</v>
      </c>
      <c r="M813" s="163"/>
      <c r="N813" s="163"/>
      <c r="O813" s="2">
        <v>24</v>
      </c>
      <c r="P813" s="6">
        <v>117</v>
      </c>
      <c r="Q813" s="131">
        <v>5.2</v>
      </c>
      <c r="R813" s="33">
        <f t="shared" si="115"/>
        <v>166.15384615384616</v>
      </c>
      <c r="S813" s="132">
        <f t="shared" si="116"/>
        <v>20.76923076923077</v>
      </c>
      <c r="T813" s="132">
        <f t="shared" si="117"/>
        <v>20.76923076923077</v>
      </c>
      <c r="U813" s="28">
        <f t="shared" si="123"/>
        <v>6.0185185185185182</v>
      </c>
      <c r="V813" s="28">
        <f t="shared" si="118"/>
        <v>7.0806100217864918</v>
      </c>
      <c r="W813" s="15">
        <f t="shared" si="119"/>
        <v>0.8666666666666667</v>
      </c>
      <c r="X813" s="16"/>
      <c r="Y813" s="162">
        <f t="shared" si="124"/>
        <v>0</v>
      </c>
      <c r="Z813" s="5">
        <f t="shared" si="120"/>
        <v>135</v>
      </c>
      <c r="AA813" s="5"/>
      <c r="AB813" s="5"/>
      <c r="AC813" s="5"/>
      <c r="AD813" s="29">
        <v>6</v>
      </c>
      <c r="AG813" s="20">
        <v>0.8666666666666667</v>
      </c>
      <c r="AI813" s="20"/>
      <c r="CH813">
        <v>4</v>
      </c>
      <c r="CI813">
        <v>30</v>
      </c>
    </row>
    <row r="814" spans="1:87" x14ac:dyDescent="0.3">
      <c r="A814" s="2">
        <v>866</v>
      </c>
      <c r="B814" s="2" t="s">
        <v>0</v>
      </c>
      <c r="C814" s="2" t="s">
        <v>1303</v>
      </c>
      <c r="D814" s="123" t="s">
        <v>1317</v>
      </c>
      <c r="E814" s="123">
        <v>800</v>
      </c>
      <c r="F814" s="2">
        <v>2.2100000000000002E-2</v>
      </c>
      <c r="G814" s="2">
        <v>1.2999999999999999E-2</v>
      </c>
      <c r="H814" s="4">
        <f t="shared" si="114"/>
        <v>0.41176470588235303</v>
      </c>
      <c r="I814" s="2" t="s">
        <v>73</v>
      </c>
      <c r="J814" s="2" t="s">
        <v>1318</v>
      </c>
      <c r="K814" s="2" t="s">
        <v>213</v>
      </c>
      <c r="L814" s="2" t="s">
        <v>76</v>
      </c>
      <c r="M814" s="163"/>
      <c r="N814" s="163"/>
      <c r="O814" s="2">
        <v>24</v>
      </c>
      <c r="P814" s="6">
        <v>115</v>
      </c>
      <c r="Q814" s="131">
        <v>5.2</v>
      </c>
      <c r="R814" s="33">
        <f t="shared" si="115"/>
        <v>166.15384615384616</v>
      </c>
      <c r="S814" s="132">
        <f t="shared" si="116"/>
        <v>20.76923076923077</v>
      </c>
      <c r="T814" s="132">
        <f t="shared" si="117"/>
        <v>20.76923076923077</v>
      </c>
      <c r="U814" s="28">
        <f t="shared" si="123"/>
        <v>6.0185185185185182</v>
      </c>
      <c r="V814" s="28">
        <f t="shared" si="118"/>
        <v>7.0806100217864918</v>
      </c>
      <c r="W814" s="15">
        <f t="shared" si="119"/>
        <v>0.85185185185185186</v>
      </c>
      <c r="X814" s="16"/>
      <c r="Y814" s="162">
        <f t="shared" si="124"/>
        <v>0</v>
      </c>
      <c r="Z814" s="5">
        <f t="shared" si="120"/>
        <v>135</v>
      </c>
      <c r="AA814" s="5"/>
      <c r="AB814" s="5"/>
      <c r="AC814" s="5"/>
      <c r="AD814" s="29">
        <v>6</v>
      </c>
      <c r="AG814" s="20">
        <v>0.83765432098765447</v>
      </c>
      <c r="AI814" s="20"/>
      <c r="CH814">
        <v>5</v>
      </c>
      <c r="CI814">
        <v>39</v>
      </c>
    </row>
    <row r="815" spans="1:87" x14ac:dyDescent="0.3">
      <c r="A815" s="2">
        <v>867</v>
      </c>
      <c r="B815" s="2" t="s">
        <v>0</v>
      </c>
      <c r="C815" s="2" t="s">
        <v>1303</v>
      </c>
      <c r="D815" s="123" t="s">
        <v>1319</v>
      </c>
      <c r="E815" s="123">
        <v>800</v>
      </c>
      <c r="F815" s="2">
        <v>2.6599999999999999E-2</v>
      </c>
      <c r="G815" s="2">
        <v>1.47E-2</v>
      </c>
      <c r="H815" s="4">
        <f t="shared" si="114"/>
        <v>0.44736842105263158</v>
      </c>
      <c r="I815" s="2" t="s">
        <v>73</v>
      </c>
      <c r="J815" s="2" t="s">
        <v>568</v>
      </c>
      <c r="K815" s="2" t="s">
        <v>213</v>
      </c>
      <c r="L815" s="2" t="s">
        <v>76</v>
      </c>
      <c r="M815" s="163"/>
      <c r="N815" s="163"/>
      <c r="O815" s="2">
        <v>24</v>
      </c>
      <c r="P815" s="6">
        <v>113</v>
      </c>
      <c r="Q815" s="131">
        <v>5.2</v>
      </c>
      <c r="R815" s="33">
        <f t="shared" si="115"/>
        <v>166.15384615384616</v>
      </c>
      <c r="S815" s="132">
        <f t="shared" si="116"/>
        <v>20.76923076923077</v>
      </c>
      <c r="T815" s="132">
        <f t="shared" si="117"/>
        <v>20.76923076923077</v>
      </c>
      <c r="U815" s="28">
        <f t="shared" si="123"/>
        <v>6.0185185185185182</v>
      </c>
      <c r="V815" s="28">
        <f t="shared" si="118"/>
        <v>7.0806100217864918</v>
      </c>
      <c r="W815" s="15">
        <f t="shared" si="119"/>
        <v>0.83703703703703702</v>
      </c>
      <c r="X815" s="16"/>
      <c r="Y815" s="162">
        <f t="shared" si="124"/>
        <v>0</v>
      </c>
      <c r="Z815" s="5">
        <f t="shared" si="120"/>
        <v>135</v>
      </c>
      <c r="AA815" s="5"/>
      <c r="AB815" s="5"/>
      <c r="AC815" s="5"/>
      <c r="AD815" s="29">
        <v>6</v>
      </c>
      <c r="AG815" s="20">
        <v>0.8230864197530865</v>
      </c>
      <c r="AI815" s="20"/>
      <c r="CH815">
        <v>4</v>
      </c>
      <c r="CI815">
        <v>56</v>
      </c>
    </row>
    <row r="816" spans="1:87" x14ac:dyDescent="0.3">
      <c r="A816" s="2">
        <v>1008</v>
      </c>
      <c r="B816" s="2" t="s">
        <v>0</v>
      </c>
      <c r="C816" s="2" t="s">
        <v>1303</v>
      </c>
      <c r="D816" s="2" t="s">
        <v>1320</v>
      </c>
      <c r="E816" s="2">
        <v>400</v>
      </c>
      <c r="F816" s="2">
        <v>4.1599999999999998E-2</v>
      </c>
      <c r="G816" s="2">
        <v>3.2300000000000002E-2</v>
      </c>
      <c r="H816" s="4">
        <f t="shared" si="114"/>
        <v>0.22355769230769221</v>
      </c>
      <c r="I816" s="2" t="s">
        <v>73</v>
      </c>
      <c r="J816" s="2" t="s">
        <v>1321</v>
      </c>
      <c r="K816" s="2" t="s">
        <v>105</v>
      </c>
      <c r="L816" s="2" t="s">
        <v>76</v>
      </c>
      <c r="M816" s="163">
        <v>4</v>
      </c>
      <c r="N816" s="163">
        <v>100</v>
      </c>
      <c r="O816" s="2">
        <v>15</v>
      </c>
      <c r="P816" s="6"/>
      <c r="Q816" s="131">
        <v>7.6</v>
      </c>
      <c r="R816" s="33">
        <f t="shared" si="115"/>
        <v>142.10526315789474</v>
      </c>
      <c r="S816" s="132">
        <f t="shared" si="116"/>
        <v>17.763157894736842</v>
      </c>
      <c r="T816" s="132">
        <f t="shared" si="117"/>
        <v>17.763157894736842</v>
      </c>
      <c r="U816" s="28">
        <f t="shared" si="123"/>
        <v>7.0370370370370372</v>
      </c>
      <c r="V816" s="28">
        <f t="shared" si="118"/>
        <v>8.2788671023965144</v>
      </c>
      <c r="W816" s="15">
        <f t="shared" si="119"/>
        <v>0</v>
      </c>
      <c r="X816" s="16"/>
      <c r="Y816" s="162">
        <f t="shared" si="124"/>
        <v>0</v>
      </c>
      <c r="Z816" s="5">
        <f t="shared" si="120"/>
        <v>133.22368421052633</v>
      </c>
      <c r="AA816" s="5"/>
      <c r="AB816" s="5"/>
      <c r="AC816" s="5"/>
      <c r="AD816" s="29">
        <v>7.6</v>
      </c>
      <c r="AG816" s="20"/>
      <c r="AI816" s="20"/>
      <c r="CH816">
        <v>6</v>
      </c>
      <c r="CI816">
        <v>39</v>
      </c>
    </row>
    <row r="817" spans="1:87" x14ac:dyDescent="0.3">
      <c r="A817" s="2">
        <v>1009</v>
      </c>
      <c r="B817" s="2" t="s">
        <v>0</v>
      </c>
      <c r="C817" s="2" t="s">
        <v>1303</v>
      </c>
      <c r="D817" s="2" t="s">
        <v>1322</v>
      </c>
      <c r="E817" s="2">
        <v>720</v>
      </c>
      <c r="F817" s="2">
        <v>1.84E-2</v>
      </c>
      <c r="G817" s="2">
        <v>1.2E-2</v>
      </c>
      <c r="H817" s="4">
        <f t="shared" ref="H817:H850" si="125">(F817-G817)/F817</f>
        <v>0.34782608695652173</v>
      </c>
      <c r="I817" s="2" t="s">
        <v>73</v>
      </c>
      <c r="J817" s="2" t="s">
        <v>1323</v>
      </c>
      <c r="K817" s="2" t="s">
        <v>95</v>
      </c>
      <c r="L817" s="2" t="s">
        <v>6</v>
      </c>
      <c r="M817" s="163">
        <v>10</v>
      </c>
      <c r="N817" s="163">
        <v>72</v>
      </c>
      <c r="O817" s="2">
        <v>24</v>
      </c>
      <c r="P817" s="6">
        <v>150</v>
      </c>
      <c r="Q817" s="131">
        <v>6.6</v>
      </c>
      <c r="R817" s="33">
        <f t="shared" ref="R817:R850" si="126">60*60*8*O817/E817/Q817</f>
        <v>145.45454545454547</v>
      </c>
      <c r="S817" s="132">
        <f t="shared" si="116"/>
        <v>18.181818181818183</v>
      </c>
      <c r="T817" s="132">
        <f t="shared" ref="T817:T850" si="127">IFERROR(IF(R817&gt;2,S817,""),"")</f>
        <v>18.181818181818183</v>
      </c>
      <c r="U817" s="28">
        <f t="shared" si="123"/>
        <v>6.8749999999999991</v>
      </c>
      <c r="V817" s="28">
        <f t="shared" si="118"/>
        <v>8.0882352941176467</v>
      </c>
      <c r="W817" s="19">
        <f t="shared" ref="W817:W850" si="128">P817/Z817</f>
        <v>1.0999999999999999</v>
      </c>
      <c r="X817" s="16"/>
      <c r="Y817" s="162">
        <f t="shared" ref="Y817:Y849" si="129">X817/Z817</f>
        <v>0</v>
      </c>
      <c r="Z817" s="5">
        <f t="shared" ref="Z817:Z850" si="130">60*60*O817/E817/AD817*7.5</f>
        <v>136.36363636363637</v>
      </c>
      <c r="AA817" s="5"/>
      <c r="AB817" s="5"/>
      <c r="AC817" s="5"/>
      <c r="AD817" s="29">
        <v>6.6</v>
      </c>
      <c r="AG817" s="20"/>
      <c r="AI817" s="20"/>
      <c r="CH817">
        <v>4</v>
      </c>
      <c r="CI817">
        <v>58</v>
      </c>
    </row>
    <row r="818" spans="1:87" x14ac:dyDescent="0.3">
      <c r="A818" s="2">
        <v>2039</v>
      </c>
      <c r="B818" s="2" t="s">
        <v>0</v>
      </c>
      <c r="C818" s="2" t="s">
        <v>1303</v>
      </c>
      <c r="D818" s="2" t="s">
        <v>1324</v>
      </c>
      <c r="E818" s="2">
        <v>1000</v>
      </c>
      <c r="F818" s="2">
        <v>1.84E-2</v>
      </c>
      <c r="G818" s="2">
        <v>1.2E-2</v>
      </c>
      <c r="H818" s="4">
        <f t="shared" si="125"/>
        <v>0.34782608695652173</v>
      </c>
      <c r="I818" s="2" t="s">
        <v>73</v>
      </c>
      <c r="J818" s="2" t="s">
        <v>1323</v>
      </c>
      <c r="K818" s="2" t="s">
        <v>1325</v>
      </c>
      <c r="L818" s="2" t="s">
        <v>76</v>
      </c>
      <c r="M818" s="163">
        <v>8</v>
      </c>
      <c r="N818" s="163">
        <v>125</v>
      </c>
      <c r="O818" s="2">
        <v>24</v>
      </c>
      <c r="P818" s="6">
        <v>150</v>
      </c>
      <c r="Q818" s="131">
        <v>6.6</v>
      </c>
      <c r="R818" s="33">
        <f t="shared" si="126"/>
        <v>104.72727272727273</v>
      </c>
      <c r="S818" s="132">
        <f t="shared" si="116"/>
        <v>13.090909090909092</v>
      </c>
      <c r="T818" s="132">
        <f t="shared" si="127"/>
        <v>13.090909090909092</v>
      </c>
      <c r="U818" s="28">
        <f t="shared" si="123"/>
        <v>9.5486111111111107</v>
      </c>
      <c r="V818" s="28">
        <f t="shared" si="118"/>
        <v>11.233660130718954</v>
      </c>
      <c r="W818" s="19">
        <f t="shared" si="128"/>
        <v>1.5277777777777777</v>
      </c>
      <c r="X818" s="16"/>
      <c r="Y818" s="162">
        <f t="shared" si="129"/>
        <v>0</v>
      </c>
      <c r="Z818" s="5">
        <f t="shared" si="130"/>
        <v>98.181818181818187</v>
      </c>
      <c r="AA818" s="5"/>
      <c r="AB818" s="5"/>
      <c r="AC818" s="5"/>
      <c r="AD818" s="29">
        <v>6.6</v>
      </c>
      <c r="AG818" s="20"/>
      <c r="AI818" s="20"/>
      <c r="CH818">
        <v>3</v>
      </c>
      <c r="CI818">
        <v>66</v>
      </c>
    </row>
    <row r="819" spans="1:87" x14ac:dyDescent="0.3">
      <c r="A819" s="2">
        <v>1010</v>
      </c>
      <c r="B819" s="2" t="s">
        <v>0</v>
      </c>
      <c r="C819" s="2" t="s">
        <v>1303</v>
      </c>
      <c r="D819" s="2" t="s">
        <v>1326</v>
      </c>
      <c r="E819" s="2">
        <v>720</v>
      </c>
      <c r="F819" s="2">
        <v>1.67E-2</v>
      </c>
      <c r="G819" s="2">
        <v>1.2E-2</v>
      </c>
      <c r="H819" s="4">
        <f t="shared" si="125"/>
        <v>0.28143712574850294</v>
      </c>
      <c r="I819" s="2" t="s">
        <v>73</v>
      </c>
      <c r="J819" s="2" t="s">
        <v>1327</v>
      </c>
      <c r="K819" s="2" t="s">
        <v>95</v>
      </c>
      <c r="L819" s="2" t="s">
        <v>6</v>
      </c>
      <c r="M819" s="163">
        <v>10</v>
      </c>
      <c r="N819" s="163">
        <v>72</v>
      </c>
      <c r="O819" s="2">
        <v>24</v>
      </c>
      <c r="P819" s="6">
        <v>150</v>
      </c>
      <c r="Q819" s="131">
        <v>7</v>
      </c>
      <c r="R819" s="33">
        <f t="shared" si="126"/>
        <v>137.14285714285714</v>
      </c>
      <c r="S819" s="132">
        <f t="shared" si="116"/>
        <v>17.142857142857142</v>
      </c>
      <c r="T819" s="132">
        <f t="shared" si="127"/>
        <v>17.142857142857142</v>
      </c>
      <c r="U819" s="28">
        <f t="shared" si="123"/>
        <v>7.291666666666667</v>
      </c>
      <c r="V819" s="28">
        <f t="shared" si="118"/>
        <v>8.5784313725490193</v>
      </c>
      <c r="W819" s="19">
        <f t="shared" si="128"/>
        <v>1.1666666666666667</v>
      </c>
      <c r="X819" s="16"/>
      <c r="Y819" s="162">
        <f t="shared" si="129"/>
        <v>0</v>
      </c>
      <c r="Z819" s="5">
        <f t="shared" si="130"/>
        <v>128.57142857142856</v>
      </c>
      <c r="AA819" s="5"/>
      <c r="AB819" s="5"/>
      <c r="AC819" s="5"/>
      <c r="AD819" s="29">
        <v>7</v>
      </c>
      <c r="AG819" s="20"/>
      <c r="AI819" s="20"/>
      <c r="CH819">
        <v>4</v>
      </c>
      <c r="CI819">
        <v>80</v>
      </c>
    </row>
    <row r="820" spans="1:87" x14ac:dyDescent="0.3">
      <c r="A820" s="2">
        <v>1011</v>
      </c>
      <c r="B820" s="2" t="s">
        <v>0</v>
      </c>
      <c r="C820" s="2" t="s">
        <v>1303</v>
      </c>
      <c r="D820" s="2" t="s">
        <v>1328</v>
      </c>
      <c r="E820" s="2">
        <v>720</v>
      </c>
      <c r="F820" s="2">
        <v>1.84E-2</v>
      </c>
      <c r="G820" s="2">
        <v>1.2E-2</v>
      </c>
      <c r="H820" s="4">
        <f t="shared" si="125"/>
        <v>0.34782608695652173</v>
      </c>
      <c r="I820" s="2" t="s">
        <v>73</v>
      </c>
      <c r="J820" s="2" t="s">
        <v>1323</v>
      </c>
      <c r="K820" s="2" t="s">
        <v>95</v>
      </c>
      <c r="L820" s="2" t="s">
        <v>6</v>
      </c>
      <c r="M820" s="163">
        <v>10</v>
      </c>
      <c r="N820" s="163">
        <v>72</v>
      </c>
      <c r="O820" s="2">
        <v>24</v>
      </c>
      <c r="P820" s="6">
        <v>150</v>
      </c>
      <c r="Q820" s="131">
        <v>7</v>
      </c>
      <c r="R820" s="33">
        <f t="shared" si="126"/>
        <v>137.14285714285714</v>
      </c>
      <c r="S820" s="132">
        <f t="shared" si="116"/>
        <v>17.142857142857142</v>
      </c>
      <c r="T820" s="132">
        <f t="shared" si="127"/>
        <v>17.142857142857142</v>
      </c>
      <c r="U820" s="28">
        <f t="shared" si="123"/>
        <v>7.291666666666667</v>
      </c>
      <c r="V820" s="28">
        <f t="shared" si="118"/>
        <v>8.5784313725490193</v>
      </c>
      <c r="W820" s="19">
        <f t="shared" si="128"/>
        <v>1.1666666666666667</v>
      </c>
      <c r="X820" s="16"/>
      <c r="Y820" s="162">
        <f t="shared" si="129"/>
        <v>0</v>
      </c>
      <c r="Z820" s="5">
        <f t="shared" si="130"/>
        <v>128.57142857142856</v>
      </c>
      <c r="AA820" s="5"/>
      <c r="AB820" s="5"/>
      <c r="AC820" s="5"/>
      <c r="AD820" s="29">
        <v>7</v>
      </c>
      <c r="AG820" s="20"/>
      <c r="AI820" s="20"/>
      <c r="CH820">
        <v>2</v>
      </c>
      <c r="CI820">
        <v>72</v>
      </c>
    </row>
    <row r="821" spans="1:87" x14ac:dyDescent="0.3">
      <c r="A821" s="2">
        <v>2024</v>
      </c>
      <c r="B821" s="2" t="s">
        <v>0</v>
      </c>
      <c r="C821" s="2" t="s">
        <v>1303</v>
      </c>
      <c r="D821" s="2" t="s">
        <v>1329</v>
      </c>
      <c r="E821" s="2">
        <v>1000</v>
      </c>
      <c r="F821" s="2">
        <v>1.67E-2</v>
      </c>
      <c r="G821" s="2">
        <v>1.2E-2</v>
      </c>
      <c r="H821" s="4">
        <f t="shared" si="125"/>
        <v>0.28143712574850294</v>
      </c>
      <c r="I821" s="2" t="s">
        <v>73</v>
      </c>
      <c r="J821" s="2" t="s">
        <v>1323</v>
      </c>
      <c r="K821" s="2" t="s">
        <v>1325</v>
      </c>
      <c r="L821" s="2" t="s">
        <v>76</v>
      </c>
      <c r="M821" s="163">
        <v>8</v>
      </c>
      <c r="N821" s="163">
        <v>125</v>
      </c>
      <c r="O821" s="2">
        <v>24</v>
      </c>
      <c r="P821" s="6">
        <v>150</v>
      </c>
      <c r="Q821" s="131">
        <v>6.6</v>
      </c>
      <c r="R821" s="33">
        <f t="shared" si="126"/>
        <v>104.72727272727273</v>
      </c>
      <c r="S821" s="132">
        <f t="shared" si="116"/>
        <v>13.090909090909092</v>
      </c>
      <c r="T821" s="132">
        <f t="shared" si="127"/>
        <v>13.090909090909092</v>
      </c>
      <c r="U821" s="28">
        <f t="shared" si="123"/>
        <v>9.5486111111111107</v>
      </c>
      <c r="V821" s="28">
        <f t="shared" si="118"/>
        <v>11.233660130718954</v>
      </c>
      <c r="W821" s="19">
        <f t="shared" si="128"/>
        <v>1.5277777777777777</v>
      </c>
      <c r="X821" s="16">
        <v>90</v>
      </c>
      <c r="Y821" s="162">
        <f t="shared" si="129"/>
        <v>0.91666666666666663</v>
      </c>
      <c r="Z821" s="5">
        <f t="shared" si="130"/>
        <v>98.181818181818187</v>
      </c>
      <c r="AA821" s="5"/>
      <c r="AB821" s="5"/>
      <c r="AC821" s="5"/>
      <c r="AD821" s="29">
        <v>6.6</v>
      </c>
      <c r="AG821" s="20"/>
      <c r="AI821" s="20">
        <f>X821/Z821</f>
        <v>0.91666666666666663</v>
      </c>
      <c r="CH821">
        <v>4</v>
      </c>
      <c r="CI821">
        <v>72</v>
      </c>
    </row>
    <row r="822" spans="1:87" x14ac:dyDescent="0.3">
      <c r="A822" s="2">
        <v>1012</v>
      </c>
      <c r="B822" s="2" t="s">
        <v>0</v>
      </c>
      <c r="C822" s="2" t="s">
        <v>1303</v>
      </c>
      <c r="D822" s="2" t="s">
        <v>1330</v>
      </c>
      <c r="E822" s="2">
        <v>720</v>
      </c>
      <c r="F822" s="2">
        <v>1.67E-2</v>
      </c>
      <c r="G822" s="2">
        <v>1.2E-2</v>
      </c>
      <c r="H822" s="4">
        <f t="shared" si="125"/>
        <v>0.28143712574850294</v>
      </c>
      <c r="I822" s="2" t="s">
        <v>73</v>
      </c>
      <c r="J822" s="2" t="s">
        <v>1323</v>
      </c>
      <c r="K822" s="2" t="s">
        <v>95</v>
      </c>
      <c r="L822" s="2" t="s">
        <v>6</v>
      </c>
      <c r="M822" s="163">
        <v>10</v>
      </c>
      <c r="N822" s="163">
        <v>72</v>
      </c>
      <c r="O822" s="2">
        <v>24</v>
      </c>
      <c r="P822" s="6">
        <v>150</v>
      </c>
      <c r="Q822" s="131">
        <v>6.6</v>
      </c>
      <c r="R822" s="33">
        <f t="shared" si="126"/>
        <v>145.45454545454547</v>
      </c>
      <c r="S822" s="132">
        <f t="shared" si="116"/>
        <v>18.181818181818183</v>
      </c>
      <c r="T822" s="132">
        <f t="shared" si="127"/>
        <v>18.181818181818183</v>
      </c>
      <c r="U822" s="28">
        <f t="shared" si="123"/>
        <v>6.8749999999999991</v>
      </c>
      <c r="V822" s="28">
        <f>U822/0.85</f>
        <v>8.0882352941176467</v>
      </c>
      <c r="W822" s="19">
        <f t="shared" si="128"/>
        <v>1.0999999999999999</v>
      </c>
      <c r="X822" s="16">
        <v>90</v>
      </c>
      <c r="Y822" s="162">
        <f t="shared" si="129"/>
        <v>0.65999999999999992</v>
      </c>
      <c r="Z822" s="5">
        <f t="shared" si="130"/>
        <v>136.36363636363637</v>
      </c>
      <c r="AA822" s="5"/>
      <c r="AB822" s="41"/>
      <c r="AC822" s="5"/>
      <c r="AD822" s="29">
        <v>6.6</v>
      </c>
      <c r="AG822" s="20"/>
      <c r="AI822" s="20">
        <f>X822/Z822</f>
        <v>0.65999999999999992</v>
      </c>
      <c r="CH822">
        <v>1</v>
      </c>
      <c r="CI822">
        <v>35</v>
      </c>
    </row>
    <row r="823" spans="1:87" x14ac:dyDescent="0.3">
      <c r="A823" s="2">
        <v>1013</v>
      </c>
      <c r="B823" s="2" t="s">
        <v>0</v>
      </c>
      <c r="C823" s="2" t="s">
        <v>1303</v>
      </c>
      <c r="D823" s="2" t="s">
        <v>1331</v>
      </c>
      <c r="E823" s="2">
        <v>720</v>
      </c>
      <c r="F823" s="2">
        <v>1.84E-2</v>
      </c>
      <c r="G823" s="2">
        <v>1.2E-2</v>
      </c>
      <c r="H823" s="4">
        <f t="shared" si="125"/>
        <v>0.34782608695652173</v>
      </c>
      <c r="I823" s="2" t="s">
        <v>73</v>
      </c>
      <c r="J823" s="2" t="s">
        <v>1323</v>
      </c>
      <c r="K823" s="2" t="s">
        <v>95</v>
      </c>
      <c r="L823" s="2" t="s">
        <v>6</v>
      </c>
      <c r="M823" s="163">
        <v>10</v>
      </c>
      <c r="N823" s="163">
        <v>72</v>
      </c>
      <c r="O823" s="2">
        <v>24</v>
      </c>
      <c r="P823" s="6">
        <v>150</v>
      </c>
      <c r="Q823" s="131">
        <v>6.6</v>
      </c>
      <c r="R823" s="33">
        <f t="shared" si="126"/>
        <v>145.45454545454547</v>
      </c>
      <c r="S823" s="132">
        <f t="shared" si="116"/>
        <v>18.181818181818183</v>
      </c>
      <c r="T823" s="132">
        <f t="shared" si="127"/>
        <v>18.181818181818183</v>
      </c>
      <c r="U823" s="28">
        <f t="shared" si="123"/>
        <v>6.8749999999999991</v>
      </c>
      <c r="V823" s="28">
        <f t="shared" ref="V823:V850" si="131">U823/0.85</f>
        <v>8.0882352941176467</v>
      </c>
      <c r="W823" s="19">
        <f t="shared" si="128"/>
        <v>1.0999999999999999</v>
      </c>
      <c r="X823" s="16"/>
      <c r="Y823" s="162">
        <f t="shared" si="129"/>
        <v>0</v>
      </c>
      <c r="Z823" s="5">
        <f t="shared" si="130"/>
        <v>136.36363636363637</v>
      </c>
      <c r="AA823" s="5"/>
      <c r="AB823" s="5"/>
      <c r="AC823" s="5"/>
      <c r="AD823" s="29">
        <v>6.6</v>
      </c>
      <c r="AG823" s="20"/>
      <c r="AI823" s="20"/>
      <c r="CH823">
        <v>3</v>
      </c>
      <c r="CI823">
        <v>40</v>
      </c>
    </row>
    <row r="824" spans="1:87" x14ac:dyDescent="0.3">
      <c r="A824" s="2">
        <v>1014</v>
      </c>
      <c r="B824" s="2" t="s">
        <v>0</v>
      </c>
      <c r="C824" s="2" t="s">
        <v>1303</v>
      </c>
      <c r="D824" s="2" t="s">
        <v>1332</v>
      </c>
      <c r="E824" s="2">
        <v>400</v>
      </c>
      <c r="F824" s="2">
        <v>3.8199999999999998E-2</v>
      </c>
      <c r="G824" s="2">
        <v>2.87E-2</v>
      </c>
      <c r="H824" s="4">
        <f t="shared" si="125"/>
        <v>0.24869109947643975</v>
      </c>
      <c r="I824" s="2" t="s">
        <v>73</v>
      </c>
      <c r="J824" s="2" t="s">
        <v>1333</v>
      </c>
      <c r="K824" s="2" t="s">
        <v>105</v>
      </c>
      <c r="L824" s="2" t="s">
        <v>76</v>
      </c>
      <c r="M824" s="163">
        <v>4</v>
      </c>
      <c r="N824" s="163">
        <v>100</v>
      </c>
      <c r="O824" s="2">
        <v>15</v>
      </c>
      <c r="P824" s="6"/>
      <c r="Q824" s="131">
        <v>11</v>
      </c>
      <c r="R824" s="33">
        <f t="shared" si="126"/>
        <v>98.181818181818187</v>
      </c>
      <c r="S824" s="132">
        <f t="shared" si="116"/>
        <v>12.272727272727273</v>
      </c>
      <c r="T824" s="132">
        <f t="shared" si="127"/>
        <v>12.272727272727273</v>
      </c>
      <c r="U824" s="28">
        <f t="shared" si="123"/>
        <v>10.185185185185185</v>
      </c>
      <c r="V824" s="28">
        <f t="shared" si="131"/>
        <v>11.982570806100219</v>
      </c>
      <c r="W824" s="15">
        <f t="shared" si="128"/>
        <v>0</v>
      </c>
      <c r="X824" s="16"/>
      <c r="Y824" s="162">
        <f t="shared" si="129"/>
        <v>0</v>
      </c>
      <c r="Z824" s="5">
        <f t="shared" si="130"/>
        <v>92.045454545454547</v>
      </c>
      <c r="AA824" s="5"/>
      <c r="AB824" s="5"/>
      <c r="AC824" s="5"/>
      <c r="AD824" s="29">
        <v>11</v>
      </c>
      <c r="AG824" s="20"/>
      <c r="AI824" s="20"/>
      <c r="CH824">
        <v>4</v>
      </c>
      <c r="CI824">
        <v>88</v>
      </c>
    </row>
    <row r="825" spans="1:87" x14ac:dyDescent="0.3">
      <c r="A825" s="2">
        <v>1759</v>
      </c>
      <c r="B825" s="2" t="s">
        <v>0</v>
      </c>
      <c r="C825" s="2" t="s">
        <v>1303</v>
      </c>
      <c r="D825" s="2" t="s">
        <v>1334</v>
      </c>
      <c r="E825" s="2">
        <v>720</v>
      </c>
      <c r="F825" s="2">
        <v>1.67E-2</v>
      </c>
      <c r="G825" s="2">
        <v>1.2E-2</v>
      </c>
      <c r="H825" s="4">
        <f t="shared" si="125"/>
        <v>0.28143712574850294</v>
      </c>
      <c r="I825" s="2" t="s">
        <v>73</v>
      </c>
      <c r="J825" s="2" t="s">
        <v>1323</v>
      </c>
      <c r="K825" s="2" t="s">
        <v>95</v>
      </c>
      <c r="L825" s="2" t="s">
        <v>6</v>
      </c>
      <c r="M825" s="163">
        <v>10</v>
      </c>
      <c r="N825" s="163">
        <v>72</v>
      </c>
      <c r="O825" s="2">
        <v>24</v>
      </c>
      <c r="P825" s="6">
        <v>150</v>
      </c>
      <c r="Q825" s="131">
        <v>6.6</v>
      </c>
      <c r="R825" s="33">
        <f t="shared" si="126"/>
        <v>145.45454545454547</v>
      </c>
      <c r="S825" s="132">
        <f t="shared" si="116"/>
        <v>18.181818181818183</v>
      </c>
      <c r="T825" s="132">
        <f t="shared" si="127"/>
        <v>18.181818181818183</v>
      </c>
      <c r="U825" s="28">
        <f t="shared" si="123"/>
        <v>6.8749999999999991</v>
      </c>
      <c r="V825" s="28">
        <f t="shared" si="131"/>
        <v>8.0882352941176467</v>
      </c>
      <c r="W825" s="19">
        <f t="shared" si="128"/>
        <v>1.0999999999999999</v>
      </c>
      <c r="X825" s="16">
        <v>70</v>
      </c>
      <c r="Y825" s="162">
        <f t="shared" si="129"/>
        <v>0.51333333333333331</v>
      </c>
      <c r="Z825" s="5">
        <f t="shared" si="130"/>
        <v>136.36363636363637</v>
      </c>
      <c r="AA825" s="5">
        <f>R825*2*22*0.8</f>
        <v>5120.0000000000009</v>
      </c>
      <c r="AB825" s="5">
        <f>AA825*G825*E825</f>
        <v>44236.80000000001</v>
      </c>
      <c r="AC825" s="5"/>
      <c r="AD825" s="29">
        <v>6.6</v>
      </c>
      <c r="AG825" s="20"/>
      <c r="AI825" s="20">
        <f>X825/Z825</f>
        <v>0.51333333333333331</v>
      </c>
      <c r="CH825">
        <v>2</v>
      </c>
      <c r="CI825">
        <v>90</v>
      </c>
    </row>
    <row r="826" spans="1:87" x14ac:dyDescent="0.3">
      <c r="A826" s="2">
        <v>1844</v>
      </c>
      <c r="B826" s="2" t="s">
        <v>0</v>
      </c>
      <c r="C826" s="2" t="s">
        <v>1303</v>
      </c>
      <c r="D826" s="167" t="s">
        <v>1335</v>
      </c>
      <c r="E826" s="2">
        <v>500</v>
      </c>
      <c r="F826" s="169">
        <v>1.1900000000000001E-2</v>
      </c>
      <c r="G826" s="2">
        <v>7.0000000000000001E-3</v>
      </c>
      <c r="H826" s="4">
        <f t="shared" si="125"/>
        <v>0.41176470588235298</v>
      </c>
      <c r="I826" s="2" t="s">
        <v>73</v>
      </c>
      <c r="J826" s="2" t="s">
        <v>1336</v>
      </c>
      <c r="K826" s="2" t="s">
        <v>1337</v>
      </c>
      <c r="L826" s="2" t="s">
        <v>1338</v>
      </c>
      <c r="M826" s="163">
        <f>E826/N826</f>
        <v>10</v>
      </c>
      <c r="N826" s="163">
        <v>50</v>
      </c>
      <c r="O826" s="2">
        <v>42</v>
      </c>
      <c r="P826" s="6">
        <v>110</v>
      </c>
      <c r="Q826" s="131">
        <v>16.3</v>
      </c>
      <c r="R826" s="168">
        <f t="shared" si="126"/>
        <v>148.41717791411043</v>
      </c>
      <c r="S826" s="132">
        <f t="shared" si="116"/>
        <v>18.552147239263803</v>
      </c>
      <c r="T826" s="132">
        <f t="shared" si="127"/>
        <v>18.552147239263803</v>
      </c>
      <c r="U826" s="28">
        <f t="shared" si="123"/>
        <v>6.7377645502645507</v>
      </c>
      <c r="V826" s="28">
        <f t="shared" si="131"/>
        <v>7.9267818238406482</v>
      </c>
      <c r="W826" s="15">
        <f t="shared" si="128"/>
        <v>0.79056437389770728</v>
      </c>
      <c r="X826" s="16"/>
      <c r="Y826" s="162">
        <f t="shared" si="129"/>
        <v>0</v>
      </c>
      <c r="Z826" s="5">
        <f t="shared" si="130"/>
        <v>139.14110429447851</v>
      </c>
      <c r="AA826" s="5"/>
      <c r="AB826" s="5"/>
      <c r="AC826" s="5"/>
      <c r="AD826" s="29">
        <v>16.3</v>
      </c>
      <c r="AF826">
        <f>1000/180</f>
        <v>5.5555555555555554</v>
      </c>
      <c r="AG826" s="20">
        <v>0.80511463844797193</v>
      </c>
      <c r="AI826" s="20"/>
      <c r="CH826">
        <v>6</v>
      </c>
      <c r="CI826">
        <v>54</v>
      </c>
    </row>
    <row r="827" spans="1:87" x14ac:dyDescent="0.3">
      <c r="A827" s="2">
        <v>1845</v>
      </c>
      <c r="B827" s="2" t="s">
        <v>0</v>
      </c>
      <c r="C827" s="2" t="s">
        <v>1303</v>
      </c>
      <c r="D827" s="2" t="s">
        <v>1339</v>
      </c>
      <c r="E827" s="2">
        <v>500</v>
      </c>
      <c r="F827" s="2">
        <v>1.4500000000000001E-2</v>
      </c>
      <c r="G827" s="2">
        <v>8.5000000000000006E-3</v>
      </c>
      <c r="H827" s="4">
        <f t="shared" si="125"/>
        <v>0.41379310344827586</v>
      </c>
      <c r="I827" s="2" t="s">
        <v>73</v>
      </c>
      <c r="J827" s="2" t="s">
        <v>1340</v>
      </c>
      <c r="K827" s="2" t="s">
        <v>1341</v>
      </c>
      <c r="L827" s="2" t="s">
        <v>1342</v>
      </c>
      <c r="M827" s="163">
        <f t="shared" ref="M827:M840" si="132">E827/N827</f>
        <v>10</v>
      </c>
      <c r="N827" s="163">
        <v>50</v>
      </c>
      <c r="O827" s="2">
        <v>36</v>
      </c>
      <c r="P827" s="6">
        <v>120</v>
      </c>
      <c r="Q827" s="131">
        <v>10.5</v>
      </c>
      <c r="R827" s="33">
        <f t="shared" si="126"/>
        <v>197.48571428571427</v>
      </c>
      <c r="S827" s="132">
        <f t="shared" si="116"/>
        <v>24.685714285714283</v>
      </c>
      <c r="T827" s="132">
        <f t="shared" si="127"/>
        <v>24.685714285714283</v>
      </c>
      <c r="U827" s="28">
        <f t="shared" si="123"/>
        <v>5.0636574074074083</v>
      </c>
      <c r="V827" s="28">
        <f t="shared" si="131"/>
        <v>5.9572440087145981</v>
      </c>
      <c r="W827" s="15">
        <f t="shared" si="128"/>
        <v>0.72839506172839519</v>
      </c>
      <c r="X827" s="16">
        <v>80</v>
      </c>
      <c r="Y827" s="162">
        <f t="shared" si="129"/>
        <v>0.48559670781893011</v>
      </c>
      <c r="Z827" s="5">
        <f t="shared" si="130"/>
        <v>164.74576271186439</v>
      </c>
      <c r="AA827" s="5"/>
      <c r="AB827" s="5"/>
      <c r="AC827" s="5"/>
      <c r="AD827" s="29">
        <v>11.8</v>
      </c>
      <c r="AG827" s="20">
        <v>0.72839506172839519</v>
      </c>
      <c r="AI827" s="20">
        <f>X827/Z827</f>
        <v>0.48559670781893011</v>
      </c>
      <c r="CH827">
        <v>1</v>
      </c>
      <c r="CI827">
        <v>48</v>
      </c>
    </row>
    <row r="828" spans="1:87" x14ac:dyDescent="0.3">
      <c r="A828" s="2">
        <v>1846</v>
      </c>
      <c r="B828" s="2" t="s">
        <v>0</v>
      </c>
      <c r="C828" s="2" t="s">
        <v>1303</v>
      </c>
      <c r="D828" s="2" t="s">
        <v>1343</v>
      </c>
      <c r="E828" s="2">
        <v>500</v>
      </c>
      <c r="F828" s="2">
        <v>1.77E-2</v>
      </c>
      <c r="G828" s="2">
        <v>1.2E-2</v>
      </c>
      <c r="H828" s="4">
        <f t="shared" si="125"/>
        <v>0.32203389830508478</v>
      </c>
      <c r="I828" s="2" t="s">
        <v>73</v>
      </c>
      <c r="J828" s="2" t="s">
        <v>1344</v>
      </c>
      <c r="K828" s="2" t="s">
        <v>1341</v>
      </c>
      <c r="L828" s="2" t="s">
        <v>1342</v>
      </c>
      <c r="M828" s="163">
        <f t="shared" si="132"/>
        <v>10</v>
      </c>
      <c r="N828" s="163">
        <v>50</v>
      </c>
      <c r="O828" s="2">
        <v>36</v>
      </c>
      <c r="P828" s="6">
        <v>117</v>
      </c>
      <c r="Q828" s="131">
        <v>10.5</v>
      </c>
      <c r="R828" s="33">
        <f t="shared" si="126"/>
        <v>197.48571428571427</v>
      </c>
      <c r="S828" s="132">
        <f t="shared" si="116"/>
        <v>24.685714285714283</v>
      </c>
      <c r="T828" s="132">
        <f t="shared" si="127"/>
        <v>24.685714285714283</v>
      </c>
      <c r="U828" s="28">
        <f t="shared" si="123"/>
        <v>5.0636574074074083</v>
      </c>
      <c r="V828" s="28">
        <f t="shared" si="131"/>
        <v>5.9572440087145981</v>
      </c>
      <c r="W828" s="15">
        <f t="shared" si="128"/>
        <v>0.71018518518518525</v>
      </c>
      <c r="X828" s="16">
        <v>86</v>
      </c>
      <c r="Y828" s="162">
        <f t="shared" si="129"/>
        <v>0.52201646090534981</v>
      </c>
      <c r="Z828" s="5">
        <f t="shared" si="130"/>
        <v>164.74576271186439</v>
      </c>
      <c r="AA828" s="5"/>
      <c r="AB828" s="5"/>
      <c r="AC828" s="5"/>
      <c r="AD828" s="29">
        <v>11.8</v>
      </c>
      <c r="AG828" s="20">
        <v>0.71018518518518525</v>
      </c>
      <c r="AI828" s="20">
        <f>X828/Z828</f>
        <v>0.52201646090534981</v>
      </c>
      <c r="CH828">
        <v>2</v>
      </c>
      <c r="CI828">
        <v>82</v>
      </c>
    </row>
    <row r="829" spans="1:87" x14ac:dyDescent="0.3">
      <c r="A829" s="2">
        <v>1847</v>
      </c>
      <c r="B829" s="2" t="s">
        <v>0</v>
      </c>
      <c r="C829" s="2" t="s">
        <v>1303</v>
      </c>
      <c r="D829" s="2" t="s">
        <v>1345</v>
      </c>
      <c r="E829" s="2">
        <v>500</v>
      </c>
      <c r="F829" s="2">
        <v>1.9300000000000001E-2</v>
      </c>
      <c r="G829" s="2">
        <v>1.4E-2</v>
      </c>
      <c r="H829" s="4">
        <f t="shared" si="125"/>
        <v>0.2746113989637306</v>
      </c>
      <c r="I829" s="2" t="s">
        <v>73</v>
      </c>
      <c r="J829" s="2" t="s">
        <v>1346</v>
      </c>
      <c r="K829" s="2" t="s">
        <v>1347</v>
      </c>
      <c r="L829" s="2" t="s">
        <v>1348</v>
      </c>
      <c r="M829" s="163">
        <f t="shared" si="132"/>
        <v>10</v>
      </c>
      <c r="N829" s="163">
        <v>50</v>
      </c>
      <c r="O829" s="2">
        <v>36</v>
      </c>
      <c r="P829" s="6">
        <v>116</v>
      </c>
      <c r="Q829" s="131">
        <v>10.5</v>
      </c>
      <c r="R829" s="33">
        <f t="shared" si="126"/>
        <v>197.48571428571427</v>
      </c>
      <c r="S829" s="132">
        <f t="shared" si="116"/>
        <v>24.685714285714283</v>
      </c>
      <c r="T829" s="132">
        <f t="shared" si="127"/>
        <v>24.685714285714283</v>
      </c>
      <c r="U829" s="28">
        <f t="shared" si="123"/>
        <v>5.0636574074074083</v>
      </c>
      <c r="V829" s="28">
        <f t="shared" si="131"/>
        <v>5.9572440087145981</v>
      </c>
      <c r="W829" s="15">
        <f t="shared" si="128"/>
        <v>0.73991769547325104</v>
      </c>
      <c r="X829" s="16"/>
      <c r="Y829" s="162">
        <f t="shared" si="129"/>
        <v>0</v>
      </c>
      <c r="Z829" s="5">
        <f t="shared" si="130"/>
        <v>156.7741935483871</v>
      </c>
      <c r="AA829" s="5"/>
      <c r="AB829" s="5"/>
      <c r="AC829" s="5"/>
      <c r="AD829" s="29">
        <v>12.4</v>
      </c>
      <c r="AG829" s="20">
        <v>0.73991769547325104</v>
      </c>
      <c r="AI829" s="20"/>
      <c r="CH829">
        <v>2</v>
      </c>
      <c r="CI829">
        <v>87</v>
      </c>
    </row>
    <row r="830" spans="1:87" x14ac:dyDescent="0.3">
      <c r="A830" s="2">
        <v>1848</v>
      </c>
      <c r="B830" s="2" t="s">
        <v>0</v>
      </c>
      <c r="C830" s="2" t="s">
        <v>1303</v>
      </c>
      <c r="D830" s="167" t="s">
        <v>1349</v>
      </c>
      <c r="E830" s="2">
        <v>500</v>
      </c>
      <c r="F830" s="2">
        <v>2.58E-2</v>
      </c>
      <c r="G830" s="23">
        <v>1.77E-2</v>
      </c>
      <c r="H830" s="4">
        <f t="shared" si="125"/>
        <v>0.31395348837209303</v>
      </c>
      <c r="I830" s="2" t="s">
        <v>73</v>
      </c>
      <c r="J830" s="2" t="s">
        <v>1350</v>
      </c>
      <c r="K830" s="2" t="s">
        <v>1351</v>
      </c>
      <c r="L830" s="2" t="s">
        <v>1348</v>
      </c>
      <c r="M830" s="163">
        <f t="shared" si="132"/>
        <v>10</v>
      </c>
      <c r="N830" s="163">
        <v>50</v>
      </c>
      <c r="O830" s="2">
        <v>36</v>
      </c>
      <c r="P830" s="6">
        <v>110</v>
      </c>
      <c r="Q830" s="131">
        <v>10.5</v>
      </c>
      <c r="R830" s="168">
        <f t="shared" si="126"/>
        <v>197.48571428571427</v>
      </c>
      <c r="S830" s="132">
        <f t="shared" si="116"/>
        <v>24.685714285714283</v>
      </c>
      <c r="T830" s="132">
        <f t="shared" si="127"/>
        <v>24.685714285714283</v>
      </c>
      <c r="U830" s="28">
        <f t="shared" si="123"/>
        <v>5.0636574074074083</v>
      </c>
      <c r="V830" s="28">
        <f t="shared" si="131"/>
        <v>5.9572440087145981</v>
      </c>
      <c r="W830" s="15">
        <f t="shared" si="128"/>
        <v>0.71296296296296302</v>
      </c>
      <c r="X830" s="16">
        <v>90</v>
      </c>
      <c r="Y830" s="162">
        <f t="shared" si="129"/>
        <v>0.58333333333333337</v>
      </c>
      <c r="Z830" s="5">
        <f t="shared" si="130"/>
        <v>154.28571428571428</v>
      </c>
      <c r="AA830" s="5"/>
      <c r="AB830" s="5"/>
      <c r="AC830" s="5"/>
      <c r="AD830" s="29">
        <v>12.6</v>
      </c>
      <c r="AG830" s="20">
        <v>0.71296296296296302</v>
      </c>
      <c r="AI830" s="20">
        <f>X830/Z830</f>
        <v>0.58333333333333337</v>
      </c>
      <c r="CH830">
        <v>3</v>
      </c>
      <c r="CI830">
        <v>83</v>
      </c>
    </row>
    <row r="831" spans="1:87" x14ac:dyDescent="0.3">
      <c r="A831" s="2">
        <v>1859</v>
      </c>
      <c r="B831" s="2" t="s">
        <v>0</v>
      </c>
      <c r="C831" s="2" t="s">
        <v>1303</v>
      </c>
      <c r="D831" s="2" t="s">
        <v>1352</v>
      </c>
      <c r="E831" s="2">
        <v>500</v>
      </c>
      <c r="F831" s="2">
        <v>1.1900000000000001E-2</v>
      </c>
      <c r="G831" s="2">
        <v>7.0000000000000001E-3</v>
      </c>
      <c r="H831" s="4">
        <f t="shared" si="125"/>
        <v>0.41176470588235298</v>
      </c>
      <c r="I831" s="2" t="s">
        <v>73</v>
      </c>
      <c r="J831" s="2" t="s">
        <v>1353</v>
      </c>
      <c r="K831" s="2" t="s">
        <v>1354</v>
      </c>
      <c r="L831" s="2" t="s">
        <v>1338</v>
      </c>
      <c r="M831" s="163">
        <f t="shared" si="132"/>
        <v>10</v>
      </c>
      <c r="N831" s="163">
        <v>50</v>
      </c>
      <c r="O831" s="2">
        <v>42</v>
      </c>
      <c r="P831" s="6">
        <v>110</v>
      </c>
      <c r="Q831" s="131">
        <v>16.600000000000001</v>
      </c>
      <c r="R831" s="33">
        <f t="shared" si="126"/>
        <v>145.73493975903611</v>
      </c>
      <c r="S831" s="132">
        <f t="shared" si="116"/>
        <v>18.216867469879514</v>
      </c>
      <c r="T831" s="132">
        <f t="shared" si="127"/>
        <v>18.216867469879514</v>
      </c>
      <c r="U831" s="28">
        <f t="shared" si="123"/>
        <v>6.8617724867724883</v>
      </c>
      <c r="V831" s="28">
        <f t="shared" si="131"/>
        <v>8.0726735138499865</v>
      </c>
      <c r="W831" s="15">
        <f t="shared" si="128"/>
        <v>0.80511463844797193</v>
      </c>
      <c r="X831" s="16"/>
      <c r="Y831" s="162">
        <f t="shared" si="129"/>
        <v>0</v>
      </c>
      <c r="Z831" s="5">
        <f t="shared" si="130"/>
        <v>136.62650602409636</v>
      </c>
      <c r="AA831" s="5"/>
      <c r="AB831" s="5"/>
      <c r="AC831" s="5"/>
      <c r="AD831" s="29">
        <v>16.600000000000001</v>
      </c>
      <c r="AG831" s="20">
        <v>0.80511463844797193</v>
      </c>
      <c r="AI831" s="20"/>
      <c r="CH831">
        <v>5</v>
      </c>
      <c r="CI831">
        <v>81</v>
      </c>
    </row>
    <row r="832" spans="1:87" x14ac:dyDescent="0.3">
      <c r="A832" s="2">
        <v>1860</v>
      </c>
      <c r="B832" s="2" t="s">
        <v>0</v>
      </c>
      <c r="C832" s="2" t="s">
        <v>1303</v>
      </c>
      <c r="D832" s="2" t="s">
        <v>1355</v>
      </c>
      <c r="E832" s="2">
        <v>500</v>
      </c>
      <c r="F832" s="2">
        <v>1.4500000000000001E-2</v>
      </c>
      <c r="G832" s="2">
        <v>8.5000000000000006E-3</v>
      </c>
      <c r="H832" s="4">
        <f t="shared" si="125"/>
        <v>0.41379310344827586</v>
      </c>
      <c r="I832" s="2" t="s">
        <v>73</v>
      </c>
      <c r="J832" s="2" t="s">
        <v>1356</v>
      </c>
      <c r="K832" s="2" t="s">
        <v>1357</v>
      </c>
      <c r="L832" s="2" t="s">
        <v>1342</v>
      </c>
      <c r="M832" s="163">
        <f t="shared" si="132"/>
        <v>10</v>
      </c>
      <c r="N832" s="163">
        <v>50</v>
      </c>
      <c r="O832" s="2">
        <v>36</v>
      </c>
      <c r="P832" s="6">
        <v>120</v>
      </c>
      <c r="Q832" s="131">
        <v>11.8</v>
      </c>
      <c r="R832" s="33">
        <f t="shared" si="126"/>
        <v>175.72881355932202</v>
      </c>
      <c r="S832" s="132">
        <f t="shared" si="116"/>
        <v>21.966101694915253</v>
      </c>
      <c r="T832" s="132">
        <f t="shared" si="127"/>
        <v>21.966101694915253</v>
      </c>
      <c r="U832" s="28">
        <f t="shared" si="123"/>
        <v>5.6905864197530871</v>
      </c>
      <c r="V832" s="28">
        <f t="shared" si="131"/>
        <v>6.6948075526506905</v>
      </c>
      <c r="W832" s="15">
        <f t="shared" si="128"/>
        <v>0.72839506172839519</v>
      </c>
      <c r="X832" s="16">
        <v>80</v>
      </c>
      <c r="Y832" s="162">
        <f t="shared" si="129"/>
        <v>0.48559670781893011</v>
      </c>
      <c r="Z832" s="5">
        <f t="shared" si="130"/>
        <v>164.74576271186439</v>
      </c>
      <c r="AA832" s="5"/>
      <c r="AB832" s="5"/>
      <c r="AC832" s="5"/>
      <c r="AD832" s="29">
        <v>11.8</v>
      </c>
      <c r="AG832" s="20">
        <v>0.72839506172839519</v>
      </c>
      <c r="AI832" s="20">
        <f>X832/Z832</f>
        <v>0.48559670781893011</v>
      </c>
      <c r="CH832">
        <v>3</v>
      </c>
      <c r="CI832">
        <v>32</v>
      </c>
    </row>
    <row r="833" spans="1:87" x14ac:dyDescent="0.3">
      <c r="A833" s="2">
        <v>1861</v>
      </c>
      <c r="B833" s="2" t="s">
        <v>0</v>
      </c>
      <c r="C833" s="2" t="s">
        <v>1303</v>
      </c>
      <c r="D833" s="2" t="s">
        <v>1358</v>
      </c>
      <c r="E833" s="2">
        <v>500</v>
      </c>
      <c r="F833" s="2">
        <v>1.77E-2</v>
      </c>
      <c r="G833" s="2">
        <v>1.2E-2</v>
      </c>
      <c r="H833" s="4">
        <f t="shared" si="125"/>
        <v>0.32203389830508478</v>
      </c>
      <c r="I833" s="2" t="s">
        <v>73</v>
      </c>
      <c r="J833" s="2" t="s">
        <v>1359</v>
      </c>
      <c r="K833" s="2" t="s">
        <v>1357</v>
      </c>
      <c r="L833" s="2" t="s">
        <v>1342</v>
      </c>
      <c r="M833" s="163">
        <f t="shared" si="132"/>
        <v>10</v>
      </c>
      <c r="N833" s="163">
        <v>50</v>
      </c>
      <c r="O833" s="2">
        <v>36</v>
      </c>
      <c r="P833" s="6">
        <v>117</v>
      </c>
      <c r="Q833" s="131">
        <v>11.8</v>
      </c>
      <c r="R833" s="33">
        <f t="shared" si="126"/>
        <v>175.72881355932202</v>
      </c>
      <c r="S833" s="132">
        <f t="shared" si="116"/>
        <v>21.966101694915253</v>
      </c>
      <c r="T833" s="132">
        <f t="shared" si="127"/>
        <v>21.966101694915253</v>
      </c>
      <c r="U833" s="28">
        <f t="shared" si="123"/>
        <v>5.6905864197530871</v>
      </c>
      <c r="V833" s="28">
        <f t="shared" si="131"/>
        <v>6.6948075526506905</v>
      </c>
      <c r="W833" s="15">
        <f t="shared" si="128"/>
        <v>0.71018518518518525</v>
      </c>
      <c r="X833" s="16"/>
      <c r="Y833" s="162">
        <f t="shared" si="129"/>
        <v>0</v>
      </c>
      <c r="Z833" s="5">
        <f t="shared" si="130"/>
        <v>164.74576271186439</v>
      </c>
      <c r="AA833" s="5"/>
      <c r="AB833" s="5"/>
      <c r="AC833" s="5"/>
      <c r="AD833" s="29">
        <v>11.8</v>
      </c>
      <c r="AG833" s="20">
        <v>0.71018518518518525</v>
      </c>
      <c r="AI833" s="20"/>
      <c r="CH833">
        <v>1</v>
      </c>
      <c r="CI833">
        <v>89</v>
      </c>
    </row>
    <row r="834" spans="1:87" x14ac:dyDescent="0.3">
      <c r="A834" s="2">
        <v>1862</v>
      </c>
      <c r="B834" s="2" t="s">
        <v>0</v>
      </c>
      <c r="C834" s="2" t="s">
        <v>1303</v>
      </c>
      <c r="D834" s="2" t="s">
        <v>1360</v>
      </c>
      <c r="E834" s="2">
        <v>500</v>
      </c>
      <c r="F834" s="2">
        <v>1.9300000000000001E-2</v>
      </c>
      <c r="G834" s="2">
        <v>1.4E-2</v>
      </c>
      <c r="H834" s="4">
        <f t="shared" si="125"/>
        <v>0.2746113989637306</v>
      </c>
      <c r="I834" s="2" t="s">
        <v>73</v>
      </c>
      <c r="J834" s="2" t="s">
        <v>1361</v>
      </c>
      <c r="K834" s="2" t="s">
        <v>1362</v>
      </c>
      <c r="L834" s="2" t="s">
        <v>1348</v>
      </c>
      <c r="M834" s="163">
        <f t="shared" si="132"/>
        <v>10</v>
      </c>
      <c r="N834" s="163">
        <v>50</v>
      </c>
      <c r="O834" s="2">
        <v>36</v>
      </c>
      <c r="P834" s="6">
        <v>116</v>
      </c>
      <c r="Q834" s="131">
        <v>12.4</v>
      </c>
      <c r="R834" s="33">
        <f t="shared" si="126"/>
        <v>167.2258064516129</v>
      </c>
      <c r="S834" s="132">
        <f t="shared" si="116"/>
        <v>20.903225806451612</v>
      </c>
      <c r="T834" s="132">
        <f t="shared" si="127"/>
        <v>20.903225806451612</v>
      </c>
      <c r="U834" s="28">
        <f t="shared" si="123"/>
        <v>5.9799382716049383</v>
      </c>
      <c r="V834" s="28">
        <f t="shared" si="131"/>
        <v>7.0352214960058097</v>
      </c>
      <c r="W834" s="15">
        <f t="shared" si="128"/>
        <v>0.73991769547325104</v>
      </c>
      <c r="X834" s="16"/>
      <c r="Y834" s="162">
        <f t="shared" si="129"/>
        <v>0</v>
      </c>
      <c r="Z834" s="5">
        <f t="shared" si="130"/>
        <v>156.7741935483871</v>
      </c>
      <c r="AA834" s="5"/>
      <c r="AB834" s="5"/>
      <c r="AC834" s="5"/>
      <c r="AD834" s="29">
        <v>12.4</v>
      </c>
      <c r="AG834" s="20">
        <v>0.73991769547325104</v>
      </c>
      <c r="AI834" s="20"/>
      <c r="CH834">
        <v>4</v>
      </c>
      <c r="CI834">
        <v>86</v>
      </c>
    </row>
    <row r="835" spans="1:87" x14ac:dyDescent="0.3">
      <c r="A835" s="2">
        <v>1863</v>
      </c>
      <c r="B835" s="2" t="s">
        <v>0</v>
      </c>
      <c r="C835" s="2" t="s">
        <v>1303</v>
      </c>
      <c r="D835" s="2" t="s">
        <v>1363</v>
      </c>
      <c r="E835" s="2">
        <v>500</v>
      </c>
      <c r="F835" s="2">
        <v>2.58E-2</v>
      </c>
      <c r="G835" s="2">
        <v>2.1000000000000001E-2</v>
      </c>
      <c r="H835" s="4">
        <f t="shared" si="125"/>
        <v>0.18604651162790692</v>
      </c>
      <c r="I835" s="2" t="s">
        <v>73</v>
      </c>
      <c r="J835" s="2" t="s">
        <v>1364</v>
      </c>
      <c r="K835" s="2" t="s">
        <v>1365</v>
      </c>
      <c r="L835" s="2" t="s">
        <v>1348</v>
      </c>
      <c r="M835" s="163">
        <f t="shared" si="132"/>
        <v>10</v>
      </c>
      <c r="N835" s="163">
        <v>50</v>
      </c>
      <c r="O835" s="2">
        <v>36</v>
      </c>
      <c r="P835" s="6">
        <v>110</v>
      </c>
      <c r="Q835" s="131">
        <v>10.5</v>
      </c>
      <c r="R835" s="33">
        <f t="shared" si="126"/>
        <v>197.48571428571427</v>
      </c>
      <c r="S835" s="132">
        <f t="shared" si="116"/>
        <v>24.685714285714283</v>
      </c>
      <c r="T835" s="132">
        <f t="shared" si="127"/>
        <v>24.685714285714283</v>
      </c>
      <c r="U835" s="28">
        <f t="shared" si="123"/>
        <v>5.0636574074074083</v>
      </c>
      <c r="V835" s="28">
        <f t="shared" si="131"/>
        <v>5.9572440087145981</v>
      </c>
      <c r="W835" s="15">
        <f t="shared" si="128"/>
        <v>0.71296296296296302</v>
      </c>
      <c r="X835" s="16"/>
      <c r="Y835" s="162">
        <f t="shared" si="129"/>
        <v>0</v>
      </c>
      <c r="Z835" s="5">
        <f t="shared" si="130"/>
        <v>154.28571428571428</v>
      </c>
      <c r="AA835" s="5"/>
      <c r="AB835" s="5"/>
      <c r="AC835" s="5"/>
      <c r="AD835" s="29">
        <v>12.6</v>
      </c>
      <c r="AG835" s="20">
        <v>0.71296296296296302</v>
      </c>
      <c r="AI835" s="20"/>
      <c r="CH835">
        <v>4</v>
      </c>
      <c r="CI835">
        <v>73</v>
      </c>
    </row>
    <row r="836" spans="1:87" x14ac:dyDescent="0.3">
      <c r="A836" s="2">
        <v>1864</v>
      </c>
      <c r="B836" s="2" t="s">
        <v>0</v>
      </c>
      <c r="C836" s="2" t="s">
        <v>1303</v>
      </c>
      <c r="D836" s="2" t="s">
        <v>1366</v>
      </c>
      <c r="E836" s="2">
        <v>500</v>
      </c>
      <c r="F836" s="2">
        <v>1.1900000000000001E-2</v>
      </c>
      <c r="G836" s="2">
        <v>7.0000000000000001E-3</v>
      </c>
      <c r="H836" s="4">
        <f t="shared" si="125"/>
        <v>0.41176470588235298</v>
      </c>
      <c r="I836" s="2" t="s">
        <v>73</v>
      </c>
      <c r="J836" s="2" t="s">
        <v>1353</v>
      </c>
      <c r="K836" s="2" t="s">
        <v>1367</v>
      </c>
      <c r="L836" s="2" t="s">
        <v>1338</v>
      </c>
      <c r="M836" s="163">
        <f t="shared" si="132"/>
        <v>10</v>
      </c>
      <c r="N836" s="163">
        <v>50</v>
      </c>
      <c r="O836" s="2">
        <v>42</v>
      </c>
      <c r="P836" s="6">
        <v>110</v>
      </c>
      <c r="Q836" s="131">
        <v>16.3</v>
      </c>
      <c r="R836" s="33">
        <f t="shared" si="126"/>
        <v>148.41717791411043</v>
      </c>
      <c r="S836" s="132">
        <f t="shared" si="116"/>
        <v>18.552147239263803</v>
      </c>
      <c r="T836" s="132">
        <f t="shared" si="127"/>
        <v>18.552147239263803</v>
      </c>
      <c r="U836" s="28">
        <f t="shared" si="123"/>
        <v>6.7377645502645507</v>
      </c>
      <c r="V836" s="28">
        <f t="shared" si="131"/>
        <v>7.9267818238406482</v>
      </c>
      <c r="W836" s="15">
        <f t="shared" si="128"/>
        <v>0.80511463844797193</v>
      </c>
      <c r="X836" s="16"/>
      <c r="Y836" s="162">
        <f t="shared" si="129"/>
        <v>0</v>
      </c>
      <c r="Z836" s="5">
        <f t="shared" si="130"/>
        <v>136.62650602409636</v>
      </c>
      <c r="AA836" s="5"/>
      <c r="AB836" s="5"/>
      <c r="AC836" s="5"/>
      <c r="AD836" s="29">
        <v>16.600000000000001</v>
      </c>
      <c r="AG836" s="20">
        <v>0.80511463844797193</v>
      </c>
      <c r="AI836" s="20"/>
      <c r="CH836">
        <v>2</v>
      </c>
      <c r="CI836">
        <v>39</v>
      </c>
    </row>
    <row r="837" spans="1:87" ht="16.5" customHeight="1" x14ac:dyDescent="0.3">
      <c r="A837" s="2">
        <v>1865</v>
      </c>
      <c r="B837" s="23" t="s">
        <v>0</v>
      </c>
      <c r="C837" s="145" t="s">
        <v>1303</v>
      </c>
      <c r="D837" s="2" t="s">
        <v>1368</v>
      </c>
      <c r="E837" s="2">
        <v>500</v>
      </c>
      <c r="F837" s="2">
        <v>1.4500000000000001E-2</v>
      </c>
      <c r="G837" s="2">
        <v>8.5000000000000006E-3</v>
      </c>
      <c r="H837" s="4">
        <f t="shared" si="125"/>
        <v>0.41379310344827586</v>
      </c>
      <c r="I837" s="2" t="s">
        <v>73</v>
      </c>
      <c r="J837" s="2" t="s">
        <v>1356</v>
      </c>
      <c r="K837" s="2" t="s">
        <v>1369</v>
      </c>
      <c r="L837" s="2" t="s">
        <v>1342</v>
      </c>
      <c r="M837" s="163">
        <f t="shared" si="132"/>
        <v>10</v>
      </c>
      <c r="N837" s="163">
        <v>50</v>
      </c>
      <c r="O837" s="2">
        <v>36</v>
      </c>
      <c r="P837" s="6">
        <v>120</v>
      </c>
      <c r="Q837" s="131">
        <v>10.5</v>
      </c>
      <c r="R837" s="33">
        <f t="shared" si="126"/>
        <v>197.48571428571427</v>
      </c>
      <c r="S837" s="132">
        <f t="shared" si="116"/>
        <v>24.685714285714283</v>
      </c>
      <c r="T837" s="132">
        <f t="shared" si="127"/>
        <v>24.685714285714283</v>
      </c>
      <c r="U837" s="28">
        <f t="shared" si="123"/>
        <v>5.0636574074074083</v>
      </c>
      <c r="V837" s="28">
        <f t="shared" si="131"/>
        <v>5.9572440087145981</v>
      </c>
      <c r="W837" s="15">
        <f t="shared" si="128"/>
        <v>0.72839506172839519</v>
      </c>
      <c r="X837" s="16"/>
      <c r="Y837" s="162">
        <f t="shared" si="129"/>
        <v>0</v>
      </c>
      <c r="Z837" s="5">
        <f t="shared" si="130"/>
        <v>164.74576271186439</v>
      </c>
      <c r="AA837" s="5"/>
      <c r="AB837" s="5"/>
      <c r="AC837" s="5"/>
      <c r="AD837" s="29">
        <v>11.8</v>
      </c>
      <c r="AG837" s="20">
        <v>0.72839506172839519</v>
      </c>
      <c r="AI837" s="20"/>
      <c r="CH837">
        <v>3</v>
      </c>
      <c r="CI837">
        <v>41</v>
      </c>
    </row>
    <row r="838" spans="1:87" x14ac:dyDescent="0.3">
      <c r="A838" s="2">
        <v>1866</v>
      </c>
      <c r="B838" s="2" t="s">
        <v>0</v>
      </c>
      <c r="C838" s="2" t="s">
        <v>1303</v>
      </c>
      <c r="D838" s="2" t="s">
        <v>1370</v>
      </c>
      <c r="E838" s="2">
        <v>500</v>
      </c>
      <c r="F838" s="2">
        <v>1.77E-2</v>
      </c>
      <c r="G838" s="2">
        <v>1.2E-2</v>
      </c>
      <c r="H838" s="4">
        <f t="shared" si="125"/>
        <v>0.32203389830508478</v>
      </c>
      <c r="I838" s="2" t="s">
        <v>73</v>
      </c>
      <c r="J838" s="2" t="s">
        <v>1359</v>
      </c>
      <c r="K838" s="2" t="s">
        <v>1369</v>
      </c>
      <c r="L838" s="2" t="s">
        <v>1342</v>
      </c>
      <c r="M838" s="163">
        <f t="shared" si="132"/>
        <v>10</v>
      </c>
      <c r="N838" s="163">
        <v>50</v>
      </c>
      <c r="O838" s="2">
        <v>36</v>
      </c>
      <c r="P838" s="6">
        <v>117</v>
      </c>
      <c r="Q838" s="131">
        <v>10.5</v>
      </c>
      <c r="R838" s="33">
        <f t="shared" si="126"/>
        <v>197.48571428571427</v>
      </c>
      <c r="S838" s="132">
        <f t="shared" si="116"/>
        <v>24.685714285714283</v>
      </c>
      <c r="T838" s="132">
        <f t="shared" si="127"/>
        <v>24.685714285714283</v>
      </c>
      <c r="U838" s="28">
        <f t="shared" si="123"/>
        <v>5.0636574074074083</v>
      </c>
      <c r="V838" s="28">
        <f t="shared" si="131"/>
        <v>5.9572440087145981</v>
      </c>
      <c r="W838" s="15">
        <f t="shared" si="128"/>
        <v>0.71018518518518525</v>
      </c>
      <c r="X838" s="16">
        <v>86</v>
      </c>
      <c r="Y838" s="162">
        <f t="shared" si="129"/>
        <v>0.52201646090534981</v>
      </c>
      <c r="Z838" s="5">
        <f t="shared" si="130"/>
        <v>164.74576271186439</v>
      </c>
      <c r="AA838" s="5"/>
      <c r="AB838" s="5"/>
      <c r="AC838" s="5"/>
      <c r="AD838" s="29">
        <v>11.8</v>
      </c>
      <c r="AG838" s="20">
        <v>0.71018518518518525</v>
      </c>
      <c r="AI838" s="20">
        <f>X838/Z838</f>
        <v>0.52201646090534981</v>
      </c>
      <c r="CH838">
        <v>3</v>
      </c>
      <c r="CI838">
        <v>36</v>
      </c>
    </row>
    <row r="839" spans="1:87" x14ac:dyDescent="0.3">
      <c r="A839" s="2">
        <v>1867</v>
      </c>
      <c r="B839" s="2" t="s">
        <v>0</v>
      </c>
      <c r="C839" s="2" t="s">
        <v>1303</v>
      </c>
      <c r="D839" s="2" t="s">
        <v>1371</v>
      </c>
      <c r="E839" s="2">
        <v>500</v>
      </c>
      <c r="F839" s="2">
        <v>1.9300000000000001E-2</v>
      </c>
      <c r="G839" s="2">
        <v>1.4E-2</v>
      </c>
      <c r="H839" s="4">
        <f t="shared" si="125"/>
        <v>0.2746113989637306</v>
      </c>
      <c r="I839" s="2" t="s">
        <v>73</v>
      </c>
      <c r="J839" s="2" t="s">
        <v>1361</v>
      </c>
      <c r="K839" s="2" t="s">
        <v>1372</v>
      </c>
      <c r="L839" s="2" t="s">
        <v>1348</v>
      </c>
      <c r="M839" s="163">
        <f t="shared" si="132"/>
        <v>10</v>
      </c>
      <c r="N839" s="163">
        <v>50</v>
      </c>
      <c r="O839" s="2">
        <v>36</v>
      </c>
      <c r="P839" s="6">
        <v>116</v>
      </c>
      <c r="Q839" s="131">
        <v>10.5</v>
      </c>
      <c r="R839" s="33">
        <f t="shared" si="126"/>
        <v>197.48571428571427</v>
      </c>
      <c r="S839" s="132">
        <f t="shared" ref="S839:S850" si="133">IFERROR(R839/8,"")</f>
        <v>24.685714285714283</v>
      </c>
      <c r="T839" s="132">
        <f t="shared" si="127"/>
        <v>24.685714285714283</v>
      </c>
      <c r="U839" s="28">
        <f t="shared" si="123"/>
        <v>5.0636574074074083</v>
      </c>
      <c r="V839" s="28">
        <f t="shared" si="131"/>
        <v>5.9572440087145981</v>
      </c>
      <c r="W839" s="15">
        <f t="shared" si="128"/>
        <v>0.73991769547325104</v>
      </c>
      <c r="X839" s="16"/>
      <c r="Y839" s="162">
        <f t="shared" si="129"/>
        <v>0</v>
      </c>
      <c r="Z839" s="5">
        <f t="shared" si="130"/>
        <v>156.7741935483871</v>
      </c>
      <c r="AA839" s="5"/>
      <c r="AB839" s="5"/>
      <c r="AC839" s="5"/>
      <c r="AD839" s="29">
        <v>12.4</v>
      </c>
      <c r="AG839" s="20">
        <v>0.73991769547325104</v>
      </c>
      <c r="AI839" s="20"/>
      <c r="CH839">
        <v>5</v>
      </c>
      <c r="CI839">
        <v>30</v>
      </c>
    </row>
    <row r="840" spans="1:87" x14ac:dyDescent="0.3">
      <c r="A840" s="2">
        <v>1868</v>
      </c>
      <c r="B840" s="2" t="s">
        <v>0</v>
      </c>
      <c r="C840" s="2" t="s">
        <v>1303</v>
      </c>
      <c r="D840" s="2" t="s">
        <v>1373</v>
      </c>
      <c r="E840" s="2">
        <v>500</v>
      </c>
      <c r="F840" s="2">
        <v>2.58E-2</v>
      </c>
      <c r="G840" s="2">
        <v>2.1000000000000001E-2</v>
      </c>
      <c r="H840" s="4">
        <f t="shared" si="125"/>
        <v>0.18604651162790692</v>
      </c>
      <c r="I840" s="2" t="s">
        <v>73</v>
      </c>
      <c r="J840" s="2" t="s">
        <v>1364</v>
      </c>
      <c r="K840" s="2" t="s">
        <v>1372</v>
      </c>
      <c r="L840" s="2" t="s">
        <v>1348</v>
      </c>
      <c r="M840" s="163">
        <f t="shared" si="132"/>
        <v>10</v>
      </c>
      <c r="N840" s="163">
        <v>50</v>
      </c>
      <c r="O840" s="2">
        <v>36</v>
      </c>
      <c r="P840" s="6">
        <v>110</v>
      </c>
      <c r="Q840" s="131">
        <v>10.5</v>
      </c>
      <c r="R840" s="33">
        <f t="shared" si="126"/>
        <v>197.48571428571427</v>
      </c>
      <c r="S840" s="132">
        <f t="shared" si="133"/>
        <v>24.685714285714283</v>
      </c>
      <c r="T840" s="132">
        <f t="shared" si="127"/>
        <v>24.685714285714283</v>
      </c>
      <c r="U840" s="28">
        <f t="shared" si="123"/>
        <v>5.0636574074074083</v>
      </c>
      <c r="V840" s="28">
        <f t="shared" si="131"/>
        <v>5.9572440087145981</v>
      </c>
      <c r="W840" s="15">
        <f t="shared" si="128"/>
        <v>0.76954732510288071</v>
      </c>
      <c r="X840" s="16">
        <v>90</v>
      </c>
      <c r="Y840" s="162">
        <f t="shared" si="129"/>
        <v>0.62962962962962965</v>
      </c>
      <c r="Z840" s="5">
        <f t="shared" si="130"/>
        <v>142.94117647058823</v>
      </c>
      <c r="AA840" s="5"/>
      <c r="AB840" s="5"/>
      <c r="AC840" s="5"/>
      <c r="AD840" s="29">
        <v>13.6</v>
      </c>
      <c r="AG840" s="20">
        <v>0.71296296296296302</v>
      </c>
      <c r="AI840" s="20">
        <f>X840/Z840</f>
        <v>0.62962962962962965</v>
      </c>
      <c r="CH840">
        <v>4</v>
      </c>
      <c r="CI840">
        <v>34</v>
      </c>
    </row>
    <row r="841" spans="1:87" x14ac:dyDescent="0.3">
      <c r="A841" s="2">
        <v>1920</v>
      </c>
      <c r="B841" s="2" t="s">
        <v>0</v>
      </c>
      <c r="C841" s="2" t="s">
        <v>1303</v>
      </c>
      <c r="D841" s="2" t="s">
        <v>1374</v>
      </c>
      <c r="E841" s="2">
        <v>1000</v>
      </c>
      <c r="F841" s="2">
        <v>1.84E-2</v>
      </c>
      <c r="G841" s="2">
        <v>1.2E-2</v>
      </c>
      <c r="H841" s="4">
        <f t="shared" si="125"/>
        <v>0.34782608695652173</v>
      </c>
      <c r="I841" s="2" t="s">
        <v>73</v>
      </c>
      <c r="J841" s="2" t="s">
        <v>1375</v>
      </c>
      <c r="K841" s="2" t="s">
        <v>1376</v>
      </c>
      <c r="L841" s="2" t="s">
        <v>1377</v>
      </c>
      <c r="M841" s="163">
        <v>8</v>
      </c>
      <c r="N841" s="163">
        <v>125</v>
      </c>
      <c r="O841" s="2">
        <v>24</v>
      </c>
      <c r="P841" s="6">
        <v>150</v>
      </c>
      <c r="Q841" s="131">
        <v>6.6</v>
      </c>
      <c r="R841" s="33">
        <f t="shared" si="126"/>
        <v>104.72727272727273</v>
      </c>
      <c r="S841" s="132">
        <f t="shared" si="133"/>
        <v>13.090909090909092</v>
      </c>
      <c r="T841" s="132">
        <f t="shared" si="127"/>
        <v>13.090909090909092</v>
      </c>
      <c r="U841" s="28">
        <f t="shared" si="123"/>
        <v>9.5486111111111107</v>
      </c>
      <c r="V841" s="28">
        <f t="shared" si="131"/>
        <v>11.233660130718954</v>
      </c>
      <c r="W841" s="19">
        <f t="shared" si="128"/>
        <v>1.5277777777777777</v>
      </c>
      <c r="X841" s="16"/>
      <c r="Y841" s="162">
        <f t="shared" si="129"/>
        <v>0</v>
      </c>
      <c r="Z841" s="5">
        <f t="shared" si="130"/>
        <v>98.181818181818187</v>
      </c>
      <c r="AA841" s="5"/>
      <c r="AB841" s="5"/>
      <c r="AC841" s="5"/>
      <c r="AD841" s="29">
        <v>6.6</v>
      </c>
      <c r="AG841" s="20"/>
      <c r="AI841" s="20"/>
      <c r="CH841">
        <v>4</v>
      </c>
      <c r="CI841">
        <v>33</v>
      </c>
    </row>
    <row r="842" spans="1:87" x14ac:dyDescent="0.3">
      <c r="A842" s="23">
        <v>1924</v>
      </c>
      <c r="B842" s="2" t="s">
        <v>0</v>
      </c>
      <c r="C842" s="2" t="s">
        <v>1303</v>
      </c>
      <c r="D842" s="2" t="s">
        <v>1378</v>
      </c>
      <c r="E842" s="2">
        <v>500</v>
      </c>
      <c r="F842" s="2">
        <v>995</v>
      </c>
      <c r="G842" s="2">
        <v>1.11E-2</v>
      </c>
      <c r="H842" s="4">
        <f t="shared" si="125"/>
        <v>0.99998884422110546</v>
      </c>
      <c r="I842" s="2" t="s">
        <v>73</v>
      </c>
      <c r="J842" s="2" t="s">
        <v>1316</v>
      </c>
      <c r="K842" s="2" t="s">
        <v>1306</v>
      </c>
      <c r="L842" s="2" t="s">
        <v>96</v>
      </c>
      <c r="M842" s="163">
        <f t="shared" ref="M842:M850" si="134">E842/N842</f>
        <v>10</v>
      </c>
      <c r="N842" s="163">
        <v>50</v>
      </c>
      <c r="O842" s="2">
        <v>24</v>
      </c>
      <c r="P842" s="6">
        <v>187.24458204334366</v>
      </c>
      <c r="Q842" s="131">
        <v>5.2</v>
      </c>
      <c r="R842" s="33">
        <f t="shared" si="126"/>
        <v>265.84615384615387</v>
      </c>
      <c r="S842" s="132">
        <f t="shared" si="133"/>
        <v>33.230769230769234</v>
      </c>
      <c r="T842" s="132">
        <f t="shared" si="127"/>
        <v>33.230769230769234</v>
      </c>
      <c r="U842" s="28">
        <f t="shared" si="123"/>
        <v>3.761574074074074</v>
      </c>
      <c r="V842" s="28">
        <f t="shared" si="131"/>
        <v>4.4253812636165577</v>
      </c>
      <c r="W842" s="15">
        <f t="shared" si="128"/>
        <v>0.86687306501547989</v>
      </c>
      <c r="X842" s="16"/>
      <c r="Y842" s="162">
        <f t="shared" si="129"/>
        <v>0</v>
      </c>
      <c r="Z842" s="5">
        <f t="shared" si="130"/>
        <v>216</v>
      </c>
      <c r="AA842" s="5"/>
      <c r="AB842" s="5"/>
      <c r="AC842" s="5"/>
      <c r="AD842" s="29">
        <v>6</v>
      </c>
      <c r="AG842" s="20">
        <v>0.86687306501547989</v>
      </c>
      <c r="AI842" s="20"/>
      <c r="CH842">
        <v>1</v>
      </c>
      <c r="CI842">
        <v>70</v>
      </c>
    </row>
    <row r="843" spans="1:87" x14ac:dyDescent="0.3">
      <c r="A843" s="23">
        <v>1925</v>
      </c>
      <c r="B843" s="2" t="s">
        <v>0</v>
      </c>
      <c r="C843" s="2" t="s">
        <v>1303</v>
      </c>
      <c r="D843" s="2" t="s">
        <v>1379</v>
      </c>
      <c r="E843" s="2">
        <v>500</v>
      </c>
      <c r="F843" s="2" t="s">
        <v>1380</v>
      </c>
      <c r="G843" s="2">
        <v>1.2999999999999999E-2</v>
      </c>
      <c r="H843" s="4" t="e">
        <f t="shared" si="125"/>
        <v>#VALUE!</v>
      </c>
      <c r="I843" s="2" t="s">
        <v>73</v>
      </c>
      <c r="J843" s="2" t="s">
        <v>1318</v>
      </c>
      <c r="K843" s="2" t="s">
        <v>1306</v>
      </c>
      <c r="L843" s="2" t="s">
        <v>96</v>
      </c>
      <c r="M843" s="163">
        <f t="shared" si="134"/>
        <v>10</v>
      </c>
      <c r="N843" s="163">
        <v>50</v>
      </c>
      <c r="O843" s="2">
        <v>24</v>
      </c>
      <c r="P843" s="6">
        <v>184.10958904109589</v>
      </c>
      <c r="Q843" s="131">
        <v>5.2</v>
      </c>
      <c r="R843" s="33">
        <f t="shared" si="126"/>
        <v>265.84615384615387</v>
      </c>
      <c r="S843" s="132">
        <f t="shared" si="133"/>
        <v>33.230769230769234</v>
      </c>
      <c r="T843" s="132">
        <f t="shared" si="127"/>
        <v>33.230769230769234</v>
      </c>
      <c r="U843" s="28">
        <f t="shared" si="123"/>
        <v>3.761574074074074</v>
      </c>
      <c r="V843" s="28">
        <f t="shared" si="131"/>
        <v>4.4253812636165577</v>
      </c>
      <c r="W843" s="15">
        <f t="shared" si="128"/>
        <v>0.85235920852359204</v>
      </c>
      <c r="X843" s="16">
        <v>120</v>
      </c>
      <c r="Y843" s="162">
        <f t="shared" si="129"/>
        <v>0.55555555555555558</v>
      </c>
      <c r="Z843" s="5">
        <f t="shared" si="130"/>
        <v>216</v>
      </c>
      <c r="AA843" s="5"/>
      <c r="AB843" s="5"/>
      <c r="AC843" s="5"/>
      <c r="AD843" s="29">
        <v>6</v>
      </c>
      <c r="AG843" s="20">
        <v>0.8381532217148655</v>
      </c>
      <c r="AI843" s="20">
        <f>X843/Z843</f>
        <v>0.55555555555555558</v>
      </c>
      <c r="CH843">
        <v>2</v>
      </c>
      <c r="CI843">
        <v>58</v>
      </c>
    </row>
    <row r="844" spans="1:87" x14ac:dyDescent="0.3">
      <c r="A844" s="23">
        <v>1987</v>
      </c>
      <c r="B844" s="2" t="s">
        <v>0</v>
      </c>
      <c r="C844" s="2" t="s">
        <v>1303</v>
      </c>
      <c r="D844" s="2" t="s">
        <v>1381</v>
      </c>
      <c r="E844" s="2">
        <v>200</v>
      </c>
      <c r="F844" s="2">
        <v>2.2100000000000002E-2</v>
      </c>
      <c r="G844" s="2">
        <v>1.2999999999999999E-2</v>
      </c>
      <c r="H844" s="4">
        <f t="shared" si="125"/>
        <v>0.41176470588235303</v>
      </c>
      <c r="I844" s="2" t="s">
        <v>73</v>
      </c>
      <c r="J844" s="2" t="s">
        <v>1318</v>
      </c>
      <c r="K844" s="2" t="s">
        <v>1382</v>
      </c>
      <c r="L844" s="2" t="s">
        <v>6</v>
      </c>
      <c r="M844" s="163">
        <f t="shared" si="134"/>
        <v>4</v>
      </c>
      <c r="N844" s="163">
        <v>50</v>
      </c>
      <c r="O844" s="2">
        <v>24</v>
      </c>
      <c r="P844" s="6">
        <f>184.109589041096*500/200</f>
        <v>460.27397260274006</v>
      </c>
      <c r="Q844" s="131">
        <v>5.2</v>
      </c>
      <c r="R844" s="33">
        <f t="shared" si="126"/>
        <v>664.61538461538464</v>
      </c>
      <c r="S844" s="132">
        <f t="shared" si="133"/>
        <v>83.07692307692308</v>
      </c>
      <c r="T844" s="132">
        <f t="shared" si="127"/>
        <v>83.07692307692308</v>
      </c>
      <c r="U844" s="28">
        <f t="shared" si="123"/>
        <v>1.5046296296296295</v>
      </c>
      <c r="V844" s="28">
        <f t="shared" si="131"/>
        <v>1.7701525054466229</v>
      </c>
      <c r="W844" s="15">
        <f t="shared" si="128"/>
        <v>0.8523592085235927</v>
      </c>
      <c r="X844" s="16">
        <v>120</v>
      </c>
      <c r="Y844" s="162">
        <f t="shared" si="129"/>
        <v>0.22222222222222221</v>
      </c>
      <c r="Z844" s="5">
        <f t="shared" si="130"/>
        <v>540</v>
      </c>
      <c r="AA844" s="5"/>
      <c r="AB844" s="5"/>
      <c r="AC844" s="5"/>
      <c r="AD844" s="29">
        <v>6</v>
      </c>
      <c r="AG844" s="20">
        <v>0.8381532217148655</v>
      </c>
      <c r="AI844" s="20">
        <f>X844/Z844</f>
        <v>0.22222222222222221</v>
      </c>
      <c r="CH844">
        <v>3</v>
      </c>
      <c r="CI844">
        <v>40</v>
      </c>
    </row>
    <row r="845" spans="1:87" x14ac:dyDescent="0.3">
      <c r="A845" s="2">
        <v>1926</v>
      </c>
      <c r="B845" s="2" t="s">
        <v>0</v>
      </c>
      <c r="C845" s="2" t="s">
        <v>1303</v>
      </c>
      <c r="D845" s="2" t="s">
        <v>1383</v>
      </c>
      <c r="E845" s="2">
        <v>500</v>
      </c>
      <c r="F845" s="2">
        <v>2.6599999999999999E-2</v>
      </c>
      <c r="G845" s="2">
        <v>1.47E-2</v>
      </c>
      <c r="H845" s="4">
        <f t="shared" si="125"/>
        <v>0.44736842105263158</v>
      </c>
      <c r="I845" s="2" t="s">
        <v>73</v>
      </c>
      <c r="J845" s="2" t="s">
        <v>568</v>
      </c>
      <c r="K845" s="2" t="s">
        <v>1306</v>
      </c>
      <c r="L845" s="2" t="s">
        <v>96</v>
      </c>
      <c r="M845" s="163">
        <f t="shared" si="134"/>
        <v>10</v>
      </c>
      <c r="N845" s="163">
        <v>50</v>
      </c>
      <c r="O845" s="2">
        <v>24</v>
      </c>
      <c r="P845" s="6">
        <v>180.80717488789236</v>
      </c>
      <c r="Q845" s="131">
        <v>5.2</v>
      </c>
      <c r="R845" s="33">
        <f t="shared" si="126"/>
        <v>265.84615384615387</v>
      </c>
      <c r="S845" s="132">
        <f t="shared" si="133"/>
        <v>33.230769230769234</v>
      </c>
      <c r="T845" s="132">
        <f t="shared" si="127"/>
        <v>33.230769230769234</v>
      </c>
      <c r="U845" s="28">
        <f t="shared" si="123"/>
        <v>3.761574074074074</v>
      </c>
      <c r="V845" s="28">
        <f t="shared" si="131"/>
        <v>4.4253812636165577</v>
      </c>
      <c r="W845" s="15">
        <f t="shared" si="128"/>
        <v>0.83707025411061275</v>
      </c>
      <c r="X845" s="16">
        <v>116</v>
      </c>
      <c r="Y845" s="162">
        <f t="shared" si="129"/>
        <v>0.53703703703703709</v>
      </c>
      <c r="Z845" s="5">
        <f t="shared" si="130"/>
        <v>216</v>
      </c>
      <c r="AA845" s="5"/>
      <c r="AB845" s="5"/>
      <c r="AC845" s="5"/>
      <c r="AD845" s="29">
        <v>6</v>
      </c>
      <c r="AG845" s="20">
        <v>0.82311908320876914</v>
      </c>
      <c r="AI845" s="20">
        <f>X845/Z845</f>
        <v>0.53703703703703709</v>
      </c>
      <c r="CH845">
        <v>1</v>
      </c>
      <c r="CI845">
        <v>64</v>
      </c>
    </row>
    <row r="846" spans="1:87" x14ac:dyDescent="0.3">
      <c r="A846" s="2">
        <v>1988</v>
      </c>
      <c r="B846" s="2" t="s">
        <v>0</v>
      </c>
      <c r="C846" s="2" t="s">
        <v>1303</v>
      </c>
      <c r="D846" s="2" t="s">
        <v>1384</v>
      </c>
      <c r="E846" s="2">
        <v>200</v>
      </c>
      <c r="F846" s="2">
        <v>2.6599999999999999E-2</v>
      </c>
      <c r="G846" s="2">
        <v>1.47E-2</v>
      </c>
      <c r="H846" s="4">
        <f t="shared" si="125"/>
        <v>0.44736842105263158</v>
      </c>
      <c r="I846" s="2" t="s">
        <v>73</v>
      </c>
      <c r="J846" s="2" t="s">
        <v>568</v>
      </c>
      <c r="K846" s="2" t="s">
        <v>1382</v>
      </c>
      <c r="L846" s="2" t="s">
        <v>6</v>
      </c>
      <c r="M846" s="163">
        <f t="shared" si="134"/>
        <v>4</v>
      </c>
      <c r="N846" s="163">
        <v>50</v>
      </c>
      <c r="O846" s="2">
        <v>24</v>
      </c>
      <c r="P846" s="6">
        <f>180.807174887892*500/200</f>
        <v>452.01793721972996</v>
      </c>
      <c r="Q846" s="131">
        <v>5.2</v>
      </c>
      <c r="R846" s="33">
        <f t="shared" si="126"/>
        <v>664.61538461538464</v>
      </c>
      <c r="S846" s="132">
        <f t="shared" si="133"/>
        <v>83.07692307692308</v>
      </c>
      <c r="T846" s="132">
        <f t="shared" si="127"/>
        <v>83.07692307692308</v>
      </c>
      <c r="U846" s="28">
        <f t="shared" si="123"/>
        <v>1.5046296296296295</v>
      </c>
      <c r="V846" s="28">
        <f t="shared" si="131"/>
        <v>1.7701525054466229</v>
      </c>
      <c r="W846" s="15">
        <f t="shared" si="128"/>
        <v>0.83707025411061109</v>
      </c>
      <c r="X846" s="16">
        <v>116</v>
      </c>
      <c r="Y846" s="162">
        <f t="shared" si="129"/>
        <v>0.21481481481481482</v>
      </c>
      <c r="Z846" s="5">
        <f t="shared" si="130"/>
        <v>540</v>
      </c>
      <c r="AA846" s="5"/>
      <c r="AB846" s="5"/>
      <c r="AC846" s="5"/>
      <c r="AD846" s="29">
        <v>6</v>
      </c>
      <c r="AG846" s="20">
        <v>0.82311908320876914</v>
      </c>
      <c r="AI846" s="20">
        <f>X846/Z846</f>
        <v>0.21481481481481482</v>
      </c>
      <c r="CH846">
        <v>6</v>
      </c>
      <c r="CI846">
        <v>74</v>
      </c>
    </row>
    <row r="847" spans="1:87" x14ac:dyDescent="0.3">
      <c r="A847" s="23">
        <v>1986</v>
      </c>
      <c r="B847" s="2" t="s">
        <v>0</v>
      </c>
      <c r="C847" s="2" t="s">
        <v>1303</v>
      </c>
      <c r="D847" s="2" t="s">
        <v>1385</v>
      </c>
      <c r="E847" s="2">
        <v>200</v>
      </c>
      <c r="F847" s="2">
        <v>1.9300000000000001E-2</v>
      </c>
      <c r="G847" s="2">
        <v>1.11E-2</v>
      </c>
      <c r="H847" s="4">
        <f t="shared" si="125"/>
        <v>0.42487046632124353</v>
      </c>
      <c r="I847" s="2" t="s">
        <v>73</v>
      </c>
      <c r="J847" s="2" t="s">
        <v>1316</v>
      </c>
      <c r="K847" s="2" t="s">
        <v>1382</v>
      </c>
      <c r="L847" s="2" t="s">
        <v>6</v>
      </c>
      <c r="M847" s="163">
        <f t="shared" si="134"/>
        <v>4</v>
      </c>
      <c r="N847" s="163">
        <v>50</v>
      </c>
      <c r="O847" s="2">
        <v>24</v>
      </c>
      <c r="P847" s="6">
        <f>187.244582043344*500/200</f>
        <v>468.11145510836002</v>
      </c>
      <c r="Q847" s="131">
        <v>5.2</v>
      </c>
      <c r="R847" s="33">
        <f t="shared" si="126"/>
        <v>664.61538461538464</v>
      </c>
      <c r="S847" s="132">
        <f t="shared" si="133"/>
        <v>83.07692307692308</v>
      </c>
      <c r="T847" s="132">
        <f t="shared" si="127"/>
        <v>83.07692307692308</v>
      </c>
      <c r="U847" s="28">
        <f t="shared" si="123"/>
        <v>1.5046296296296295</v>
      </c>
      <c r="V847" s="28">
        <f t="shared" si="131"/>
        <v>1.7701525054466229</v>
      </c>
      <c r="W847" s="15">
        <f t="shared" si="128"/>
        <v>0.86687306501548156</v>
      </c>
      <c r="X847" s="16"/>
      <c r="Y847" s="162">
        <f t="shared" si="129"/>
        <v>0</v>
      </c>
      <c r="Z847" s="5">
        <f t="shared" si="130"/>
        <v>540</v>
      </c>
      <c r="AA847" s="5"/>
      <c r="AB847" s="5"/>
      <c r="AC847" s="5"/>
      <c r="AD847" s="29">
        <v>6</v>
      </c>
      <c r="AG847" s="20">
        <v>0.86687306501547989</v>
      </c>
      <c r="AI847" s="20"/>
      <c r="CH847">
        <v>6</v>
      </c>
      <c r="CI847">
        <v>44</v>
      </c>
    </row>
    <row r="848" spans="1:87" x14ac:dyDescent="0.3">
      <c r="A848" s="23">
        <v>1985</v>
      </c>
      <c r="B848" s="2" t="s">
        <v>0</v>
      </c>
      <c r="C848" s="2" t="s">
        <v>1303</v>
      </c>
      <c r="D848" s="2" t="s">
        <v>1386</v>
      </c>
      <c r="E848" s="2">
        <v>200</v>
      </c>
      <c r="F848" s="2">
        <v>2.3800000000000002E-2</v>
      </c>
      <c r="G848" s="2">
        <v>1.3899999999999999E-2</v>
      </c>
      <c r="H848" s="91">
        <f t="shared" si="125"/>
        <v>0.41596638655462193</v>
      </c>
      <c r="I848" s="2" t="s">
        <v>73</v>
      </c>
      <c r="J848" s="2" t="s">
        <v>1313</v>
      </c>
      <c r="K848" s="2" t="s">
        <v>1382</v>
      </c>
      <c r="L848" s="2" t="s">
        <v>6</v>
      </c>
      <c r="M848" s="163">
        <f t="shared" si="134"/>
        <v>4</v>
      </c>
      <c r="N848" s="163">
        <v>50</v>
      </c>
      <c r="O848" s="2">
        <v>24</v>
      </c>
      <c r="P848" s="6">
        <f>180*500/200</f>
        <v>450</v>
      </c>
      <c r="Q848" s="131">
        <v>5.2</v>
      </c>
      <c r="R848" s="33">
        <f t="shared" si="126"/>
        <v>664.61538461538464</v>
      </c>
      <c r="S848" s="132">
        <f t="shared" si="133"/>
        <v>83.07692307692308</v>
      </c>
      <c r="T848" s="132">
        <f t="shared" si="127"/>
        <v>83.07692307692308</v>
      </c>
      <c r="U848" s="28">
        <f t="shared" si="123"/>
        <v>1.5046296296296295</v>
      </c>
      <c r="V848" s="28">
        <f t="shared" si="131"/>
        <v>1.7701525054466229</v>
      </c>
      <c r="W848" s="15">
        <f t="shared" si="128"/>
        <v>0.83333333333333337</v>
      </c>
      <c r="X848" s="16">
        <v>116</v>
      </c>
      <c r="Y848" s="162">
        <f t="shared" si="129"/>
        <v>0.21481481481481482</v>
      </c>
      <c r="Z848" s="5">
        <f t="shared" si="130"/>
        <v>540</v>
      </c>
      <c r="AA848" s="5"/>
      <c r="AB848" s="5"/>
      <c r="AC848" s="5"/>
      <c r="AD848" s="29">
        <v>6</v>
      </c>
      <c r="AG848" s="20">
        <v>0.76080246913580241</v>
      </c>
      <c r="AI848" s="20">
        <f t="shared" ref="AI848:AI850" si="135">X848/Z848</f>
        <v>0.21481481481481482</v>
      </c>
      <c r="CH848">
        <v>3</v>
      </c>
      <c r="CI848">
        <v>68</v>
      </c>
    </row>
    <row r="849" spans="1:57" x14ac:dyDescent="0.3">
      <c r="A849" s="23">
        <v>1983</v>
      </c>
      <c r="B849" s="2" t="s">
        <v>0</v>
      </c>
      <c r="C849" s="2" t="s">
        <v>1303</v>
      </c>
      <c r="D849" s="2" t="s">
        <v>1387</v>
      </c>
      <c r="E849" s="2">
        <v>200</v>
      </c>
      <c r="F849" s="2">
        <v>1.7000000000000001E-2</v>
      </c>
      <c r="G849" s="2">
        <v>0.01</v>
      </c>
      <c r="H849" s="4">
        <f t="shared" si="125"/>
        <v>0.41176470588235298</v>
      </c>
      <c r="I849" s="2" t="s">
        <v>73</v>
      </c>
      <c r="J849" s="2" t="s">
        <v>1305</v>
      </c>
      <c r="K849" s="2" t="s">
        <v>1382</v>
      </c>
      <c r="L849" s="2" t="s">
        <v>6</v>
      </c>
      <c r="M849" s="163">
        <f t="shared" si="134"/>
        <v>4</v>
      </c>
      <c r="N849" s="163">
        <v>50</v>
      </c>
      <c r="O849" s="2">
        <v>24</v>
      </c>
      <c r="P849" s="6">
        <f>180*500/200</f>
        <v>450</v>
      </c>
      <c r="Q849" s="131">
        <v>5.2</v>
      </c>
      <c r="R849" s="33">
        <f t="shared" si="126"/>
        <v>664.61538461538464</v>
      </c>
      <c r="S849" s="132">
        <f t="shared" si="133"/>
        <v>83.07692307692308</v>
      </c>
      <c r="T849" s="132">
        <f t="shared" si="127"/>
        <v>83.07692307692308</v>
      </c>
      <c r="U849" s="28">
        <f t="shared" si="123"/>
        <v>1.5046296296296295</v>
      </c>
      <c r="V849" s="28">
        <f t="shared" si="131"/>
        <v>1.7701525054466229</v>
      </c>
      <c r="W849" s="15">
        <f t="shared" si="128"/>
        <v>0.83333333333333337</v>
      </c>
      <c r="X849" s="16">
        <v>125</v>
      </c>
      <c r="Y849" s="162">
        <f t="shared" si="129"/>
        <v>0.23148148148148148</v>
      </c>
      <c r="Z849" s="5">
        <f t="shared" si="130"/>
        <v>540</v>
      </c>
      <c r="AA849" s="5"/>
      <c r="AB849" s="5"/>
      <c r="AC849" s="5"/>
      <c r="AD849" s="29">
        <v>6</v>
      </c>
      <c r="AG849" s="20">
        <v>0.83333333333333337</v>
      </c>
      <c r="AI849" s="20">
        <f t="shared" si="135"/>
        <v>0.23148148148148148</v>
      </c>
    </row>
    <row r="850" spans="1:57" x14ac:dyDescent="0.3">
      <c r="A850" s="23">
        <v>1984</v>
      </c>
      <c r="B850" s="2" t="s">
        <v>0</v>
      </c>
      <c r="C850" s="2" t="s">
        <v>1303</v>
      </c>
      <c r="D850" s="2" t="s">
        <v>1388</v>
      </c>
      <c r="E850" s="2">
        <v>200</v>
      </c>
      <c r="F850" s="2">
        <v>1.8700000000000001E-2</v>
      </c>
      <c r="G850" s="2">
        <v>1.1299999999999999E-2</v>
      </c>
      <c r="H850" s="4">
        <f t="shared" si="125"/>
        <v>0.39572192513368992</v>
      </c>
      <c r="I850" s="2" t="s">
        <v>73</v>
      </c>
      <c r="J850" s="2" t="s">
        <v>1310</v>
      </c>
      <c r="K850" s="2" t="s">
        <v>1382</v>
      </c>
      <c r="L850" s="2" t="s">
        <v>6</v>
      </c>
      <c r="M850" s="163">
        <f t="shared" si="134"/>
        <v>4</v>
      </c>
      <c r="N850" s="163">
        <v>50</v>
      </c>
      <c r="O850" s="2">
        <v>24</v>
      </c>
      <c r="P850" s="6">
        <f>180*500/200</f>
        <v>450</v>
      </c>
      <c r="Q850" s="131">
        <v>5.2</v>
      </c>
      <c r="R850" s="33">
        <f t="shared" si="126"/>
        <v>664.61538461538464</v>
      </c>
      <c r="S850" s="132">
        <f t="shared" si="133"/>
        <v>83.07692307692308</v>
      </c>
      <c r="T850" s="132">
        <f t="shared" si="127"/>
        <v>83.07692307692308</v>
      </c>
      <c r="U850" s="28">
        <f t="shared" si="123"/>
        <v>1.5046296296296295</v>
      </c>
      <c r="V850" s="28">
        <f t="shared" si="131"/>
        <v>1.7701525054466229</v>
      </c>
      <c r="W850" s="15">
        <f t="shared" si="128"/>
        <v>0.83333333333333337</v>
      </c>
      <c r="X850" s="16">
        <v>120</v>
      </c>
      <c r="Y850" s="162">
        <f t="shared" ref="Y850" si="136">X850/Z850</f>
        <v>0.22222222222222221</v>
      </c>
      <c r="Z850" s="5">
        <f t="shared" si="130"/>
        <v>540</v>
      </c>
      <c r="AA850" s="5"/>
      <c r="AB850" s="5"/>
      <c r="AC850" s="5"/>
      <c r="AD850" s="29">
        <v>6</v>
      </c>
      <c r="AG850" s="20">
        <v>0.81944444444444442</v>
      </c>
      <c r="AI850" s="20">
        <f t="shared" si="135"/>
        <v>0.22222222222222221</v>
      </c>
    </row>
    <row r="851" spans="1:57" x14ac:dyDescent="0.3">
      <c r="P851" s="5">
        <f>1000/110</f>
        <v>9.0909090909090917</v>
      </c>
    </row>
    <row r="853" spans="1:57" x14ac:dyDescent="0.3">
      <c r="H853"/>
      <c r="P853" s="1"/>
    </row>
    <row r="854" spans="1:57" x14ac:dyDescent="0.3">
      <c r="H854"/>
      <c r="S854" s="5" t="s">
        <v>1390</v>
      </c>
    </row>
    <row r="855" spans="1:57" x14ac:dyDescent="0.3">
      <c r="H855"/>
    </row>
    <row r="856" spans="1:57" x14ac:dyDescent="0.3">
      <c r="H856"/>
      <c r="S856" s="5" t="s">
        <v>1391</v>
      </c>
    </row>
    <row r="857" spans="1:57" x14ac:dyDescent="0.3">
      <c r="H857"/>
    </row>
    <row r="858" spans="1:57" x14ac:dyDescent="0.3">
      <c r="H858"/>
    </row>
    <row r="859" spans="1:57" x14ac:dyDescent="0.3">
      <c r="H859"/>
    </row>
    <row r="860" spans="1:57" x14ac:dyDescent="0.3">
      <c r="H860"/>
      <c r="Q860"/>
      <c r="R860"/>
      <c r="S860"/>
      <c r="T860"/>
      <c r="V860"/>
      <c r="BE860"/>
    </row>
    <row r="861" spans="1:57" x14ac:dyDescent="0.3">
      <c r="H861"/>
    </row>
    <row r="862" spans="1:57" x14ac:dyDescent="0.3">
      <c r="H862"/>
    </row>
    <row r="863" spans="1:57" x14ac:dyDescent="0.3">
      <c r="H863"/>
    </row>
    <row r="864" spans="1:57" x14ac:dyDescent="0.3">
      <c r="H864"/>
    </row>
    <row r="865" spans="8:8" x14ac:dyDescent="0.3">
      <c r="H865"/>
    </row>
    <row r="866" spans="8:8" x14ac:dyDescent="0.3">
      <c r="H866"/>
    </row>
    <row r="867" spans="8:8" x14ac:dyDescent="0.3">
      <c r="H867"/>
    </row>
    <row r="868" spans="8:8" x14ac:dyDescent="0.3">
      <c r="H868"/>
    </row>
    <row r="869" spans="8:8" x14ac:dyDescent="0.3">
      <c r="H869"/>
    </row>
    <row r="870" spans="8:8" x14ac:dyDescent="0.3">
      <c r="H870"/>
    </row>
    <row r="871" spans="8:8" x14ac:dyDescent="0.3">
      <c r="H871"/>
    </row>
    <row r="1048568" spans="10:11" x14ac:dyDescent="0.3">
      <c r="J1048568">
        <f>15.8</f>
        <v>15.8</v>
      </c>
      <c r="K1048568">
        <v>250</v>
      </c>
    </row>
    <row r="1048569" spans="10:11" x14ac:dyDescent="0.3">
      <c r="J1048569">
        <v>10</v>
      </c>
      <c r="K1048569">
        <f>K1048568*J1048569/J1048568</f>
        <v>158.22784810126581</v>
      </c>
    </row>
  </sheetData>
  <autoFilter ref="A3:CG245" xr:uid="{F322AE4B-4842-43CB-BD1D-0450F2317926}"/>
  <sortState xmlns:xlrd2="http://schemas.microsoft.com/office/spreadsheetml/2017/richdata2" ref="X7:AF88">
    <sortCondition ref="X7:X88"/>
  </sortState>
  <phoneticPr fontId="19" type="noConversion"/>
  <conditionalFormatting sqref="R4:R244 R807:R850">
    <cfRule type="expression" dxfId="1" priority="3">
      <formula>R4&lt;P4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0B03-A1E8-4572-9A2D-F739372A06D3}">
  <dimension ref="A1:CJ1048576"/>
  <sheetViews>
    <sheetView zoomScaleNormal="100" workbookViewId="0">
      <pane ySplit="3" topLeftCell="A246" activePane="bottomLeft" state="frozen"/>
      <selection pane="bottomLeft" activeCell="A246" sqref="A246"/>
    </sheetView>
  </sheetViews>
  <sheetFormatPr defaultColWidth="11.44140625" defaultRowHeight="14.4" x14ac:dyDescent="0.3"/>
  <cols>
    <col min="1" max="1" width="5.44140625" bestFit="1" customWidth="1"/>
    <col min="2" max="2" width="14" bestFit="1" customWidth="1"/>
    <col min="3" max="3" width="8.5546875" customWidth="1"/>
    <col min="4" max="4" width="32.33203125" customWidth="1"/>
    <col min="5" max="6" width="11.33203125" hidden="1" customWidth="1"/>
    <col min="7" max="7" width="16.6640625" hidden="1" customWidth="1"/>
    <col min="8" max="8" width="14.5546875" style="1" hidden="1" customWidth="1"/>
    <col min="9" max="9" width="12.6640625" hidden="1" customWidth="1"/>
    <col min="10" max="10" width="32.6640625" hidden="1" customWidth="1"/>
    <col min="11" max="11" width="23" hidden="1" customWidth="1"/>
    <col min="12" max="12" width="31" hidden="1" customWidth="1"/>
    <col min="13" max="13" width="29.44140625" hidden="1" customWidth="1"/>
    <col min="14" max="14" width="12.109375" hidden="1" customWidth="1"/>
    <col min="15" max="15" width="6.88671875" customWidth="1"/>
    <col min="16" max="16" width="12" style="5" customWidth="1"/>
    <col min="17" max="18" width="12" style="5" hidden="1" customWidth="1"/>
    <col min="19" max="20" width="11.44140625" style="5" hidden="1" customWidth="1"/>
    <col min="21" max="21" width="11.44140625" hidden="1" customWidth="1"/>
    <col min="22" max="22" width="11.44140625" style="5" hidden="1" customWidth="1"/>
    <col min="23" max="24" width="11.44140625" hidden="1" customWidth="1"/>
    <col min="25" max="25" width="11.44140625" style="157" hidden="1" customWidth="1"/>
    <col min="26" max="55" width="11.44140625" hidden="1" customWidth="1"/>
    <col min="56" max="56" width="0" hidden="1" customWidth="1"/>
    <col min="57" max="57" width="5.33203125" style="108" hidden="1" customWidth="1"/>
    <col min="58" max="85" width="0" hidden="1" customWidth="1"/>
  </cols>
  <sheetData>
    <row r="1" spans="1:86" x14ac:dyDescent="0.3">
      <c r="H1"/>
      <c r="P1"/>
      <c r="Q1"/>
      <c r="R1"/>
      <c r="S1"/>
      <c r="T1"/>
      <c r="V1"/>
      <c r="W1" s="13" t="s">
        <v>19</v>
      </c>
      <c r="X1">
        <f>COUNT(O251:O788)</f>
        <v>538</v>
      </c>
      <c r="Y1" s="157" t="s">
        <v>20</v>
      </c>
      <c r="Z1">
        <f>COUNT(W251:W788)</f>
        <v>88</v>
      </c>
      <c r="AD1" s="14">
        <f>Z1/X1</f>
        <v>0.16356877323420074</v>
      </c>
      <c r="AG1" t="s">
        <v>21</v>
      </c>
      <c r="AH1">
        <f>COUNT(A4:A237)</f>
        <v>234</v>
      </c>
      <c r="AI1" t="s">
        <v>20</v>
      </c>
      <c r="AJ1">
        <f>COUNT(AE4:AE237)</f>
        <v>43</v>
      </c>
      <c r="AK1" s="20">
        <f>AJ1/AH1</f>
        <v>0.18376068376068377</v>
      </c>
    </row>
    <row r="2" spans="1:86" hidden="1" x14ac:dyDescent="0.3">
      <c r="A2">
        <v>338</v>
      </c>
      <c r="D2" t="s">
        <v>22</v>
      </c>
      <c r="J2" s="92"/>
      <c r="W2" s="10"/>
      <c r="X2" s="11" t="s">
        <v>23</v>
      </c>
      <c r="Y2" s="158"/>
      <c r="Z2" s="12"/>
    </row>
    <row r="3" spans="1:86" ht="57.6" hidden="1" x14ac:dyDescent="0.3">
      <c r="A3" s="2">
        <v>25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3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156" t="s">
        <v>35</v>
      </c>
      <c r="N3" s="156" t="s">
        <v>36</v>
      </c>
      <c r="O3" s="2" t="s">
        <v>37</v>
      </c>
      <c r="P3" s="6" t="s">
        <v>16</v>
      </c>
      <c r="Q3" s="133" t="s">
        <v>38</v>
      </c>
      <c r="R3" s="133" t="s">
        <v>39</v>
      </c>
      <c r="S3" s="133" t="s">
        <v>40</v>
      </c>
      <c r="T3" s="133" t="s">
        <v>40</v>
      </c>
      <c r="U3" s="165" t="s">
        <v>41</v>
      </c>
      <c r="V3" s="111" t="s">
        <v>42</v>
      </c>
      <c r="W3" s="2" t="s">
        <v>43</v>
      </c>
      <c r="X3" s="2" t="s">
        <v>16</v>
      </c>
      <c r="Y3" s="159" t="s">
        <v>44</v>
      </c>
      <c r="Z3" s="2" t="s">
        <v>45</v>
      </c>
      <c r="AA3" s="21"/>
      <c r="AB3" s="21"/>
      <c r="AC3" s="21"/>
      <c r="AD3" s="21" t="s">
        <v>44</v>
      </c>
      <c r="AE3" s="21" t="s">
        <v>46</v>
      </c>
      <c r="AF3" s="21" t="s">
        <v>47</v>
      </c>
      <c r="AG3" s="21" t="s">
        <v>48</v>
      </c>
      <c r="AH3" s="21" t="s">
        <v>49</v>
      </c>
      <c r="AI3" s="21" t="s">
        <v>50</v>
      </c>
      <c r="AJ3" s="21" t="s">
        <v>51</v>
      </c>
      <c r="AK3" s="21" t="s">
        <v>52</v>
      </c>
      <c r="AL3" s="21" t="s">
        <v>53</v>
      </c>
      <c r="AM3" s="21" t="s">
        <v>54</v>
      </c>
      <c r="AN3" s="21" t="s">
        <v>55</v>
      </c>
      <c r="AO3" s="21" t="s">
        <v>56</v>
      </c>
      <c r="AP3" s="21" t="s">
        <v>57</v>
      </c>
      <c r="AQ3" s="21" t="s">
        <v>58</v>
      </c>
      <c r="AR3" s="21" t="s">
        <v>59</v>
      </c>
      <c r="AS3" s="21" t="s">
        <v>60</v>
      </c>
      <c r="AT3" s="21" t="s">
        <v>61</v>
      </c>
      <c r="AU3" s="21" t="s">
        <v>62</v>
      </c>
      <c r="AV3" s="21" t="s">
        <v>63</v>
      </c>
      <c r="AW3" s="21" t="s">
        <v>64</v>
      </c>
      <c r="AX3" s="21" t="s">
        <v>65</v>
      </c>
      <c r="AY3" s="21" t="s">
        <v>66</v>
      </c>
      <c r="AZ3" s="21" t="s">
        <v>67</v>
      </c>
      <c r="BA3" s="21" t="s">
        <v>68</v>
      </c>
      <c r="BB3" s="21" t="s">
        <v>69</v>
      </c>
      <c r="BC3" s="21" t="s">
        <v>70</v>
      </c>
      <c r="BD3" s="21" t="s">
        <v>71</v>
      </c>
      <c r="BF3" t="s">
        <v>45</v>
      </c>
      <c r="BG3" s="94" t="s">
        <v>44</v>
      </c>
      <c r="BH3" s="21" t="s">
        <v>46</v>
      </c>
      <c r="BI3" s="21" t="s">
        <v>47</v>
      </c>
      <c r="BJ3" s="21" t="s">
        <v>48</v>
      </c>
      <c r="BK3" s="21" t="s">
        <v>49</v>
      </c>
      <c r="BL3" s="21" t="s">
        <v>50</v>
      </c>
      <c r="BM3" s="21" t="s">
        <v>51</v>
      </c>
      <c r="BN3" s="21" t="s">
        <v>52</v>
      </c>
      <c r="BO3" s="21" t="s">
        <v>53</v>
      </c>
      <c r="BP3" s="21" t="s">
        <v>54</v>
      </c>
      <c r="BQ3" s="21" t="s">
        <v>55</v>
      </c>
      <c r="BR3" s="21" t="s">
        <v>56</v>
      </c>
      <c r="BS3" s="21" t="s">
        <v>57</v>
      </c>
      <c r="BT3" s="21" t="s">
        <v>58</v>
      </c>
      <c r="BU3" s="21" t="s">
        <v>59</v>
      </c>
      <c r="BV3" s="21" t="s">
        <v>60</v>
      </c>
      <c r="BW3" s="21" t="s">
        <v>61</v>
      </c>
      <c r="BX3" s="21" t="s">
        <v>62</v>
      </c>
      <c r="BY3" s="21" t="s">
        <v>63</v>
      </c>
      <c r="BZ3" s="21" t="s">
        <v>64</v>
      </c>
      <c r="CA3" s="21" t="s">
        <v>65</v>
      </c>
      <c r="CB3" s="21" t="s">
        <v>66</v>
      </c>
      <c r="CC3" s="21" t="s">
        <v>67</v>
      </c>
      <c r="CD3" s="21" t="s">
        <v>68</v>
      </c>
      <c r="CE3" s="21" t="s">
        <v>69</v>
      </c>
      <c r="CF3" s="21" t="s">
        <v>70</v>
      </c>
      <c r="CG3" s="172" t="s">
        <v>71</v>
      </c>
      <c r="CH3" s="2" t="s">
        <v>1392</v>
      </c>
    </row>
    <row r="4" spans="1:86" hidden="1" x14ac:dyDescent="0.3">
      <c r="A4" s="23">
        <v>338</v>
      </c>
      <c r="B4" s="2" t="s">
        <v>0</v>
      </c>
      <c r="C4" s="2" t="s">
        <v>21</v>
      </c>
      <c r="D4" s="2" t="s">
        <v>72</v>
      </c>
      <c r="E4" s="2">
        <v>1200</v>
      </c>
      <c r="F4" s="2">
        <v>1.6199999999999999E-2</v>
      </c>
      <c r="G4" s="2">
        <v>1.35E-2</v>
      </c>
      <c r="H4" s="4">
        <f t="shared" ref="H4:H67" si="0">(F4-G4)/F4</f>
        <v>0.16666666666666663</v>
      </c>
      <c r="I4" s="2" t="s">
        <v>73</v>
      </c>
      <c r="J4" s="2" t="s">
        <v>74</v>
      </c>
      <c r="K4" s="2" t="s">
        <v>75</v>
      </c>
      <c r="L4" s="2" t="s">
        <v>76</v>
      </c>
      <c r="M4" s="155" t="s">
        <v>77</v>
      </c>
      <c r="N4" s="155"/>
      <c r="O4" s="2">
        <v>6</v>
      </c>
      <c r="P4" s="6">
        <v>17</v>
      </c>
      <c r="Q4" s="132">
        <f>IFERROR(IF(AO4&gt;1,AO4,60*60*8*O4/P4/E4),"")</f>
        <v>6.3</v>
      </c>
      <c r="R4" s="33">
        <f t="shared" ref="R4:R67" si="1">IFERROR(60*60*8*O4/E4/Q4,"")</f>
        <v>22.857142857142858</v>
      </c>
      <c r="S4" s="132">
        <f t="shared" ref="S4:S47" si="2">IFERROR(R4/8,"")</f>
        <v>2.8571428571428572</v>
      </c>
      <c r="T4" s="132">
        <f t="shared" ref="T4:T67" si="3">IFERROR(IF(R4&gt;2,S4,""),"")</f>
        <v>2.8571428571428572</v>
      </c>
      <c r="W4" s="13"/>
      <c r="AD4" s="24">
        <v>45612</v>
      </c>
      <c r="AE4">
        <v>12</v>
      </c>
      <c r="AF4">
        <v>1.6</v>
      </c>
      <c r="AG4">
        <v>0.3</v>
      </c>
      <c r="AH4">
        <v>1.6</v>
      </c>
      <c r="AI4">
        <v>0.4</v>
      </c>
      <c r="AJ4">
        <v>0.12</v>
      </c>
      <c r="AK4">
        <v>0.18</v>
      </c>
      <c r="AL4">
        <v>0.7</v>
      </c>
      <c r="AM4">
        <v>0.6</v>
      </c>
      <c r="AN4">
        <v>0.3</v>
      </c>
      <c r="AO4">
        <v>6.3</v>
      </c>
      <c r="AP4">
        <v>56</v>
      </c>
      <c r="AQ4">
        <v>110</v>
      </c>
      <c r="AR4">
        <v>115</v>
      </c>
      <c r="AS4">
        <v>110</v>
      </c>
      <c r="AT4">
        <v>37</v>
      </c>
      <c r="AU4">
        <v>30</v>
      </c>
      <c r="AV4">
        <v>35</v>
      </c>
      <c r="AW4">
        <v>42</v>
      </c>
      <c r="AX4">
        <v>51</v>
      </c>
      <c r="AY4">
        <v>451</v>
      </c>
      <c r="AZ4" t="s">
        <v>78</v>
      </c>
      <c r="BA4">
        <v>2000</v>
      </c>
      <c r="BB4">
        <v>14</v>
      </c>
      <c r="CH4" s="2"/>
    </row>
    <row r="5" spans="1:86" hidden="1" x14ac:dyDescent="0.3">
      <c r="A5" s="23">
        <v>398</v>
      </c>
      <c r="B5" s="2" t="s">
        <v>0</v>
      </c>
      <c r="C5" s="2" t="s">
        <v>21</v>
      </c>
      <c r="D5" s="2" t="s">
        <v>79</v>
      </c>
      <c r="E5" s="2">
        <v>1600</v>
      </c>
      <c r="F5" s="2">
        <v>1.2800000000000001E-2</v>
      </c>
      <c r="G5" s="2">
        <v>1.03E-2</v>
      </c>
      <c r="H5" s="4">
        <f t="shared" si="0"/>
        <v>0.19531250000000003</v>
      </c>
      <c r="I5" s="2" t="s">
        <v>73</v>
      </c>
      <c r="J5" s="2" t="s">
        <v>80</v>
      </c>
      <c r="K5" s="2" t="s">
        <v>75</v>
      </c>
      <c r="L5" s="2" t="s">
        <v>76</v>
      </c>
      <c r="M5" s="155"/>
      <c r="N5" s="155"/>
      <c r="O5" s="2">
        <v>6</v>
      </c>
      <c r="P5" s="6">
        <v>12</v>
      </c>
      <c r="Q5" s="132">
        <v>6.3</v>
      </c>
      <c r="R5" s="33">
        <f t="shared" si="1"/>
        <v>17.142857142857142</v>
      </c>
      <c r="S5" s="132">
        <f t="shared" si="2"/>
        <v>2.1428571428571428</v>
      </c>
      <c r="T5" s="132">
        <f t="shared" si="3"/>
        <v>2.1428571428571428</v>
      </c>
      <c r="W5" s="13"/>
      <c r="AD5" s="24">
        <v>45622</v>
      </c>
      <c r="AE5">
        <v>12</v>
      </c>
      <c r="AF5">
        <v>1.7</v>
      </c>
      <c r="AG5">
        <v>0.5</v>
      </c>
      <c r="AH5">
        <v>1.5</v>
      </c>
      <c r="AI5">
        <v>0.5</v>
      </c>
      <c r="AJ5">
        <v>0.17</v>
      </c>
      <c r="AK5">
        <v>0.25</v>
      </c>
      <c r="AL5">
        <v>0.5</v>
      </c>
      <c r="AM5">
        <v>0.6</v>
      </c>
      <c r="AN5">
        <v>0.45</v>
      </c>
      <c r="AO5">
        <v>6.6</v>
      </c>
      <c r="AP5">
        <v>46</v>
      </c>
      <c r="AQ5">
        <v>104</v>
      </c>
      <c r="AR5">
        <v>105</v>
      </c>
      <c r="AS5">
        <v>105</v>
      </c>
      <c r="AT5">
        <v>45</v>
      </c>
      <c r="AU5">
        <v>30</v>
      </c>
      <c r="AV5">
        <v>35</v>
      </c>
      <c r="AW5">
        <v>42</v>
      </c>
      <c r="AX5">
        <v>51</v>
      </c>
      <c r="AY5">
        <v>459</v>
      </c>
      <c r="AZ5" t="s">
        <v>78</v>
      </c>
      <c r="BA5">
        <v>1400</v>
      </c>
      <c r="BB5">
        <v>14</v>
      </c>
      <c r="CH5" s="2"/>
    </row>
    <row r="6" spans="1:86" hidden="1" x14ac:dyDescent="0.3">
      <c r="A6" s="2">
        <v>723</v>
      </c>
      <c r="B6" s="2" t="s">
        <v>0</v>
      </c>
      <c r="C6" s="2" t="s">
        <v>21</v>
      </c>
      <c r="D6" s="2" t="s">
        <v>81</v>
      </c>
      <c r="E6" s="2">
        <v>1320</v>
      </c>
      <c r="F6" s="2">
        <v>8.3999999999999995E-3</v>
      </c>
      <c r="G6" s="2">
        <v>6.3E-3</v>
      </c>
      <c r="H6" s="4">
        <f t="shared" si="0"/>
        <v>0.24999999999999994</v>
      </c>
      <c r="I6" s="2" t="s">
        <v>82</v>
      </c>
      <c r="J6" s="2" t="s">
        <v>83</v>
      </c>
      <c r="K6" s="2" t="s">
        <v>5</v>
      </c>
      <c r="L6" s="2" t="s">
        <v>6</v>
      </c>
      <c r="M6" s="155"/>
      <c r="N6" s="155"/>
      <c r="O6" s="2">
        <v>12</v>
      </c>
      <c r="P6" s="6">
        <v>18</v>
      </c>
      <c r="Q6" s="132">
        <f t="shared" ref="Q6:Q65" si="4">IFERROR(IF(AO6&gt;1,AO6,60*60*8*O6/P6/E6),"")</f>
        <v>14.545454545454545</v>
      </c>
      <c r="R6" s="33">
        <f t="shared" si="1"/>
        <v>18</v>
      </c>
      <c r="S6" s="132">
        <f t="shared" si="2"/>
        <v>2.25</v>
      </c>
      <c r="T6" s="132">
        <f t="shared" si="3"/>
        <v>2.25</v>
      </c>
      <c r="W6" s="13"/>
      <c r="CH6" s="2"/>
    </row>
    <row r="7" spans="1:86" hidden="1" x14ac:dyDescent="0.3">
      <c r="A7" s="2">
        <v>724</v>
      </c>
      <c r="B7" s="2" t="s">
        <v>84</v>
      </c>
      <c r="C7" s="2" t="s">
        <v>21</v>
      </c>
      <c r="D7" s="123" t="s">
        <v>85</v>
      </c>
      <c r="E7" s="2">
        <v>1320</v>
      </c>
      <c r="F7" s="2">
        <v>7.4000000000000003E-3</v>
      </c>
      <c r="G7" s="2">
        <v>5.5999999999999999E-3</v>
      </c>
      <c r="H7" s="4">
        <f t="shared" si="0"/>
        <v>0.24324324324324328</v>
      </c>
      <c r="I7" s="123" t="s">
        <v>86</v>
      </c>
      <c r="J7" s="2" t="s">
        <v>87</v>
      </c>
      <c r="K7" s="2" t="s">
        <v>5</v>
      </c>
      <c r="L7" s="2" t="s">
        <v>6</v>
      </c>
      <c r="M7" s="155"/>
      <c r="N7" s="155"/>
      <c r="O7" s="2">
        <v>12</v>
      </c>
      <c r="P7" s="6"/>
      <c r="Q7" s="132" t="str">
        <f t="shared" si="4"/>
        <v/>
      </c>
      <c r="R7" s="33" t="str">
        <f t="shared" si="1"/>
        <v/>
      </c>
      <c r="S7" s="132" t="str">
        <f t="shared" si="2"/>
        <v/>
      </c>
      <c r="T7" s="132" t="str">
        <f t="shared" si="3"/>
        <v/>
      </c>
      <c r="W7" s="13"/>
      <c r="CH7" s="2"/>
    </row>
    <row r="8" spans="1:86" hidden="1" x14ac:dyDescent="0.3">
      <c r="A8" s="23">
        <v>1909</v>
      </c>
      <c r="B8" s="2" t="s">
        <v>0</v>
      </c>
      <c r="C8" s="2" t="s">
        <v>21</v>
      </c>
      <c r="D8" s="2" t="s">
        <v>88</v>
      </c>
      <c r="E8" s="2">
        <v>400</v>
      </c>
      <c r="F8" s="2">
        <v>1.09E-2</v>
      </c>
      <c r="G8" s="2">
        <v>8.3999999999999995E-3</v>
      </c>
      <c r="H8" s="4">
        <f t="shared" si="0"/>
        <v>0.22935779816513766</v>
      </c>
      <c r="I8" s="2" t="s">
        <v>82</v>
      </c>
      <c r="J8" s="2" t="s">
        <v>89</v>
      </c>
      <c r="K8" s="2" t="s">
        <v>90</v>
      </c>
      <c r="L8" s="2" t="s">
        <v>6</v>
      </c>
      <c r="M8" s="155"/>
      <c r="N8" s="155"/>
      <c r="O8" s="2">
        <v>9</v>
      </c>
      <c r="P8" s="6">
        <v>90</v>
      </c>
      <c r="Q8" s="132">
        <f t="shared" si="4"/>
        <v>5</v>
      </c>
      <c r="R8" s="33">
        <f t="shared" si="1"/>
        <v>129.6</v>
      </c>
      <c r="S8" s="132">
        <f t="shared" si="2"/>
        <v>16.2</v>
      </c>
      <c r="T8" s="132">
        <f t="shared" si="3"/>
        <v>16.2</v>
      </c>
      <c r="W8" s="13"/>
      <c r="AD8" s="24">
        <v>45519</v>
      </c>
      <c r="AE8">
        <v>14</v>
      </c>
      <c r="AF8">
        <v>1</v>
      </c>
      <c r="AG8">
        <v>0.1</v>
      </c>
      <c r="AH8">
        <v>1</v>
      </c>
      <c r="AI8">
        <v>0.2</v>
      </c>
      <c r="AJ8">
        <v>0.75</v>
      </c>
      <c r="AK8">
        <v>0.15</v>
      </c>
      <c r="AL8">
        <v>0.19</v>
      </c>
      <c r="AM8">
        <v>0.75</v>
      </c>
      <c r="AN8">
        <v>0.4</v>
      </c>
      <c r="AO8">
        <v>5</v>
      </c>
      <c r="AP8">
        <v>58</v>
      </c>
      <c r="AQ8">
        <v>110</v>
      </c>
      <c r="AR8">
        <v>112</v>
      </c>
      <c r="AS8">
        <v>112</v>
      </c>
      <c r="AT8">
        <v>40</v>
      </c>
      <c r="AU8">
        <v>20</v>
      </c>
      <c r="AV8">
        <v>40</v>
      </c>
      <c r="AW8">
        <v>20</v>
      </c>
      <c r="AX8">
        <v>70</v>
      </c>
      <c r="AY8">
        <v>465</v>
      </c>
      <c r="AZ8" s="13" t="s">
        <v>78</v>
      </c>
      <c r="BA8">
        <v>1100</v>
      </c>
      <c r="BB8">
        <v>10</v>
      </c>
      <c r="CH8" s="2"/>
    </row>
    <row r="9" spans="1:86" hidden="1" x14ac:dyDescent="0.3">
      <c r="A9" s="2">
        <v>1934</v>
      </c>
      <c r="B9" s="2" t="s">
        <v>0</v>
      </c>
      <c r="C9" s="2" t="s">
        <v>21</v>
      </c>
      <c r="D9" s="2" t="s">
        <v>91</v>
      </c>
      <c r="E9" s="2">
        <v>400</v>
      </c>
      <c r="F9" s="2">
        <v>0.01</v>
      </c>
      <c r="G9" s="2">
        <v>6.7999999999999996E-3</v>
      </c>
      <c r="H9" s="4">
        <f t="shared" si="0"/>
        <v>0.32000000000000006</v>
      </c>
      <c r="I9" s="2" t="s">
        <v>82</v>
      </c>
      <c r="J9" s="2" t="s">
        <v>92</v>
      </c>
      <c r="K9" s="2" t="s">
        <v>90</v>
      </c>
      <c r="L9" s="2" t="s">
        <v>6</v>
      </c>
      <c r="M9" s="155">
        <v>4</v>
      </c>
      <c r="N9" s="155">
        <v>100</v>
      </c>
      <c r="O9" s="2">
        <v>9</v>
      </c>
      <c r="P9" s="6">
        <v>25</v>
      </c>
      <c r="Q9" s="132">
        <f t="shared" si="4"/>
        <v>25.92</v>
      </c>
      <c r="R9" s="33">
        <f t="shared" si="1"/>
        <v>25</v>
      </c>
      <c r="S9" s="132">
        <f t="shared" si="2"/>
        <v>3.125</v>
      </c>
      <c r="T9" s="132">
        <f t="shared" si="3"/>
        <v>3.125</v>
      </c>
      <c r="W9" s="13"/>
      <c r="CH9" s="2"/>
    </row>
    <row r="10" spans="1:86" hidden="1" x14ac:dyDescent="0.3">
      <c r="A10" s="2">
        <v>727</v>
      </c>
      <c r="B10" s="2" t="s">
        <v>0</v>
      </c>
      <c r="C10" s="2" t="s">
        <v>21</v>
      </c>
      <c r="D10" s="123" t="s">
        <v>93</v>
      </c>
      <c r="E10" s="2">
        <v>800</v>
      </c>
      <c r="F10" s="2">
        <v>8.6E-3</v>
      </c>
      <c r="G10" s="2">
        <v>6.0000000000000001E-3</v>
      </c>
      <c r="H10" s="4">
        <f t="shared" si="0"/>
        <v>0.30232558139534882</v>
      </c>
      <c r="I10" s="123" t="s">
        <v>86</v>
      </c>
      <c r="J10" s="2" t="s">
        <v>94</v>
      </c>
      <c r="K10" s="2" t="s">
        <v>95</v>
      </c>
      <c r="L10" s="2" t="s">
        <v>96</v>
      </c>
      <c r="M10" s="155"/>
      <c r="N10" s="155"/>
      <c r="O10" s="2">
        <v>9</v>
      </c>
      <c r="P10" s="6">
        <v>20</v>
      </c>
      <c r="Q10" s="132">
        <f t="shared" si="4"/>
        <v>16.2</v>
      </c>
      <c r="R10" s="33">
        <f t="shared" si="1"/>
        <v>20</v>
      </c>
      <c r="S10" s="132">
        <f t="shared" si="2"/>
        <v>2.5</v>
      </c>
      <c r="T10" s="132">
        <f t="shared" si="3"/>
        <v>2.5</v>
      </c>
      <c r="W10" s="13"/>
      <c r="CH10" s="2"/>
    </row>
    <row r="11" spans="1:86" hidden="1" x14ac:dyDescent="0.3">
      <c r="A11" s="2">
        <v>728</v>
      </c>
      <c r="B11" s="2" t="s">
        <v>0</v>
      </c>
      <c r="C11" s="2" t="s">
        <v>21</v>
      </c>
      <c r="D11" s="2" t="s">
        <v>97</v>
      </c>
      <c r="E11" s="2">
        <v>800</v>
      </c>
      <c r="F11" s="2">
        <v>1.3100000000000001E-2</v>
      </c>
      <c r="G11" s="2">
        <v>6.7999999999999996E-3</v>
      </c>
      <c r="H11" s="4">
        <f t="shared" si="0"/>
        <v>0.48091603053435117</v>
      </c>
      <c r="I11" s="2" t="s">
        <v>98</v>
      </c>
      <c r="J11" s="2" t="s">
        <v>99</v>
      </c>
      <c r="K11" s="2" t="s">
        <v>95</v>
      </c>
      <c r="L11" s="2" t="s">
        <v>96</v>
      </c>
      <c r="M11" s="155"/>
      <c r="N11" s="155"/>
      <c r="O11" s="2">
        <v>9</v>
      </c>
      <c r="P11" s="6">
        <v>20</v>
      </c>
      <c r="Q11" s="132">
        <f t="shared" si="4"/>
        <v>16.2</v>
      </c>
      <c r="R11" s="33">
        <f t="shared" si="1"/>
        <v>20</v>
      </c>
      <c r="S11" s="132">
        <f t="shared" si="2"/>
        <v>2.5</v>
      </c>
      <c r="T11" s="132">
        <f t="shared" si="3"/>
        <v>2.5</v>
      </c>
      <c r="W11" s="13"/>
      <c r="CH11" s="2"/>
    </row>
    <row r="12" spans="1:86" hidden="1" x14ac:dyDescent="0.3">
      <c r="A12" s="23">
        <v>1910</v>
      </c>
      <c r="B12" s="2" t="s">
        <v>0</v>
      </c>
      <c r="C12" s="2" t="s">
        <v>21</v>
      </c>
      <c r="D12" s="2" t="s">
        <v>100</v>
      </c>
      <c r="E12" s="2">
        <v>400</v>
      </c>
      <c r="F12" s="2">
        <v>1.46E-2</v>
      </c>
      <c r="G12" s="2">
        <v>1.0500000000000001E-2</v>
      </c>
      <c r="H12" s="4">
        <f t="shared" si="0"/>
        <v>0.28082191780821913</v>
      </c>
      <c r="I12" s="2" t="s">
        <v>82</v>
      </c>
      <c r="J12" s="2" t="s">
        <v>101</v>
      </c>
      <c r="K12" s="2" t="s">
        <v>90</v>
      </c>
      <c r="L12" s="2" t="s">
        <v>6</v>
      </c>
      <c r="M12" s="155"/>
      <c r="N12" s="155"/>
      <c r="O12" s="2">
        <v>9</v>
      </c>
      <c r="P12" s="6">
        <v>70</v>
      </c>
      <c r="Q12" s="132">
        <f t="shared" si="4"/>
        <v>6.6</v>
      </c>
      <c r="R12" s="33">
        <f t="shared" si="1"/>
        <v>98.181818181818187</v>
      </c>
      <c r="S12" s="132">
        <f t="shared" si="2"/>
        <v>12.272727272727273</v>
      </c>
      <c r="T12" s="132">
        <f t="shared" si="3"/>
        <v>12.272727272727273</v>
      </c>
      <c r="W12" s="13"/>
      <c r="AD12" s="24">
        <v>45519</v>
      </c>
      <c r="AE12">
        <v>14</v>
      </c>
      <c r="AF12">
        <v>1.4</v>
      </c>
      <c r="AG12">
        <v>0.4</v>
      </c>
      <c r="AH12">
        <v>1.4</v>
      </c>
      <c r="AI12">
        <v>0.4</v>
      </c>
      <c r="AJ12">
        <v>1</v>
      </c>
      <c r="AK12">
        <v>0.15</v>
      </c>
      <c r="AL12">
        <v>0.19</v>
      </c>
      <c r="AM12">
        <v>0.6</v>
      </c>
      <c r="AN12">
        <v>0.4</v>
      </c>
      <c r="AO12">
        <v>6.6</v>
      </c>
      <c r="AP12">
        <v>58</v>
      </c>
      <c r="AQ12">
        <v>109</v>
      </c>
      <c r="AR12">
        <v>109</v>
      </c>
      <c r="AS12">
        <v>109</v>
      </c>
      <c r="AT12">
        <v>40</v>
      </c>
      <c r="AU12">
        <v>20</v>
      </c>
      <c r="AV12">
        <v>40</v>
      </c>
      <c r="AW12">
        <v>20</v>
      </c>
      <c r="AX12" t="s">
        <v>102</v>
      </c>
      <c r="AY12">
        <v>465</v>
      </c>
      <c r="AZ12" s="13" t="s">
        <v>78</v>
      </c>
      <c r="BA12">
        <v>1100</v>
      </c>
      <c r="BB12">
        <v>10</v>
      </c>
      <c r="CH12" s="2"/>
    </row>
    <row r="13" spans="1:86" hidden="1" x14ac:dyDescent="0.3">
      <c r="A13" s="2">
        <v>726</v>
      </c>
      <c r="B13" s="2" t="s">
        <v>0</v>
      </c>
      <c r="C13" s="2" t="s">
        <v>21</v>
      </c>
      <c r="D13" s="123" t="s">
        <v>103</v>
      </c>
      <c r="E13" s="2">
        <v>800</v>
      </c>
      <c r="F13" s="2">
        <v>1.15E-2</v>
      </c>
      <c r="G13" s="2">
        <v>8.0000000000000002E-3</v>
      </c>
      <c r="H13" s="4">
        <f t="shared" si="0"/>
        <v>0.30434782608695649</v>
      </c>
      <c r="I13" s="123" t="s">
        <v>86</v>
      </c>
      <c r="J13" s="2" t="s">
        <v>104</v>
      </c>
      <c r="K13" s="2" t="s">
        <v>105</v>
      </c>
      <c r="L13" s="2" t="s">
        <v>76</v>
      </c>
      <c r="M13" s="155"/>
      <c r="N13" s="155"/>
      <c r="O13" s="2">
        <v>9</v>
      </c>
      <c r="P13" s="6">
        <v>24</v>
      </c>
      <c r="Q13" s="132">
        <f t="shared" si="4"/>
        <v>13.5</v>
      </c>
      <c r="R13" s="33">
        <f t="shared" si="1"/>
        <v>24</v>
      </c>
      <c r="S13" s="132">
        <f t="shared" si="2"/>
        <v>3</v>
      </c>
      <c r="T13" s="132">
        <f t="shared" si="3"/>
        <v>3</v>
      </c>
      <c r="W13" s="13"/>
      <c r="CH13" s="2"/>
    </row>
    <row r="14" spans="1:86" hidden="1" x14ac:dyDescent="0.3">
      <c r="A14" s="23">
        <v>1914</v>
      </c>
      <c r="B14" s="2" t="s">
        <v>0</v>
      </c>
      <c r="C14" s="2" t="s">
        <v>21</v>
      </c>
      <c r="D14" s="2" t="s">
        <v>106</v>
      </c>
      <c r="E14" s="2">
        <v>300</v>
      </c>
      <c r="F14" s="2">
        <v>2.6200000000000001E-2</v>
      </c>
      <c r="G14" s="2">
        <v>2.1399999999999999E-2</v>
      </c>
      <c r="H14" s="4">
        <f t="shared" si="0"/>
        <v>0.18320610687022909</v>
      </c>
      <c r="I14" s="2" t="s">
        <v>82</v>
      </c>
      <c r="J14" s="2" t="s">
        <v>107</v>
      </c>
      <c r="K14" s="2" t="s">
        <v>90</v>
      </c>
      <c r="L14" s="2" t="s">
        <v>6</v>
      </c>
      <c r="M14" s="155">
        <v>1</v>
      </c>
      <c r="N14" s="155">
        <v>300</v>
      </c>
      <c r="O14" s="2">
        <v>3</v>
      </c>
      <c r="P14" s="6">
        <v>45</v>
      </c>
      <c r="Q14" s="132">
        <f t="shared" si="4"/>
        <v>4.4000000000000004</v>
      </c>
      <c r="R14" s="33">
        <f t="shared" si="1"/>
        <v>65.454545454545453</v>
      </c>
      <c r="S14" s="132">
        <f t="shared" si="2"/>
        <v>8.1818181818181817</v>
      </c>
      <c r="T14" s="132">
        <f t="shared" si="3"/>
        <v>8.1818181818181817</v>
      </c>
      <c r="W14" s="13"/>
      <c r="AD14" s="124">
        <v>45538</v>
      </c>
      <c r="AE14">
        <v>15</v>
      </c>
      <c r="AF14">
        <v>0.9</v>
      </c>
      <c r="AG14">
        <v>0.2</v>
      </c>
      <c r="AH14">
        <v>1</v>
      </c>
      <c r="AI14">
        <v>0.2</v>
      </c>
      <c r="AJ14">
        <v>0.55000000000000004</v>
      </c>
      <c r="AK14">
        <v>0.17</v>
      </c>
      <c r="AL14">
        <v>0.17</v>
      </c>
      <c r="AM14">
        <v>0.4</v>
      </c>
      <c r="AN14">
        <v>0.3</v>
      </c>
      <c r="AO14">
        <v>4.4000000000000004</v>
      </c>
      <c r="AP14">
        <v>61</v>
      </c>
      <c r="AQ14">
        <v>103</v>
      </c>
      <c r="AR14">
        <v>103</v>
      </c>
      <c r="AS14">
        <v>103</v>
      </c>
      <c r="AT14">
        <v>38</v>
      </c>
      <c r="AU14">
        <v>20</v>
      </c>
      <c r="AV14">
        <v>40</v>
      </c>
      <c r="AW14">
        <v>20</v>
      </c>
      <c r="AX14">
        <v>100</v>
      </c>
      <c r="AY14">
        <v>365</v>
      </c>
      <c r="AZ14" t="s">
        <v>78</v>
      </c>
      <c r="BA14">
        <v>1500</v>
      </c>
      <c r="BB14">
        <v>10</v>
      </c>
      <c r="BE14" s="116">
        <f>AO14/4.5-1</f>
        <v>-2.2222222222222143E-2</v>
      </c>
      <c r="BF14" s="13" t="s">
        <v>108</v>
      </c>
      <c r="BG14" t="s">
        <v>109</v>
      </c>
      <c r="BH14" t="s">
        <v>110</v>
      </c>
      <c r="BI14" t="s">
        <v>111</v>
      </c>
      <c r="BJ14" t="s">
        <v>112</v>
      </c>
      <c r="BK14" t="s">
        <v>111</v>
      </c>
      <c r="BL14" t="s">
        <v>113</v>
      </c>
      <c r="BM14" t="s">
        <v>114</v>
      </c>
      <c r="BN14" t="s">
        <v>115</v>
      </c>
      <c r="BO14" t="s">
        <v>116</v>
      </c>
      <c r="BP14" t="s">
        <v>117</v>
      </c>
      <c r="BQ14" t="s">
        <v>118</v>
      </c>
      <c r="BR14" t="s">
        <v>119</v>
      </c>
      <c r="BS14" t="s">
        <v>120</v>
      </c>
      <c r="BT14" t="s">
        <v>120</v>
      </c>
      <c r="BU14" t="s">
        <v>120</v>
      </c>
      <c r="BV14" t="s">
        <v>121</v>
      </c>
      <c r="BW14" t="s">
        <v>122</v>
      </c>
      <c r="BX14" t="s">
        <v>123</v>
      </c>
      <c r="BY14" t="s">
        <v>122</v>
      </c>
      <c r="BZ14" t="s">
        <v>124</v>
      </c>
      <c r="CA14" t="s">
        <v>125</v>
      </c>
      <c r="CB14" t="s">
        <v>78</v>
      </c>
      <c r="CC14" t="s">
        <v>126</v>
      </c>
      <c r="CD14" t="s">
        <v>127</v>
      </c>
      <c r="CH14" s="2"/>
    </row>
    <row r="15" spans="1:86" hidden="1" x14ac:dyDescent="0.3">
      <c r="A15" s="2">
        <v>1825</v>
      </c>
      <c r="B15" s="2" t="s">
        <v>0</v>
      </c>
      <c r="C15" s="2" t="s">
        <v>21</v>
      </c>
      <c r="D15" s="123" t="s">
        <v>128</v>
      </c>
      <c r="E15" s="123">
        <v>500</v>
      </c>
      <c r="F15" s="2">
        <v>2.6200000000000001E-2</v>
      </c>
      <c r="G15" s="2">
        <v>2.1399999999999999E-2</v>
      </c>
      <c r="H15" s="4">
        <f t="shared" si="0"/>
        <v>0.18320610687022909</v>
      </c>
      <c r="I15" s="2" t="s">
        <v>82</v>
      </c>
      <c r="J15" s="2" t="s">
        <v>107</v>
      </c>
      <c r="K15" s="2" t="s">
        <v>129</v>
      </c>
      <c r="L15" s="2" t="s">
        <v>96</v>
      </c>
      <c r="M15" s="155"/>
      <c r="N15" s="155"/>
      <c r="O15" s="2">
        <v>3</v>
      </c>
      <c r="P15" s="6">
        <v>33</v>
      </c>
      <c r="Q15" s="132">
        <f t="shared" si="4"/>
        <v>5.2363636363636363</v>
      </c>
      <c r="R15" s="33">
        <f t="shared" si="1"/>
        <v>33</v>
      </c>
      <c r="S15" s="132">
        <f t="shared" si="2"/>
        <v>4.125</v>
      </c>
      <c r="T15" s="132">
        <f t="shared" si="3"/>
        <v>4.125</v>
      </c>
      <c r="W15" s="13"/>
      <c r="CH15" s="2"/>
    </row>
    <row r="16" spans="1:86" hidden="1" x14ac:dyDescent="0.3">
      <c r="A16" s="2">
        <v>1813</v>
      </c>
      <c r="B16" s="2" t="s">
        <v>84</v>
      </c>
      <c r="C16" s="2" t="s">
        <v>21</v>
      </c>
      <c r="D16" s="2" t="s">
        <v>130</v>
      </c>
      <c r="E16" s="2">
        <v>500</v>
      </c>
      <c r="F16" s="2">
        <v>3.1099999999999999E-2</v>
      </c>
      <c r="G16" s="2">
        <v>2.5399999999999999E-2</v>
      </c>
      <c r="H16" s="4">
        <f t="shared" si="0"/>
        <v>0.18327974276527331</v>
      </c>
      <c r="I16" s="2" t="s">
        <v>82</v>
      </c>
      <c r="J16" s="2" t="s">
        <v>131</v>
      </c>
      <c r="K16" s="2" t="s">
        <v>132</v>
      </c>
      <c r="L16" s="2" t="s">
        <v>76</v>
      </c>
      <c r="M16" s="155"/>
      <c r="N16" s="155"/>
      <c r="O16" s="2">
        <v>3</v>
      </c>
      <c r="P16" s="6"/>
      <c r="Q16" s="132" t="str">
        <f t="shared" si="4"/>
        <v/>
      </c>
      <c r="R16" s="33" t="str">
        <f t="shared" si="1"/>
        <v/>
      </c>
      <c r="S16" s="132" t="str">
        <f t="shared" si="2"/>
        <v/>
      </c>
      <c r="T16" s="132" t="str">
        <f t="shared" si="3"/>
        <v/>
      </c>
      <c r="W16" s="13"/>
      <c r="CH16" s="2"/>
    </row>
    <row r="17" spans="1:86" hidden="1" x14ac:dyDescent="0.3">
      <c r="A17" s="23">
        <v>104</v>
      </c>
      <c r="B17" s="2" t="s">
        <v>0</v>
      </c>
      <c r="C17" s="2" t="s">
        <v>21</v>
      </c>
      <c r="D17" s="2" t="s">
        <v>133</v>
      </c>
      <c r="E17" s="2">
        <v>200</v>
      </c>
      <c r="F17" s="2">
        <v>1.15E-2</v>
      </c>
      <c r="G17" s="2">
        <v>8.6999999999999994E-3</v>
      </c>
      <c r="H17" s="4">
        <f t="shared" si="0"/>
        <v>0.24347826086956526</v>
      </c>
      <c r="I17" s="2" t="s">
        <v>82</v>
      </c>
      <c r="J17" s="2" t="s">
        <v>134</v>
      </c>
      <c r="K17" s="2"/>
      <c r="L17" s="2"/>
      <c r="M17" s="155"/>
      <c r="N17" s="155"/>
      <c r="O17" s="2">
        <v>6</v>
      </c>
      <c r="P17" s="6">
        <v>70</v>
      </c>
      <c r="Q17" s="132">
        <f t="shared" si="4"/>
        <v>7.9</v>
      </c>
      <c r="R17" s="33">
        <f t="shared" si="1"/>
        <v>109.36708860759494</v>
      </c>
      <c r="S17" s="132">
        <f t="shared" si="2"/>
        <v>13.670886075949367</v>
      </c>
      <c r="T17" s="132">
        <f t="shared" si="3"/>
        <v>13.670886075949367</v>
      </c>
      <c r="W17" s="13"/>
      <c r="AD17" s="24">
        <v>45607</v>
      </c>
      <c r="AE17">
        <v>14</v>
      </c>
      <c r="AF17">
        <v>2</v>
      </c>
      <c r="AG17">
        <v>0.45</v>
      </c>
      <c r="AH17">
        <v>2.7</v>
      </c>
      <c r="AI17">
        <v>0.45</v>
      </c>
      <c r="AJ17">
        <v>0.6</v>
      </c>
      <c r="AK17">
        <v>0.2</v>
      </c>
      <c r="AL17">
        <v>0.14000000000000001</v>
      </c>
      <c r="AM17">
        <v>0.6</v>
      </c>
      <c r="AN17">
        <v>0.3</v>
      </c>
      <c r="AO17">
        <v>7.9</v>
      </c>
      <c r="AP17">
        <v>42</v>
      </c>
      <c r="AQ17">
        <v>102</v>
      </c>
      <c r="AR17">
        <v>102</v>
      </c>
      <c r="AS17">
        <v>102</v>
      </c>
      <c r="AT17">
        <v>40</v>
      </c>
      <c r="AU17">
        <v>20</v>
      </c>
      <c r="AV17">
        <v>40</v>
      </c>
      <c r="AW17">
        <v>20</v>
      </c>
      <c r="AX17">
        <v>70</v>
      </c>
      <c r="AY17">
        <v>360</v>
      </c>
      <c r="AZ17" t="s">
        <v>78</v>
      </c>
      <c r="BA17">
        <v>900</v>
      </c>
      <c r="BB17">
        <v>10</v>
      </c>
      <c r="CH17" s="2"/>
    </row>
    <row r="18" spans="1:86" hidden="1" x14ac:dyDescent="0.3">
      <c r="A18" s="2">
        <v>43</v>
      </c>
      <c r="B18" s="2" t="s">
        <v>84</v>
      </c>
      <c r="C18" s="2" t="s">
        <v>21</v>
      </c>
      <c r="D18" s="123" t="s">
        <v>135</v>
      </c>
      <c r="E18" s="2">
        <v>300</v>
      </c>
      <c r="F18" s="2">
        <v>9.1000000000000004E-3</v>
      </c>
      <c r="G18" s="2">
        <v>6.4000000000000003E-3</v>
      </c>
      <c r="H18" s="4">
        <f t="shared" si="0"/>
        <v>0.2967032967032967</v>
      </c>
      <c r="I18" s="123" t="s">
        <v>86</v>
      </c>
      <c r="J18" s="2" t="s">
        <v>136</v>
      </c>
      <c r="K18" s="2" t="s">
        <v>137</v>
      </c>
      <c r="L18" s="2" t="s">
        <v>96</v>
      </c>
      <c r="M18" s="155"/>
      <c r="N18" s="155"/>
      <c r="O18" s="2">
        <v>6</v>
      </c>
      <c r="P18" s="6"/>
      <c r="Q18" s="132" t="str">
        <f t="shared" si="4"/>
        <v/>
      </c>
      <c r="R18" s="33" t="str">
        <f t="shared" si="1"/>
        <v/>
      </c>
      <c r="S18" s="132" t="str">
        <f t="shared" si="2"/>
        <v/>
      </c>
      <c r="T18" s="132" t="str">
        <f t="shared" si="3"/>
        <v/>
      </c>
      <c r="W18" s="13"/>
      <c r="Y18"/>
      <c r="CH18" s="2"/>
    </row>
    <row r="19" spans="1:86" hidden="1" x14ac:dyDescent="0.3">
      <c r="A19" s="23">
        <v>105</v>
      </c>
      <c r="B19" s="2" t="s">
        <v>0</v>
      </c>
      <c r="C19" s="2" t="s">
        <v>21</v>
      </c>
      <c r="D19" s="2" t="s">
        <v>138</v>
      </c>
      <c r="E19" s="2">
        <v>200</v>
      </c>
      <c r="F19" s="2">
        <v>2.3099999999999999E-2</v>
      </c>
      <c r="G19" s="2">
        <v>1.7299999999999999E-2</v>
      </c>
      <c r="H19" s="4">
        <f t="shared" si="0"/>
        <v>0.25108225108225107</v>
      </c>
      <c r="I19" s="2" t="s">
        <v>82</v>
      </c>
      <c r="J19" s="2" t="s">
        <v>139</v>
      </c>
      <c r="K19" s="2" t="s">
        <v>132</v>
      </c>
      <c r="L19" s="2" t="s">
        <v>96</v>
      </c>
      <c r="M19" s="155">
        <v>4</v>
      </c>
      <c r="N19" s="155">
        <v>50</v>
      </c>
      <c r="O19" s="2">
        <v>6</v>
      </c>
      <c r="P19" s="6">
        <v>46</v>
      </c>
      <c r="Q19" s="132">
        <f t="shared" si="4"/>
        <v>11.4</v>
      </c>
      <c r="R19" s="33">
        <f t="shared" si="1"/>
        <v>75.78947368421052</v>
      </c>
      <c r="S19" s="132">
        <f t="shared" si="2"/>
        <v>9.473684210526315</v>
      </c>
      <c r="T19" s="132">
        <f t="shared" si="3"/>
        <v>9.473684210526315</v>
      </c>
      <c r="W19" s="13"/>
      <c r="AD19" s="22">
        <v>45604</v>
      </c>
      <c r="AE19">
        <v>13</v>
      </c>
      <c r="AF19">
        <v>3.5</v>
      </c>
      <c r="AG19">
        <v>0.4</v>
      </c>
      <c r="AH19">
        <v>3.7</v>
      </c>
      <c r="AI19">
        <v>0.5</v>
      </c>
      <c r="AJ19">
        <v>1.2</v>
      </c>
      <c r="AK19">
        <v>0.19</v>
      </c>
      <c r="AL19">
        <v>0.16</v>
      </c>
      <c r="AM19">
        <v>0.9</v>
      </c>
      <c r="AN19">
        <v>0.35</v>
      </c>
      <c r="AO19">
        <v>11.4</v>
      </c>
      <c r="AP19">
        <v>50</v>
      </c>
      <c r="AQ19">
        <v>107</v>
      </c>
      <c r="AR19">
        <v>107</v>
      </c>
      <c r="AS19">
        <v>107</v>
      </c>
      <c r="AT19">
        <v>49</v>
      </c>
      <c r="AU19">
        <v>20</v>
      </c>
      <c r="AV19">
        <v>40</v>
      </c>
      <c r="AW19">
        <v>20</v>
      </c>
      <c r="AX19">
        <v>65</v>
      </c>
      <c r="AY19">
        <v>386</v>
      </c>
      <c r="AZ19" t="s">
        <v>78</v>
      </c>
      <c r="BA19">
        <v>1000</v>
      </c>
      <c r="CH19" s="2"/>
    </row>
    <row r="20" spans="1:86" hidden="1" x14ac:dyDescent="0.3">
      <c r="A20" s="2">
        <v>113</v>
      </c>
      <c r="B20" s="2" t="s">
        <v>0</v>
      </c>
      <c r="C20" s="2" t="s">
        <v>21</v>
      </c>
      <c r="D20" s="2" t="s">
        <v>140</v>
      </c>
      <c r="E20" s="2">
        <v>300</v>
      </c>
      <c r="F20" s="2">
        <v>2.3099999999999999E-2</v>
      </c>
      <c r="G20" s="2">
        <v>1.7299999999999999E-2</v>
      </c>
      <c r="H20" s="4">
        <f t="shared" si="0"/>
        <v>0.25108225108225107</v>
      </c>
      <c r="I20" s="2" t="s">
        <v>82</v>
      </c>
      <c r="J20" s="2" t="s">
        <v>139</v>
      </c>
      <c r="K20" s="2" t="s">
        <v>129</v>
      </c>
      <c r="L20" s="2" t="s">
        <v>96</v>
      </c>
      <c r="M20" s="155"/>
      <c r="N20" s="155"/>
      <c r="O20" s="2">
        <v>6</v>
      </c>
      <c r="P20" s="6">
        <v>26</v>
      </c>
      <c r="Q20" s="132">
        <f t="shared" si="4"/>
        <v>22.153846153846153</v>
      </c>
      <c r="R20" s="33">
        <f t="shared" si="1"/>
        <v>26</v>
      </c>
      <c r="S20" s="132">
        <f t="shared" si="2"/>
        <v>3.25</v>
      </c>
      <c r="T20" s="132">
        <f t="shared" si="3"/>
        <v>3.25</v>
      </c>
      <c r="W20" s="13"/>
      <c r="CH20" s="2"/>
    </row>
    <row r="21" spans="1:86" hidden="1" x14ac:dyDescent="0.3">
      <c r="A21" s="2">
        <v>107</v>
      </c>
      <c r="B21" s="2" t="s">
        <v>0</v>
      </c>
      <c r="C21" s="2" t="s">
        <v>21</v>
      </c>
      <c r="D21" s="2" t="s">
        <v>141</v>
      </c>
      <c r="E21" s="2">
        <v>200</v>
      </c>
      <c r="F21" s="2">
        <v>3.4599999999999999E-2</v>
      </c>
      <c r="G21" s="2">
        <v>2.5999999999999999E-2</v>
      </c>
      <c r="H21" s="4">
        <f t="shared" si="0"/>
        <v>0.2485549132947977</v>
      </c>
      <c r="I21" s="2" t="s">
        <v>82</v>
      </c>
      <c r="J21" s="2" t="s">
        <v>142</v>
      </c>
      <c r="K21" s="2"/>
      <c r="L21" s="2"/>
      <c r="M21" s="155"/>
      <c r="N21" s="155"/>
      <c r="O21" s="2">
        <v>6</v>
      </c>
      <c r="P21" s="6">
        <v>55</v>
      </c>
      <c r="Q21" s="132">
        <f t="shared" si="4"/>
        <v>15.709090909090911</v>
      </c>
      <c r="R21" s="33">
        <f t="shared" si="1"/>
        <v>54.999999999999993</v>
      </c>
      <c r="S21" s="132">
        <f t="shared" si="2"/>
        <v>6.8749999999999991</v>
      </c>
      <c r="T21" s="132">
        <f t="shared" si="3"/>
        <v>6.8749999999999991</v>
      </c>
      <c r="W21" s="13"/>
      <c r="CH21" s="2"/>
    </row>
    <row r="22" spans="1:86" hidden="1" x14ac:dyDescent="0.3">
      <c r="A22" s="2">
        <v>44</v>
      </c>
      <c r="B22" s="2" t="s">
        <v>0</v>
      </c>
      <c r="C22" s="2" t="s">
        <v>21</v>
      </c>
      <c r="D22" s="123" t="s">
        <v>143</v>
      </c>
      <c r="E22" s="2">
        <v>300</v>
      </c>
      <c r="F22" s="2">
        <v>2.1700000000000001E-2</v>
      </c>
      <c r="G22" s="2">
        <v>1.4999999999999999E-2</v>
      </c>
      <c r="H22" s="4">
        <f t="shared" si="0"/>
        <v>0.30875576036866365</v>
      </c>
      <c r="I22" s="123" t="s">
        <v>86</v>
      </c>
      <c r="J22" s="2" t="s">
        <v>144</v>
      </c>
      <c r="K22" s="2" t="s">
        <v>129</v>
      </c>
      <c r="L22" s="2" t="s">
        <v>96</v>
      </c>
      <c r="M22" s="155"/>
      <c r="N22" s="155"/>
      <c r="O22" s="2">
        <v>6</v>
      </c>
      <c r="P22" s="6">
        <v>40</v>
      </c>
      <c r="Q22" s="132">
        <f t="shared" si="4"/>
        <v>14.4</v>
      </c>
      <c r="R22" s="33">
        <f t="shared" si="1"/>
        <v>40</v>
      </c>
      <c r="S22" s="132">
        <f t="shared" si="2"/>
        <v>5</v>
      </c>
      <c r="T22" s="132">
        <f t="shared" si="3"/>
        <v>5</v>
      </c>
      <c r="W22" s="13"/>
      <c r="Y22"/>
      <c r="CH22" s="2"/>
    </row>
    <row r="23" spans="1:86" hidden="1" x14ac:dyDescent="0.3">
      <c r="A23" s="2">
        <v>1911</v>
      </c>
      <c r="B23" s="2" t="s">
        <v>0</v>
      </c>
      <c r="C23" s="2" t="s">
        <v>21</v>
      </c>
      <c r="D23" s="2" t="s">
        <v>145</v>
      </c>
      <c r="E23" s="2">
        <v>300</v>
      </c>
      <c r="F23" s="2">
        <v>1.6799999999999999E-2</v>
      </c>
      <c r="G23" s="2">
        <v>1.2999999999999999E-2</v>
      </c>
      <c r="H23" s="4">
        <f t="shared" si="0"/>
        <v>0.22619047619047619</v>
      </c>
      <c r="I23" s="2" t="s">
        <v>82</v>
      </c>
      <c r="J23" s="2" t="s">
        <v>146</v>
      </c>
      <c r="K23" s="2" t="s">
        <v>90</v>
      </c>
      <c r="L23" s="2" t="s">
        <v>6</v>
      </c>
      <c r="M23" s="155"/>
      <c r="N23" s="155"/>
      <c r="O23" s="2">
        <v>4</v>
      </c>
      <c r="P23" s="6">
        <v>25</v>
      </c>
      <c r="Q23" s="132">
        <f t="shared" si="4"/>
        <v>15.36</v>
      </c>
      <c r="R23" s="33">
        <f t="shared" si="1"/>
        <v>25</v>
      </c>
      <c r="S23" s="132">
        <f t="shared" si="2"/>
        <v>3.125</v>
      </c>
      <c r="T23" s="132">
        <f t="shared" si="3"/>
        <v>3.125</v>
      </c>
      <c r="W23" s="13"/>
      <c r="CH23" s="2"/>
    </row>
    <row r="24" spans="1:86" hidden="1" x14ac:dyDescent="0.3">
      <c r="A24" s="2">
        <v>1935</v>
      </c>
      <c r="B24" s="2" t="s">
        <v>0</v>
      </c>
      <c r="C24" s="2" t="s">
        <v>21</v>
      </c>
      <c r="D24" s="2" t="s">
        <v>147</v>
      </c>
      <c r="E24" s="2">
        <v>300</v>
      </c>
      <c r="F24" s="2">
        <v>1.54E-2</v>
      </c>
      <c r="G24" s="2">
        <v>1.0500000000000001E-2</v>
      </c>
      <c r="H24" s="4">
        <f t="shared" si="0"/>
        <v>0.31818181818181818</v>
      </c>
      <c r="I24" s="2" t="s">
        <v>82</v>
      </c>
      <c r="J24" s="2" t="s">
        <v>148</v>
      </c>
      <c r="K24" s="2" t="s">
        <v>90</v>
      </c>
      <c r="L24" s="2" t="s">
        <v>6</v>
      </c>
      <c r="M24" s="155"/>
      <c r="N24" s="155"/>
      <c r="O24" s="2">
        <v>4</v>
      </c>
      <c r="P24" s="6">
        <v>30</v>
      </c>
      <c r="Q24" s="132">
        <f t="shared" si="4"/>
        <v>12.8</v>
      </c>
      <c r="R24" s="33">
        <f t="shared" si="1"/>
        <v>30</v>
      </c>
      <c r="S24" s="132">
        <f t="shared" si="2"/>
        <v>3.75</v>
      </c>
      <c r="T24" s="132">
        <f t="shared" si="3"/>
        <v>3.75</v>
      </c>
      <c r="W24" s="18"/>
      <c r="X24" s="18"/>
      <c r="Y24" s="160"/>
      <c r="Z24" s="18"/>
      <c r="AA24" s="18"/>
      <c r="AB24" s="18"/>
      <c r="AC24" s="18"/>
      <c r="AD24" s="18"/>
      <c r="CH24" s="2"/>
    </row>
    <row r="25" spans="1:86" hidden="1" x14ac:dyDescent="0.3">
      <c r="A25" s="2">
        <v>731</v>
      </c>
      <c r="B25" s="2" t="s">
        <v>0</v>
      </c>
      <c r="C25" s="2" t="s">
        <v>21</v>
      </c>
      <c r="D25" s="123" t="s">
        <v>149</v>
      </c>
      <c r="E25" s="2">
        <v>540</v>
      </c>
      <c r="F25" s="2">
        <v>1.32E-2</v>
      </c>
      <c r="G25" s="2">
        <v>9.4000000000000004E-3</v>
      </c>
      <c r="H25" s="4">
        <f t="shared" si="0"/>
        <v>0.28787878787878785</v>
      </c>
      <c r="I25" s="123" t="s">
        <v>86</v>
      </c>
      <c r="J25" s="2" t="s">
        <v>150</v>
      </c>
      <c r="K25" s="2" t="s">
        <v>105</v>
      </c>
      <c r="L25" s="2" t="s">
        <v>76</v>
      </c>
      <c r="M25" s="155"/>
      <c r="N25" s="155"/>
      <c r="O25" s="2">
        <v>4</v>
      </c>
      <c r="P25" s="6">
        <v>28</v>
      </c>
      <c r="Q25" s="132">
        <f t="shared" si="4"/>
        <v>7.6190476190476195</v>
      </c>
      <c r="R25" s="33">
        <f t="shared" si="1"/>
        <v>28</v>
      </c>
      <c r="S25" s="132">
        <f t="shared" si="2"/>
        <v>3.5</v>
      </c>
      <c r="T25" s="132">
        <f t="shared" si="3"/>
        <v>3.5</v>
      </c>
      <c r="W25" s="13"/>
      <c r="CH25" s="2"/>
    </row>
    <row r="26" spans="1:86" hidden="1" x14ac:dyDescent="0.3">
      <c r="A26" s="2">
        <v>732</v>
      </c>
      <c r="B26" s="2" t="s">
        <v>0</v>
      </c>
      <c r="C26" s="2" t="s">
        <v>21</v>
      </c>
      <c r="D26" s="2" t="s">
        <v>151</v>
      </c>
      <c r="E26" s="2">
        <v>540</v>
      </c>
      <c r="F26" s="2">
        <v>2.4299999999999999E-2</v>
      </c>
      <c r="G26" s="2">
        <v>1.0500000000000001E-2</v>
      </c>
      <c r="H26" s="4">
        <f t="shared" si="0"/>
        <v>0.5679012345679012</v>
      </c>
      <c r="I26" s="2" t="s">
        <v>98</v>
      </c>
      <c r="J26" s="2" t="s">
        <v>99</v>
      </c>
      <c r="K26" s="2" t="s">
        <v>105</v>
      </c>
      <c r="L26" s="2" t="s">
        <v>76</v>
      </c>
      <c r="M26" s="155"/>
      <c r="N26" s="155"/>
      <c r="O26" s="2">
        <v>4</v>
      </c>
      <c r="P26" s="6">
        <v>28</v>
      </c>
      <c r="Q26" s="132">
        <f t="shared" si="4"/>
        <v>7.6190476190476195</v>
      </c>
      <c r="R26" s="33">
        <f t="shared" si="1"/>
        <v>28</v>
      </c>
      <c r="S26" s="132">
        <f t="shared" si="2"/>
        <v>3.5</v>
      </c>
      <c r="T26" s="132">
        <f t="shared" si="3"/>
        <v>3.5</v>
      </c>
      <c r="W26" s="13"/>
      <c r="CH26" s="2"/>
    </row>
    <row r="27" spans="1:86" hidden="1" x14ac:dyDescent="0.3">
      <c r="A27" s="2">
        <v>1912</v>
      </c>
      <c r="B27" s="2" t="s">
        <v>0</v>
      </c>
      <c r="C27" s="2" t="s">
        <v>21</v>
      </c>
      <c r="D27" s="2" t="s">
        <v>152</v>
      </c>
      <c r="E27" s="2">
        <v>300</v>
      </c>
      <c r="F27" s="2">
        <v>2.23E-2</v>
      </c>
      <c r="G27" s="2">
        <v>1.6199999999999999E-2</v>
      </c>
      <c r="H27" s="4">
        <f t="shared" si="0"/>
        <v>0.27354260089686105</v>
      </c>
      <c r="I27" s="2" t="s">
        <v>82</v>
      </c>
      <c r="J27" s="2" t="s">
        <v>153</v>
      </c>
      <c r="K27" s="2" t="s">
        <v>129</v>
      </c>
      <c r="L27" s="2" t="s">
        <v>96</v>
      </c>
      <c r="M27" s="155"/>
      <c r="N27" s="155"/>
      <c r="O27" s="2">
        <v>4</v>
      </c>
      <c r="P27" s="6">
        <v>25</v>
      </c>
      <c r="Q27" s="132">
        <f t="shared" si="4"/>
        <v>15.36</v>
      </c>
      <c r="R27" s="33">
        <f t="shared" si="1"/>
        <v>25</v>
      </c>
      <c r="S27" s="132">
        <f t="shared" si="2"/>
        <v>3.125</v>
      </c>
      <c r="T27" s="132">
        <f t="shared" si="3"/>
        <v>3.125</v>
      </c>
      <c r="W27" s="13"/>
      <c r="CH27" s="2"/>
    </row>
    <row r="28" spans="1:86" hidden="1" x14ac:dyDescent="0.3">
      <c r="A28" s="2">
        <v>729</v>
      </c>
      <c r="B28" s="2" t="s">
        <v>0</v>
      </c>
      <c r="C28" s="2" t="s">
        <v>21</v>
      </c>
      <c r="D28" s="123" t="s">
        <v>154</v>
      </c>
      <c r="E28" s="2">
        <v>540</v>
      </c>
      <c r="F28" s="2">
        <v>1.7600000000000001E-2</v>
      </c>
      <c r="G28" s="2">
        <v>1.2800000000000001E-2</v>
      </c>
      <c r="H28" s="4">
        <f t="shared" si="0"/>
        <v>0.27272727272727276</v>
      </c>
      <c r="I28" s="123" t="s">
        <v>86</v>
      </c>
      <c r="J28" s="2" t="s">
        <v>155</v>
      </c>
      <c r="K28" s="2" t="s">
        <v>105</v>
      </c>
      <c r="L28" s="2" t="s">
        <v>76</v>
      </c>
      <c r="M28" s="155"/>
      <c r="N28" s="155"/>
      <c r="O28" s="2">
        <v>4</v>
      </c>
      <c r="P28" s="6">
        <v>30</v>
      </c>
      <c r="Q28" s="132">
        <f t="shared" si="4"/>
        <v>7.1111111111111107</v>
      </c>
      <c r="R28" s="33">
        <f t="shared" si="1"/>
        <v>30.000000000000004</v>
      </c>
      <c r="S28" s="132">
        <f t="shared" si="2"/>
        <v>3.7500000000000004</v>
      </c>
      <c r="T28" s="132">
        <f t="shared" si="3"/>
        <v>3.7500000000000004</v>
      </c>
      <c r="W28" s="13"/>
      <c r="CH28" s="2"/>
    </row>
    <row r="29" spans="1:86" hidden="1" x14ac:dyDescent="0.3">
      <c r="A29" s="2">
        <v>1913</v>
      </c>
      <c r="B29" s="2" t="s">
        <v>0</v>
      </c>
      <c r="C29" s="2" t="s">
        <v>21</v>
      </c>
      <c r="D29" s="2" t="s">
        <v>156</v>
      </c>
      <c r="E29" s="2">
        <v>300</v>
      </c>
      <c r="F29" s="2">
        <v>2.5100000000000001E-2</v>
      </c>
      <c r="G29" s="2">
        <v>1.8200000000000001E-2</v>
      </c>
      <c r="H29" s="4">
        <f t="shared" si="0"/>
        <v>0.27490039840637448</v>
      </c>
      <c r="I29" s="2" t="s">
        <v>82</v>
      </c>
      <c r="J29" s="2" t="s">
        <v>157</v>
      </c>
      <c r="K29" s="2" t="s">
        <v>129</v>
      </c>
      <c r="L29" s="2" t="s">
        <v>96</v>
      </c>
      <c r="M29" s="155"/>
      <c r="N29" s="155"/>
      <c r="O29" s="2">
        <v>4</v>
      </c>
      <c r="P29" s="6">
        <v>25</v>
      </c>
      <c r="Q29" s="132">
        <f t="shared" si="4"/>
        <v>15.36</v>
      </c>
      <c r="R29" s="33">
        <f t="shared" si="1"/>
        <v>25</v>
      </c>
      <c r="S29" s="132">
        <f t="shared" si="2"/>
        <v>3.125</v>
      </c>
      <c r="T29" s="132">
        <f t="shared" si="3"/>
        <v>3.125</v>
      </c>
      <c r="W29" s="13"/>
      <c r="CH29" s="2"/>
    </row>
    <row r="30" spans="1:86" hidden="1" x14ac:dyDescent="0.3">
      <c r="A30" s="2">
        <v>730</v>
      </c>
      <c r="B30" s="2" t="s">
        <v>0</v>
      </c>
      <c r="C30" s="2" t="s">
        <v>21</v>
      </c>
      <c r="D30" s="123" t="s">
        <v>158</v>
      </c>
      <c r="E30" s="2">
        <v>540</v>
      </c>
      <c r="F30" s="2">
        <v>1.9800000000000002E-2</v>
      </c>
      <c r="G30" s="2">
        <v>1.55E-2</v>
      </c>
      <c r="H30" s="4">
        <f t="shared" si="0"/>
        <v>0.21717171717171724</v>
      </c>
      <c r="I30" s="123" t="s">
        <v>86</v>
      </c>
      <c r="J30" s="2" t="s">
        <v>159</v>
      </c>
      <c r="K30" s="2" t="s">
        <v>105</v>
      </c>
      <c r="L30" s="2" t="s">
        <v>76</v>
      </c>
      <c r="M30" s="155"/>
      <c r="N30" s="155"/>
      <c r="O30" s="2">
        <v>4</v>
      </c>
      <c r="P30" s="6">
        <v>28</v>
      </c>
      <c r="Q30" s="132">
        <f t="shared" si="4"/>
        <v>7.6190476190476195</v>
      </c>
      <c r="R30" s="33">
        <f t="shared" si="1"/>
        <v>28</v>
      </c>
      <c r="S30" s="132">
        <f t="shared" si="2"/>
        <v>3.5</v>
      </c>
      <c r="T30" s="132">
        <f t="shared" si="3"/>
        <v>3.5</v>
      </c>
      <c r="W30" s="13"/>
      <c r="CH30" s="2"/>
    </row>
    <row r="31" spans="1:86" hidden="1" x14ac:dyDescent="0.3">
      <c r="A31" s="2">
        <v>1814</v>
      </c>
      <c r="B31" s="2" t="s">
        <v>0</v>
      </c>
      <c r="C31" s="2" t="s">
        <v>21</v>
      </c>
      <c r="D31" s="2" t="s">
        <v>160</v>
      </c>
      <c r="E31" s="2">
        <v>520</v>
      </c>
      <c r="F31" s="2">
        <v>2.5000000000000001E-2</v>
      </c>
      <c r="G31" s="2">
        <v>2.0400000000000001E-2</v>
      </c>
      <c r="H31" s="4">
        <f t="shared" si="0"/>
        <v>0.184</v>
      </c>
      <c r="I31" s="2" t="s">
        <v>73</v>
      </c>
      <c r="J31" s="2" t="s">
        <v>161</v>
      </c>
      <c r="K31" s="2" t="s">
        <v>95</v>
      </c>
      <c r="L31" s="2" t="s">
        <v>96</v>
      </c>
      <c r="M31" s="155"/>
      <c r="N31" s="155"/>
      <c r="O31" s="2">
        <v>2</v>
      </c>
      <c r="P31" s="6">
        <v>34</v>
      </c>
      <c r="Q31" s="132">
        <f t="shared" si="4"/>
        <v>3.2579185520361991</v>
      </c>
      <c r="R31" s="33">
        <f t="shared" si="1"/>
        <v>34</v>
      </c>
      <c r="S31" s="132">
        <f t="shared" si="2"/>
        <v>4.25</v>
      </c>
      <c r="T31" s="132">
        <f t="shared" si="3"/>
        <v>4.25</v>
      </c>
      <c r="W31" s="13"/>
      <c r="CH31" s="2"/>
    </row>
    <row r="32" spans="1:86" hidden="1" x14ac:dyDescent="0.3">
      <c r="A32" s="23">
        <v>1915</v>
      </c>
      <c r="B32" s="2" t="s">
        <v>0</v>
      </c>
      <c r="C32" s="2" t="s">
        <v>21</v>
      </c>
      <c r="D32" s="2" t="s">
        <v>162</v>
      </c>
      <c r="E32" s="2">
        <v>300</v>
      </c>
      <c r="F32" s="2">
        <v>2.5000000000000001E-2</v>
      </c>
      <c r="G32" s="2">
        <v>2.0400000000000001E-2</v>
      </c>
      <c r="H32" s="4">
        <f t="shared" si="0"/>
        <v>0.184</v>
      </c>
      <c r="I32" s="2" t="s">
        <v>73</v>
      </c>
      <c r="J32" s="2" t="s">
        <v>161</v>
      </c>
      <c r="K32" s="2" t="s">
        <v>163</v>
      </c>
      <c r="L32" s="2" t="s">
        <v>6</v>
      </c>
      <c r="M32" s="155">
        <v>1</v>
      </c>
      <c r="N32" s="155">
        <v>300</v>
      </c>
      <c r="O32" s="2">
        <v>2</v>
      </c>
      <c r="P32" s="40">
        <v>45</v>
      </c>
      <c r="Q32" s="132">
        <f t="shared" si="4"/>
        <v>4</v>
      </c>
      <c r="R32" s="33">
        <f t="shared" si="1"/>
        <v>48</v>
      </c>
      <c r="S32" s="132">
        <f t="shared" si="2"/>
        <v>6</v>
      </c>
      <c r="T32" s="132">
        <f t="shared" si="3"/>
        <v>6</v>
      </c>
      <c r="V32" s="28"/>
      <c r="W32" s="13"/>
      <c r="AD32" s="22">
        <v>45411</v>
      </c>
      <c r="AE32">
        <v>16</v>
      </c>
      <c r="AF32">
        <v>0.9</v>
      </c>
      <c r="AG32">
        <v>0.1</v>
      </c>
      <c r="AH32">
        <v>1</v>
      </c>
      <c r="AI32">
        <v>0.1</v>
      </c>
      <c r="AJ32">
        <v>0.3</v>
      </c>
      <c r="AK32">
        <v>0.36</v>
      </c>
      <c r="AL32">
        <v>0.2</v>
      </c>
      <c r="AM32">
        <v>0.14000000000000001</v>
      </c>
      <c r="AN32">
        <v>0.5</v>
      </c>
      <c r="AO32">
        <v>4</v>
      </c>
      <c r="AP32">
        <v>45</v>
      </c>
      <c r="AQ32">
        <v>104</v>
      </c>
      <c r="AR32">
        <v>109</v>
      </c>
      <c r="AS32">
        <v>114</v>
      </c>
      <c r="AT32">
        <v>40</v>
      </c>
      <c r="AY32">
        <v>383</v>
      </c>
      <c r="BC32">
        <v>111</v>
      </c>
      <c r="BD32">
        <v>112</v>
      </c>
      <c r="CH32" s="2"/>
    </row>
    <row r="33" spans="1:86" hidden="1" x14ac:dyDescent="0.3">
      <c r="A33" s="2">
        <v>1815</v>
      </c>
      <c r="B33" s="2" t="s">
        <v>0</v>
      </c>
      <c r="C33" s="2" t="s">
        <v>21</v>
      </c>
      <c r="D33" s="2" t="s">
        <v>164</v>
      </c>
      <c r="E33" s="2">
        <v>520</v>
      </c>
      <c r="F33" s="2">
        <v>2.5000000000000001E-2</v>
      </c>
      <c r="G33" s="2">
        <v>2.0400000000000001E-2</v>
      </c>
      <c r="H33" s="4">
        <f t="shared" si="0"/>
        <v>0.184</v>
      </c>
      <c r="I33" s="2" t="s">
        <v>73</v>
      </c>
      <c r="J33" s="2" t="s">
        <v>161</v>
      </c>
      <c r="K33" s="2" t="s">
        <v>95</v>
      </c>
      <c r="L33" s="2" t="s">
        <v>96</v>
      </c>
      <c r="M33" s="155"/>
      <c r="N33" s="155"/>
      <c r="O33" s="2">
        <v>2</v>
      </c>
      <c r="P33" s="6">
        <v>34</v>
      </c>
      <c r="Q33" s="132">
        <f t="shared" si="4"/>
        <v>3.2579185520361991</v>
      </c>
      <c r="R33" s="33">
        <f t="shared" si="1"/>
        <v>34</v>
      </c>
      <c r="S33" s="132">
        <f t="shared" si="2"/>
        <v>4.25</v>
      </c>
      <c r="T33" s="132">
        <f t="shared" si="3"/>
        <v>4.25</v>
      </c>
      <c r="W33" s="13"/>
      <c r="CH33" s="2"/>
    </row>
    <row r="34" spans="1:86" hidden="1" x14ac:dyDescent="0.3">
      <c r="A34" s="23">
        <v>1916</v>
      </c>
      <c r="B34" s="2" t="s">
        <v>0</v>
      </c>
      <c r="C34" s="2" t="s">
        <v>21</v>
      </c>
      <c r="D34" s="2" t="s">
        <v>165</v>
      </c>
      <c r="E34" s="2">
        <v>300</v>
      </c>
      <c r="F34" s="2">
        <v>2.5000000000000001E-2</v>
      </c>
      <c r="G34" s="2">
        <v>2.0400000000000001E-2</v>
      </c>
      <c r="H34" s="4">
        <f t="shared" si="0"/>
        <v>0.184</v>
      </c>
      <c r="I34" s="2" t="s">
        <v>73</v>
      </c>
      <c r="J34" s="2" t="s">
        <v>161</v>
      </c>
      <c r="K34" s="2" t="s">
        <v>163</v>
      </c>
      <c r="L34" s="2" t="s">
        <v>6</v>
      </c>
      <c r="M34" s="155">
        <v>1</v>
      </c>
      <c r="N34" s="155">
        <v>300</v>
      </c>
      <c r="O34" s="2">
        <v>2</v>
      </c>
      <c r="P34" s="6">
        <v>50</v>
      </c>
      <c r="Q34" s="132">
        <f t="shared" si="4"/>
        <v>3.6</v>
      </c>
      <c r="R34" s="33">
        <f t="shared" si="1"/>
        <v>53.333333333333329</v>
      </c>
      <c r="S34" s="132">
        <f t="shared" si="2"/>
        <v>6.6666666666666661</v>
      </c>
      <c r="T34" s="132">
        <f t="shared" si="3"/>
        <v>6.6666666666666661</v>
      </c>
      <c r="U34">
        <f>1000/R34</f>
        <v>18.75</v>
      </c>
      <c r="V34" s="5">
        <f>R34*0.85</f>
        <v>45.333333333333329</v>
      </c>
      <c r="W34" s="13"/>
      <c r="AD34" s="22">
        <v>45378</v>
      </c>
      <c r="AE34" t="s">
        <v>166</v>
      </c>
      <c r="AF34">
        <v>0.8</v>
      </c>
      <c r="AG34">
        <v>0.1</v>
      </c>
      <c r="AH34">
        <v>1</v>
      </c>
      <c r="AI34">
        <v>0.13</v>
      </c>
      <c r="AJ34">
        <v>0.25</v>
      </c>
      <c r="AK34">
        <v>0.14000000000000001</v>
      </c>
      <c r="AL34">
        <v>0.21</v>
      </c>
      <c r="AM34">
        <v>0.3</v>
      </c>
      <c r="AN34">
        <v>0.2</v>
      </c>
      <c r="AO34">
        <v>3.6</v>
      </c>
      <c r="AP34">
        <v>48</v>
      </c>
      <c r="AQ34">
        <v>103</v>
      </c>
      <c r="AR34">
        <v>103</v>
      </c>
      <c r="AS34">
        <v>103</v>
      </c>
      <c r="AT34">
        <v>40</v>
      </c>
      <c r="AU34">
        <v>20</v>
      </c>
      <c r="AV34">
        <v>40</v>
      </c>
      <c r="AW34">
        <v>20</v>
      </c>
      <c r="AX34">
        <v>100</v>
      </c>
      <c r="AY34">
        <v>294</v>
      </c>
      <c r="AZ34" t="s">
        <v>78</v>
      </c>
      <c r="BA34">
        <v>1200</v>
      </c>
      <c r="BB34">
        <v>10</v>
      </c>
      <c r="CH34" s="2"/>
    </row>
    <row r="35" spans="1:86" hidden="1" x14ac:dyDescent="0.3">
      <c r="A35" s="2">
        <v>1138</v>
      </c>
      <c r="B35" s="2" t="s">
        <v>0</v>
      </c>
      <c r="C35" s="2" t="s">
        <v>21</v>
      </c>
      <c r="D35" s="123" t="s">
        <v>167</v>
      </c>
      <c r="E35" s="2">
        <v>300</v>
      </c>
      <c r="F35" s="2">
        <v>2.5000000000000001E-2</v>
      </c>
      <c r="G35" s="2">
        <v>2.0400000000000001E-2</v>
      </c>
      <c r="H35" s="4">
        <f t="shared" si="0"/>
        <v>0.184</v>
      </c>
      <c r="I35" s="2" t="s">
        <v>73</v>
      </c>
      <c r="J35" s="2" t="s">
        <v>161</v>
      </c>
      <c r="K35" s="2" t="s">
        <v>163</v>
      </c>
      <c r="L35" s="2" t="s">
        <v>6</v>
      </c>
      <c r="M35" s="155"/>
      <c r="N35" s="155"/>
      <c r="O35" s="2">
        <v>2</v>
      </c>
      <c r="P35" s="6">
        <v>45</v>
      </c>
      <c r="Q35" s="132">
        <f t="shared" si="4"/>
        <v>4.2666666666666666</v>
      </c>
      <c r="R35" s="33">
        <f t="shared" si="1"/>
        <v>45</v>
      </c>
      <c r="S35" s="132">
        <f t="shared" si="2"/>
        <v>5.625</v>
      </c>
      <c r="T35" s="132">
        <f t="shared" si="3"/>
        <v>5.625</v>
      </c>
      <c r="W35" s="13"/>
      <c r="CH35" s="2"/>
    </row>
    <row r="36" spans="1:86" hidden="1" x14ac:dyDescent="0.3">
      <c r="A36" s="2">
        <v>1816</v>
      </c>
      <c r="B36" s="2" t="s">
        <v>0</v>
      </c>
      <c r="C36" s="2" t="s">
        <v>21</v>
      </c>
      <c r="D36" s="2" t="s">
        <v>168</v>
      </c>
      <c r="E36" s="2">
        <v>520</v>
      </c>
      <c r="F36" s="2">
        <v>2.5000000000000001E-2</v>
      </c>
      <c r="G36" s="2">
        <v>2.0400000000000001E-2</v>
      </c>
      <c r="H36" s="4">
        <f t="shared" si="0"/>
        <v>0.184</v>
      </c>
      <c r="I36" s="2" t="s">
        <v>82</v>
      </c>
      <c r="J36" s="2" t="s">
        <v>169</v>
      </c>
      <c r="K36" s="2" t="s">
        <v>105</v>
      </c>
      <c r="L36" s="2" t="s">
        <v>76</v>
      </c>
      <c r="M36" s="155"/>
      <c r="N36" s="155"/>
      <c r="O36" s="2">
        <v>2</v>
      </c>
      <c r="P36" s="6">
        <v>28</v>
      </c>
      <c r="Q36" s="132">
        <f t="shared" si="4"/>
        <v>3.9560439560439562</v>
      </c>
      <c r="R36" s="33">
        <f t="shared" si="1"/>
        <v>28</v>
      </c>
      <c r="S36" s="132">
        <f t="shared" si="2"/>
        <v>3.5</v>
      </c>
      <c r="T36" s="132">
        <f t="shared" si="3"/>
        <v>3.5</v>
      </c>
      <c r="W36" s="13"/>
      <c r="CH36" s="2"/>
    </row>
    <row r="37" spans="1:86" hidden="1" x14ac:dyDescent="0.3">
      <c r="A37" s="2">
        <v>2079</v>
      </c>
      <c r="B37" s="2" t="s">
        <v>0</v>
      </c>
      <c r="C37" s="2" t="s">
        <v>21</v>
      </c>
      <c r="D37" s="2" t="s">
        <v>168</v>
      </c>
      <c r="E37" s="2">
        <v>200</v>
      </c>
      <c r="F37" s="2">
        <v>2.5000000000000001E-2</v>
      </c>
      <c r="G37" s="2">
        <v>2.0400000000000001E-2</v>
      </c>
      <c r="H37" s="4">
        <f t="shared" si="0"/>
        <v>0.184</v>
      </c>
      <c r="I37" s="2" t="s">
        <v>82</v>
      </c>
      <c r="J37" s="2" t="s">
        <v>169</v>
      </c>
      <c r="K37" s="2" t="s">
        <v>163</v>
      </c>
      <c r="L37" s="2" t="s">
        <v>6</v>
      </c>
      <c r="M37" s="155"/>
      <c r="N37" s="155"/>
      <c r="O37" s="2">
        <v>2</v>
      </c>
      <c r="P37" s="6">
        <v>73</v>
      </c>
      <c r="Q37" s="132">
        <f t="shared" si="4"/>
        <v>3.9452054794520546</v>
      </c>
      <c r="R37" s="33">
        <f t="shared" si="1"/>
        <v>73</v>
      </c>
      <c r="S37" s="132">
        <f t="shared" si="2"/>
        <v>9.125</v>
      </c>
      <c r="T37" s="132">
        <f t="shared" si="3"/>
        <v>9.125</v>
      </c>
      <c r="W37" s="13"/>
      <c r="CH37" s="2"/>
    </row>
    <row r="38" spans="1:86" hidden="1" x14ac:dyDescent="0.3">
      <c r="A38" s="2">
        <v>1817</v>
      </c>
      <c r="B38" s="23" t="s">
        <v>0</v>
      </c>
      <c r="C38" s="2" t="s">
        <v>21</v>
      </c>
      <c r="D38" s="2" t="s">
        <v>170</v>
      </c>
      <c r="E38" s="2">
        <v>200</v>
      </c>
      <c r="F38" s="2">
        <v>4.0300000000000002E-2</v>
      </c>
      <c r="G38" s="2">
        <v>3.4799999999999998E-2</v>
      </c>
      <c r="H38" s="4">
        <f t="shared" si="0"/>
        <v>0.13647642679900757</v>
      </c>
      <c r="I38" s="2" t="s">
        <v>82</v>
      </c>
      <c r="J38" s="2" t="s">
        <v>171</v>
      </c>
      <c r="K38" s="2" t="s">
        <v>105</v>
      </c>
      <c r="L38" s="2" t="s">
        <v>76</v>
      </c>
      <c r="M38" s="155"/>
      <c r="N38" s="155"/>
      <c r="O38" s="2">
        <v>2</v>
      </c>
      <c r="P38" s="6">
        <v>40</v>
      </c>
      <c r="Q38" s="132">
        <f t="shared" si="4"/>
        <v>7.2</v>
      </c>
      <c r="R38" s="33">
        <f t="shared" si="1"/>
        <v>40</v>
      </c>
      <c r="S38" s="132">
        <f t="shared" si="2"/>
        <v>5</v>
      </c>
      <c r="T38" s="132">
        <f t="shared" si="3"/>
        <v>5</v>
      </c>
      <c r="W38" s="13"/>
      <c r="CH38" s="2"/>
    </row>
    <row r="39" spans="1:86" hidden="1" x14ac:dyDescent="0.3">
      <c r="A39" s="23">
        <v>1818</v>
      </c>
      <c r="B39" s="2" t="s">
        <v>0</v>
      </c>
      <c r="C39" s="2" t="s">
        <v>21</v>
      </c>
      <c r="D39" s="2" t="s">
        <v>172</v>
      </c>
      <c r="E39" s="2">
        <v>200</v>
      </c>
      <c r="F39" s="2">
        <v>2.9899999999999999E-2</v>
      </c>
      <c r="G39" s="2">
        <v>2.47E-2</v>
      </c>
      <c r="H39" s="4">
        <f t="shared" si="0"/>
        <v>0.17391304347826086</v>
      </c>
      <c r="I39" s="2" t="s">
        <v>82</v>
      </c>
      <c r="J39" s="2" t="s">
        <v>89</v>
      </c>
      <c r="K39" s="2" t="s">
        <v>163</v>
      </c>
      <c r="L39" s="2" t="s">
        <v>6</v>
      </c>
      <c r="M39" s="155">
        <v>1</v>
      </c>
      <c r="N39" s="155">
        <v>200</v>
      </c>
      <c r="O39" s="2">
        <v>2</v>
      </c>
      <c r="P39" s="6">
        <v>58</v>
      </c>
      <c r="Q39" s="132">
        <f t="shared" si="4"/>
        <v>4.5999999999999996</v>
      </c>
      <c r="R39" s="33">
        <f t="shared" si="1"/>
        <v>62.608695652173921</v>
      </c>
      <c r="S39" s="132">
        <f t="shared" si="2"/>
        <v>7.8260869565217401</v>
      </c>
      <c r="T39" s="132">
        <f t="shared" si="3"/>
        <v>7.8260869565217401</v>
      </c>
      <c r="W39" s="13"/>
      <c r="Z39" t="s">
        <v>7</v>
      </c>
      <c r="AD39" s="24">
        <v>45391</v>
      </c>
      <c r="AE39">
        <v>15</v>
      </c>
      <c r="AF39">
        <v>1</v>
      </c>
      <c r="AG39">
        <v>0.1</v>
      </c>
      <c r="AH39">
        <v>1</v>
      </c>
      <c r="AI39">
        <v>0.1</v>
      </c>
      <c r="AJ39">
        <v>0.5</v>
      </c>
      <c r="AK39">
        <v>0.2</v>
      </c>
      <c r="AL39">
        <v>0.16</v>
      </c>
      <c r="AM39">
        <v>0.7</v>
      </c>
      <c r="AN39">
        <v>0.3</v>
      </c>
      <c r="AO39">
        <v>4.5999999999999996</v>
      </c>
      <c r="AP39">
        <v>45</v>
      </c>
      <c r="AQ39">
        <v>106</v>
      </c>
      <c r="AR39">
        <v>106</v>
      </c>
      <c r="AS39">
        <v>106</v>
      </c>
      <c r="AT39">
        <v>50</v>
      </c>
      <c r="AU39">
        <v>20</v>
      </c>
      <c r="AV39">
        <v>40</v>
      </c>
      <c r="AW39">
        <v>20</v>
      </c>
      <c r="AX39">
        <v>100</v>
      </c>
      <c r="AY39">
        <v>297</v>
      </c>
      <c r="AZ39" t="s">
        <v>78</v>
      </c>
      <c r="BA39">
        <v>1000</v>
      </c>
      <c r="BB39">
        <v>10</v>
      </c>
      <c r="CH39" s="2"/>
    </row>
    <row r="40" spans="1:86" hidden="1" x14ac:dyDescent="0.3">
      <c r="A40" s="23">
        <v>1819</v>
      </c>
      <c r="B40" s="2" t="s">
        <v>0</v>
      </c>
      <c r="C40" s="2" t="s">
        <v>21</v>
      </c>
      <c r="D40" s="2" t="s">
        <v>173</v>
      </c>
      <c r="E40" s="2">
        <v>360</v>
      </c>
      <c r="F40" s="2">
        <v>3.4299999999999997E-2</v>
      </c>
      <c r="G40" s="2">
        <v>2.8299999999999999E-2</v>
      </c>
      <c r="H40" s="4">
        <f t="shared" si="0"/>
        <v>0.17492711370262387</v>
      </c>
      <c r="I40" s="2" t="s">
        <v>82</v>
      </c>
      <c r="J40" s="2" t="s">
        <v>174</v>
      </c>
      <c r="K40" s="2" t="s">
        <v>175</v>
      </c>
      <c r="L40" s="2" t="s">
        <v>96</v>
      </c>
      <c r="M40" s="155">
        <v>2</v>
      </c>
      <c r="N40" s="155">
        <v>180</v>
      </c>
      <c r="O40" s="2">
        <v>2</v>
      </c>
      <c r="P40" s="6">
        <v>41</v>
      </c>
      <c r="Q40" s="132">
        <f t="shared" si="4"/>
        <v>3.6</v>
      </c>
      <c r="R40" s="33">
        <f t="shared" si="1"/>
        <v>44.444444444444443</v>
      </c>
      <c r="S40" s="132">
        <f t="shared" si="2"/>
        <v>5.5555555555555554</v>
      </c>
      <c r="T40" s="132">
        <f t="shared" si="3"/>
        <v>5.5555555555555554</v>
      </c>
      <c r="W40" s="13"/>
      <c r="Z40" t="s">
        <v>7</v>
      </c>
      <c r="AD40" s="24">
        <v>45504</v>
      </c>
      <c r="AE40">
        <v>12</v>
      </c>
      <c r="AF40">
        <v>0.8</v>
      </c>
      <c r="AG40">
        <v>0.15</v>
      </c>
      <c r="AH40">
        <v>0.8</v>
      </c>
      <c r="AI40">
        <v>0.15</v>
      </c>
      <c r="AJ40">
        <v>0.4</v>
      </c>
      <c r="AK40">
        <v>0.12</v>
      </c>
      <c r="AL40">
        <v>0.16</v>
      </c>
      <c r="AM40">
        <v>0.33</v>
      </c>
      <c r="AN40">
        <v>0.15</v>
      </c>
      <c r="AO40">
        <v>3.6</v>
      </c>
      <c r="AP40">
        <v>51</v>
      </c>
      <c r="AQ40">
        <v>104</v>
      </c>
      <c r="AR40">
        <v>104</v>
      </c>
      <c r="AS40">
        <v>104</v>
      </c>
      <c r="AT40">
        <v>40</v>
      </c>
      <c r="AU40">
        <v>30</v>
      </c>
      <c r="AV40">
        <v>40</v>
      </c>
      <c r="AW40">
        <v>40</v>
      </c>
      <c r="AX40">
        <v>100</v>
      </c>
      <c r="AY40">
        <v>330</v>
      </c>
      <c r="AZ40" t="s">
        <v>78</v>
      </c>
      <c r="BA40">
        <v>2400</v>
      </c>
      <c r="BB40">
        <v>10</v>
      </c>
      <c r="CH40" s="2"/>
    </row>
    <row r="41" spans="1:86" hidden="1" x14ac:dyDescent="0.3">
      <c r="A41" s="2">
        <v>1820</v>
      </c>
      <c r="B41" s="2" t="s">
        <v>0</v>
      </c>
      <c r="C41" s="2" t="s">
        <v>21</v>
      </c>
      <c r="D41" s="123" t="s">
        <v>176</v>
      </c>
      <c r="E41" s="2">
        <v>900</v>
      </c>
      <c r="F41" s="2">
        <v>1.84E-2</v>
      </c>
      <c r="G41" s="2">
        <v>1.5800000000000002E-2</v>
      </c>
      <c r="H41" s="4">
        <f t="shared" si="0"/>
        <v>0.14130434782608686</v>
      </c>
      <c r="I41" s="2" t="s">
        <v>82</v>
      </c>
      <c r="J41" s="2" t="s">
        <v>177</v>
      </c>
      <c r="K41" s="2" t="s">
        <v>105</v>
      </c>
      <c r="L41" s="2" t="s">
        <v>76</v>
      </c>
      <c r="M41" s="155"/>
      <c r="N41" s="155"/>
      <c r="O41" s="2">
        <v>4</v>
      </c>
      <c r="P41" s="6">
        <v>20</v>
      </c>
      <c r="Q41" s="132">
        <f t="shared" si="4"/>
        <v>6.4</v>
      </c>
      <c r="R41" s="33">
        <f t="shared" si="1"/>
        <v>20</v>
      </c>
      <c r="S41" s="132">
        <f t="shared" si="2"/>
        <v>2.5</v>
      </c>
      <c r="T41" s="132">
        <f t="shared" si="3"/>
        <v>2.5</v>
      </c>
      <c r="W41" s="13"/>
      <c r="CH41" s="2"/>
    </row>
    <row r="42" spans="1:86" hidden="1" x14ac:dyDescent="0.3">
      <c r="A42" s="23">
        <v>1922</v>
      </c>
      <c r="B42" s="2" t="s">
        <v>0</v>
      </c>
      <c r="C42" s="2" t="s">
        <v>21</v>
      </c>
      <c r="D42" s="2" t="s">
        <v>176</v>
      </c>
      <c r="E42" s="2">
        <v>300</v>
      </c>
      <c r="F42" s="2">
        <v>1.84E-2</v>
      </c>
      <c r="G42" s="2">
        <v>1.5800000000000002E-2</v>
      </c>
      <c r="H42" s="4">
        <f t="shared" si="0"/>
        <v>0.14130434782608686</v>
      </c>
      <c r="I42" s="2" t="s">
        <v>82</v>
      </c>
      <c r="J42" s="2" t="s">
        <v>177</v>
      </c>
      <c r="K42" s="2" t="s">
        <v>90</v>
      </c>
      <c r="L42" s="2" t="s">
        <v>6</v>
      </c>
      <c r="M42" s="155">
        <v>3</v>
      </c>
      <c r="N42" s="155">
        <v>100</v>
      </c>
      <c r="O42" s="2">
        <v>4</v>
      </c>
      <c r="P42" s="6">
        <v>60</v>
      </c>
      <c r="Q42" s="132">
        <f t="shared" si="4"/>
        <v>5.0999999999999996</v>
      </c>
      <c r="R42" s="33">
        <f t="shared" si="1"/>
        <v>75.294117647058826</v>
      </c>
      <c r="S42" s="132">
        <f t="shared" si="2"/>
        <v>9.4117647058823533</v>
      </c>
      <c r="T42" s="132">
        <f t="shared" si="3"/>
        <v>9.4117647058823533</v>
      </c>
      <c r="W42" s="13"/>
      <c r="AD42" s="22">
        <v>45517</v>
      </c>
      <c r="AE42">
        <v>15</v>
      </c>
      <c r="AF42">
        <v>1.4</v>
      </c>
      <c r="AG42">
        <v>0.3</v>
      </c>
      <c r="AH42">
        <v>1.4</v>
      </c>
      <c r="AI42">
        <v>0.3</v>
      </c>
      <c r="AJ42">
        <v>0.5</v>
      </c>
      <c r="AK42">
        <v>0.18</v>
      </c>
      <c r="AL42">
        <v>0.18</v>
      </c>
      <c r="AM42">
        <v>0.4</v>
      </c>
      <c r="AN42">
        <v>0.17</v>
      </c>
      <c r="AO42">
        <v>5.0999999999999996</v>
      </c>
      <c r="AP42">
        <v>52</v>
      </c>
      <c r="AQ42">
        <v>109</v>
      </c>
      <c r="AR42">
        <v>109</v>
      </c>
      <c r="AS42">
        <v>107</v>
      </c>
      <c r="AT42">
        <v>38</v>
      </c>
      <c r="AU42">
        <v>20</v>
      </c>
      <c r="AV42">
        <v>40</v>
      </c>
      <c r="AW42">
        <v>20</v>
      </c>
      <c r="AX42">
        <v>100</v>
      </c>
      <c r="AY42">
        <v>450</v>
      </c>
      <c r="AZ42" t="s">
        <v>78</v>
      </c>
      <c r="BA42">
        <v>2000</v>
      </c>
      <c r="BB42">
        <v>10</v>
      </c>
      <c r="BE42" s="116">
        <f>AO42/BQ42-1</f>
        <v>-1.9230769230769384E-2</v>
      </c>
      <c r="BF42" s="22">
        <v>45404</v>
      </c>
      <c r="BG42">
        <v>12</v>
      </c>
      <c r="BH42">
        <v>1.3</v>
      </c>
      <c r="BI42">
        <v>0.3</v>
      </c>
      <c r="BJ42">
        <v>1.2</v>
      </c>
      <c r="BK42">
        <v>0.3</v>
      </c>
      <c r="BL42">
        <v>0.7</v>
      </c>
      <c r="BM42">
        <v>0.15</v>
      </c>
      <c r="BN42">
        <v>0.18</v>
      </c>
      <c r="BO42">
        <v>0.4</v>
      </c>
      <c r="BP42">
        <v>0.3</v>
      </c>
      <c r="BQ42">
        <v>5.2</v>
      </c>
      <c r="BR42">
        <v>49</v>
      </c>
      <c r="BS42">
        <v>106</v>
      </c>
      <c r="BT42">
        <v>106</v>
      </c>
      <c r="BU42">
        <v>106</v>
      </c>
      <c r="BV42">
        <v>40</v>
      </c>
      <c r="BW42">
        <v>38</v>
      </c>
      <c r="BX42">
        <v>40</v>
      </c>
      <c r="BY42">
        <v>40</v>
      </c>
      <c r="BZ42">
        <v>101</v>
      </c>
      <c r="CA42">
        <v>459</v>
      </c>
      <c r="CB42" t="s">
        <v>78</v>
      </c>
      <c r="CC42">
        <v>2000</v>
      </c>
      <c r="CD42">
        <v>10</v>
      </c>
      <c r="CH42" s="2"/>
    </row>
    <row r="43" spans="1:86" hidden="1" x14ac:dyDescent="0.3">
      <c r="A43" s="2">
        <v>1796</v>
      </c>
      <c r="B43" s="2" t="s">
        <v>84</v>
      </c>
      <c r="C43" s="2" t="s">
        <v>21</v>
      </c>
      <c r="D43" s="123" t="s">
        <v>178</v>
      </c>
      <c r="E43" s="2">
        <v>900</v>
      </c>
      <c r="F43" s="2">
        <v>1.01E-2</v>
      </c>
      <c r="G43" s="2">
        <v>1.14E-2</v>
      </c>
      <c r="H43" s="4">
        <f t="shared" si="0"/>
        <v>-0.1287128712871288</v>
      </c>
      <c r="I43" s="123" t="s">
        <v>86</v>
      </c>
      <c r="J43" s="2" t="s">
        <v>179</v>
      </c>
      <c r="K43" s="2" t="s">
        <v>105</v>
      </c>
      <c r="L43" s="2" t="s">
        <v>76</v>
      </c>
      <c r="M43" s="155"/>
      <c r="N43" s="155"/>
      <c r="O43" s="2">
        <v>4</v>
      </c>
      <c r="P43" s="6"/>
      <c r="Q43" s="132" t="str">
        <f t="shared" si="4"/>
        <v/>
      </c>
      <c r="R43" s="33" t="str">
        <f t="shared" si="1"/>
        <v/>
      </c>
      <c r="S43" s="132" t="str">
        <f t="shared" si="2"/>
        <v/>
      </c>
      <c r="T43" s="132" t="str">
        <f t="shared" si="3"/>
        <v/>
      </c>
      <c r="W43" s="13"/>
      <c r="CH43" s="2"/>
    </row>
    <row r="44" spans="1:86" hidden="1" x14ac:dyDescent="0.3">
      <c r="A44" s="23">
        <v>2088</v>
      </c>
      <c r="B44" s="2" t="s">
        <v>0</v>
      </c>
      <c r="C44" s="2" t="s">
        <v>21</v>
      </c>
      <c r="D44" s="2" t="s">
        <v>180</v>
      </c>
      <c r="E44" s="2">
        <v>300</v>
      </c>
      <c r="F44" s="2">
        <v>1.84E-2</v>
      </c>
      <c r="G44" s="2">
        <v>1.5800000000000002E-2</v>
      </c>
      <c r="H44" s="4">
        <f t="shared" si="0"/>
        <v>0.14130434782608686</v>
      </c>
      <c r="I44" s="2" t="s">
        <v>73</v>
      </c>
      <c r="J44" s="2" t="s">
        <v>181</v>
      </c>
      <c r="K44" s="2" t="s">
        <v>90</v>
      </c>
      <c r="L44" s="2" t="s">
        <v>6</v>
      </c>
      <c r="M44" s="155">
        <v>3</v>
      </c>
      <c r="N44" s="155">
        <v>100</v>
      </c>
      <c r="O44" s="2">
        <v>4</v>
      </c>
      <c r="P44" s="6">
        <v>60</v>
      </c>
      <c r="Q44" s="132">
        <f t="shared" si="4"/>
        <v>5.0999999999999996</v>
      </c>
      <c r="R44" s="33">
        <f t="shared" si="1"/>
        <v>75.294117647058826</v>
      </c>
      <c r="S44" s="132">
        <f t="shared" si="2"/>
        <v>9.4117647058823533</v>
      </c>
      <c r="T44" s="132">
        <f t="shared" si="3"/>
        <v>9.4117647058823533</v>
      </c>
      <c r="W44" s="13"/>
      <c r="AD44" s="22">
        <v>45517</v>
      </c>
      <c r="AE44">
        <v>15</v>
      </c>
      <c r="AF44">
        <v>1.4</v>
      </c>
      <c r="AG44">
        <v>0.3</v>
      </c>
      <c r="AH44">
        <v>1.4</v>
      </c>
      <c r="AI44">
        <v>0.3</v>
      </c>
      <c r="AJ44">
        <v>0.5</v>
      </c>
      <c r="AK44">
        <v>0.18</v>
      </c>
      <c r="AL44">
        <v>0.18</v>
      </c>
      <c r="AM44">
        <v>0.4</v>
      </c>
      <c r="AN44">
        <v>0.17</v>
      </c>
      <c r="AO44">
        <v>5.0999999999999996</v>
      </c>
      <c r="AP44">
        <v>52</v>
      </c>
      <c r="AQ44">
        <v>109</v>
      </c>
      <c r="AR44">
        <v>109</v>
      </c>
      <c r="AS44">
        <v>107</v>
      </c>
      <c r="AT44">
        <v>38</v>
      </c>
      <c r="AU44">
        <v>20</v>
      </c>
      <c r="AV44">
        <v>40</v>
      </c>
      <c r="AW44">
        <v>20</v>
      </c>
      <c r="AX44">
        <v>100</v>
      </c>
      <c r="AY44">
        <v>450</v>
      </c>
      <c r="AZ44" t="s">
        <v>78</v>
      </c>
      <c r="BA44">
        <v>2000</v>
      </c>
      <c r="BB44">
        <v>10</v>
      </c>
      <c r="BE44" s="116">
        <f>AO44/BQ44-1</f>
        <v>-1.9230769230769384E-2</v>
      </c>
      <c r="BF44" s="22">
        <v>45404</v>
      </c>
      <c r="BG44">
        <v>12</v>
      </c>
      <c r="BH44">
        <v>1.3</v>
      </c>
      <c r="BI44">
        <v>0.3</v>
      </c>
      <c r="BJ44">
        <v>1.2</v>
      </c>
      <c r="BK44">
        <v>0.3</v>
      </c>
      <c r="BL44">
        <v>0.7</v>
      </c>
      <c r="BM44">
        <v>0.15</v>
      </c>
      <c r="BN44">
        <v>0.18</v>
      </c>
      <c r="BO44">
        <v>0.4</v>
      </c>
      <c r="BP44">
        <v>0.3</v>
      </c>
      <c r="BQ44">
        <v>5.2</v>
      </c>
      <c r="BR44">
        <v>49</v>
      </c>
      <c r="BS44">
        <v>106</v>
      </c>
      <c r="BT44">
        <v>106</v>
      </c>
      <c r="BU44">
        <v>106</v>
      </c>
      <c r="BV44">
        <v>40</v>
      </c>
      <c r="BW44">
        <v>38</v>
      </c>
      <c r="BX44">
        <v>40</v>
      </c>
      <c r="BY44">
        <v>40</v>
      </c>
      <c r="BZ44">
        <v>101</v>
      </c>
      <c r="CA44">
        <v>459</v>
      </c>
      <c r="CB44" t="s">
        <v>78</v>
      </c>
      <c r="CC44">
        <v>2000</v>
      </c>
      <c r="CD44">
        <v>10</v>
      </c>
      <c r="CH44" s="2"/>
    </row>
    <row r="45" spans="1:86" hidden="1" x14ac:dyDescent="0.3">
      <c r="A45" s="23">
        <v>1821</v>
      </c>
      <c r="B45" s="2" t="s">
        <v>0</v>
      </c>
      <c r="C45" s="2" t="s">
        <v>21</v>
      </c>
      <c r="D45" s="2" t="s">
        <v>182</v>
      </c>
      <c r="E45" s="2">
        <v>360</v>
      </c>
      <c r="F45" s="2">
        <v>3.4299999999999997E-2</v>
      </c>
      <c r="G45" s="2">
        <v>2.8299999999999999E-2</v>
      </c>
      <c r="H45" s="4">
        <f t="shared" si="0"/>
        <v>0.17492711370262387</v>
      </c>
      <c r="I45" s="2" t="s">
        <v>82</v>
      </c>
      <c r="J45" s="2" t="s">
        <v>174</v>
      </c>
      <c r="K45" s="2" t="s">
        <v>175</v>
      </c>
      <c r="L45" s="2" t="s">
        <v>96</v>
      </c>
      <c r="M45" s="155">
        <v>2</v>
      </c>
      <c r="N45" s="155">
        <v>180</v>
      </c>
      <c r="O45" s="2">
        <v>2</v>
      </c>
      <c r="P45" s="6">
        <v>41</v>
      </c>
      <c r="Q45" s="132">
        <f t="shared" si="4"/>
        <v>3.6</v>
      </c>
      <c r="R45" s="33">
        <f t="shared" si="1"/>
        <v>44.444444444444443</v>
      </c>
      <c r="S45" s="132">
        <f t="shared" si="2"/>
        <v>5.5555555555555554</v>
      </c>
      <c r="T45" s="132">
        <f t="shared" si="3"/>
        <v>5.5555555555555554</v>
      </c>
      <c r="W45" s="13"/>
      <c r="Z45" t="s">
        <v>7</v>
      </c>
      <c r="AD45" s="24">
        <v>45376</v>
      </c>
      <c r="AE45">
        <v>12</v>
      </c>
      <c r="AF45">
        <v>1.1000000000000001</v>
      </c>
      <c r="AG45">
        <v>0.1</v>
      </c>
      <c r="AH45">
        <v>1.1000000000000001</v>
      </c>
      <c r="AI45">
        <v>0.1</v>
      </c>
      <c r="AJ45">
        <v>0.45</v>
      </c>
      <c r="AK45">
        <v>0.12</v>
      </c>
      <c r="AL45">
        <v>0.22</v>
      </c>
      <c r="AM45">
        <v>0.4</v>
      </c>
      <c r="AN45">
        <v>0.18</v>
      </c>
      <c r="AO45">
        <v>3.6</v>
      </c>
      <c r="AP45">
        <v>46</v>
      </c>
      <c r="AQ45">
        <v>106</v>
      </c>
      <c r="AR45">
        <v>106</v>
      </c>
      <c r="AS45">
        <v>106</v>
      </c>
      <c r="AT45">
        <v>40</v>
      </c>
      <c r="AU45">
        <v>30</v>
      </c>
      <c r="AV45">
        <v>40</v>
      </c>
      <c r="AW45">
        <v>40</v>
      </c>
      <c r="AX45">
        <v>101</v>
      </c>
      <c r="AY45">
        <v>331</v>
      </c>
      <c r="AZ45" t="s">
        <v>78</v>
      </c>
      <c r="BA45">
        <v>2500</v>
      </c>
      <c r="BB45">
        <v>10</v>
      </c>
      <c r="CH45" s="2"/>
    </row>
    <row r="46" spans="1:86" hidden="1" x14ac:dyDescent="0.3">
      <c r="A46" s="23">
        <v>2090</v>
      </c>
      <c r="B46" s="2" t="s">
        <v>0</v>
      </c>
      <c r="C46" s="2" t="s">
        <v>21</v>
      </c>
      <c r="D46" s="2" t="s">
        <v>183</v>
      </c>
      <c r="E46" s="2">
        <v>360</v>
      </c>
      <c r="F46" s="2">
        <v>3.4299999999999997E-2</v>
      </c>
      <c r="G46" s="2">
        <v>2.8299999999999999E-2</v>
      </c>
      <c r="H46" s="4">
        <f t="shared" si="0"/>
        <v>0.17492711370262387</v>
      </c>
      <c r="I46" s="2" t="s">
        <v>73</v>
      </c>
      <c r="J46" s="2" t="s">
        <v>184</v>
      </c>
      <c r="K46" s="2" t="s">
        <v>175</v>
      </c>
      <c r="L46" s="2" t="s">
        <v>96</v>
      </c>
      <c r="M46" s="155">
        <v>2</v>
      </c>
      <c r="N46" s="155">
        <v>180</v>
      </c>
      <c r="O46" s="2">
        <v>2</v>
      </c>
      <c r="P46" s="6">
        <v>41</v>
      </c>
      <c r="Q46" s="132">
        <f t="shared" si="4"/>
        <v>3.6</v>
      </c>
      <c r="R46" s="33">
        <f t="shared" si="1"/>
        <v>44.444444444444443</v>
      </c>
      <c r="S46" s="132">
        <f t="shared" si="2"/>
        <v>5.5555555555555554</v>
      </c>
      <c r="T46" s="132">
        <f t="shared" si="3"/>
        <v>5.5555555555555554</v>
      </c>
      <c r="W46" s="13"/>
      <c r="Z46" t="s">
        <v>7</v>
      </c>
      <c r="AD46" s="24">
        <v>45376</v>
      </c>
      <c r="AE46">
        <v>12</v>
      </c>
      <c r="AF46">
        <v>1.1000000000000001</v>
      </c>
      <c r="AG46">
        <v>0.1</v>
      </c>
      <c r="AH46">
        <v>1.1000000000000001</v>
      </c>
      <c r="AI46">
        <v>0.1</v>
      </c>
      <c r="AJ46">
        <v>0.45</v>
      </c>
      <c r="AK46">
        <v>0.12</v>
      </c>
      <c r="AL46">
        <v>0.22</v>
      </c>
      <c r="AM46">
        <v>0.4</v>
      </c>
      <c r="AN46">
        <v>0.18</v>
      </c>
      <c r="AO46">
        <v>3.6</v>
      </c>
      <c r="AP46">
        <v>46</v>
      </c>
      <c r="AQ46">
        <v>106</v>
      </c>
      <c r="AR46">
        <v>106</v>
      </c>
      <c r="AS46">
        <v>106</v>
      </c>
      <c r="AT46">
        <v>40</v>
      </c>
      <c r="AU46">
        <v>30</v>
      </c>
      <c r="AV46">
        <v>40</v>
      </c>
      <c r="AW46">
        <v>40</v>
      </c>
      <c r="AX46">
        <v>101</v>
      </c>
      <c r="AY46">
        <v>331</v>
      </c>
      <c r="AZ46" t="s">
        <v>78</v>
      </c>
      <c r="BA46">
        <v>2500</v>
      </c>
      <c r="BB46">
        <v>10</v>
      </c>
      <c r="CH46" s="2"/>
    </row>
    <row r="47" spans="1:86" hidden="1" x14ac:dyDescent="0.3">
      <c r="A47" s="23">
        <v>1822</v>
      </c>
      <c r="B47" s="2" t="s">
        <v>0</v>
      </c>
      <c r="C47" s="2" t="s">
        <v>21</v>
      </c>
      <c r="D47" s="171" t="s">
        <v>185</v>
      </c>
      <c r="E47" s="171">
        <v>200</v>
      </c>
      <c r="F47" s="2">
        <v>5.0599999999999999E-2</v>
      </c>
      <c r="G47" s="2">
        <v>4.2299999999999997E-2</v>
      </c>
      <c r="H47" s="4">
        <f t="shared" si="0"/>
        <v>0.16403162055335974</v>
      </c>
      <c r="I47" s="2" t="s">
        <v>73</v>
      </c>
      <c r="J47" s="2" t="s">
        <v>186</v>
      </c>
      <c r="K47" s="2" t="s">
        <v>5</v>
      </c>
      <c r="L47" s="2" t="s">
        <v>6</v>
      </c>
      <c r="M47" s="155">
        <v>2</v>
      </c>
      <c r="N47" s="155">
        <v>100</v>
      </c>
      <c r="O47" s="2">
        <v>2</v>
      </c>
      <c r="P47" s="6">
        <v>55</v>
      </c>
      <c r="Q47" s="132">
        <f t="shared" si="4"/>
        <v>4.8</v>
      </c>
      <c r="R47" s="33">
        <f t="shared" si="1"/>
        <v>60</v>
      </c>
      <c r="S47" s="132">
        <f t="shared" si="2"/>
        <v>7.5</v>
      </c>
      <c r="T47" s="132">
        <f t="shared" si="3"/>
        <v>7.5</v>
      </c>
      <c r="W47" s="13"/>
      <c r="AD47" s="24">
        <v>45559</v>
      </c>
      <c r="AE47">
        <v>13</v>
      </c>
      <c r="AF47">
        <v>0.9</v>
      </c>
      <c r="AG47">
        <v>0.2</v>
      </c>
      <c r="AH47">
        <v>1</v>
      </c>
      <c r="AI47">
        <v>0.33</v>
      </c>
      <c r="AJ47">
        <v>0.8</v>
      </c>
      <c r="AK47">
        <v>0.15</v>
      </c>
      <c r="AL47">
        <v>0.21</v>
      </c>
      <c r="AM47">
        <v>0.4</v>
      </c>
      <c r="AN47">
        <v>0.4</v>
      </c>
      <c r="AO47">
        <v>4.8</v>
      </c>
      <c r="AP47">
        <v>55</v>
      </c>
      <c r="AQ47">
        <v>112</v>
      </c>
      <c r="AR47">
        <v>108</v>
      </c>
      <c r="AS47">
        <v>109</v>
      </c>
      <c r="AT47">
        <v>45</v>
      </c>
      <c r="AU47">
        <v>30</v>
      </c>
      <c r="AV47">
        <v>80</v>
      </c>
      <c r="AW47">
        <v>30</v>
      </c>
      <c r="AX47">
        <v>100</v>
      </c>
      <c r="AY47">
        <v>400</v>
      </c>
      <c r="AZ47" t="s">
        <v>78</v>
      </c>
      <c r="BA47">
        <v>400</v>
      </c>
      <c r="BB47">
        <v>10</v>
      </c>
      <c r="CH47" s="2"/>
    </row>
    <row r="48" spans="1:86" hidden="1" x14ac:dyDescent="0.3">
      <c r="A48" s="23">
        <v>1823</v>
      </c>
      <c r="B48" s="2" t="s">
        <v>0</v>
      </c>
      <c r="C48" s="2" t="s">
        <v>21</v>
      </c>
      <c r="D48" s="2" t="s">
        <v>187</v>
      </c>
      <c r="E48" s="2">
        <v>200</v>
      </c>
      <c r="F48" s="2">
        <v>5.0599999999999999E-2</v>
      </c>
      <c r="G48" s="2">
        <v>4.2299999999999997E-2</v>
      </c>
      <c r="H48" s="4">
        <f t="shared" si="0"/>
        <v>0.16403162055335974</v>
      </c>
      <c r="I48" s="2" t="s">
        <v>73</v>
      </c>
      <c r="J48" s="2" t="s">
        <v>186</v>
      </c>
      <c r="K48" s="2" t="s">
        <v>5</v>
      </c>
      <c r="L48" s="2" t="s">
        <v>6</v>
      </c>
      <c r="M48" s="155">
        <v>2</v>
      </c>
      <c r="N48" s="155">
        <v>100</v>
      </c>
      <c r="O48" s="2">
        <v>2</v>
      </c>
      <c r="P48" s="6">
        <v>55</v>
      </c>
      <c r="Q48" s="132">
        <f t="shared" si="4"/>
        <v>4.5999999999999996</v>
      </c>
      <c r="R48" s="33">
        <f t="shared" si="1"/>
        <v>62.608695652173921</v>
      </c>
      <c r="S48" s="132" t="s">
        <v>188</v>
      </c>
      <c r="T48" s="132" t="str">
        <f t="shared" si="3"/>
        <v>7,8</v>
      </c>
      <c r="W48" s="13"/>
      <c r="Z48" t="s">
        <v>7</v>
      </c>
      <c r="AD48" s="24">
        <v>45419</v>
      </c>
      <c r="AE48">
        <v>12</v>
      </c>
      <c r="AF48">
        <v>0.9</v>
      </c>
      <c r="AG48">
        <v>0.3</v>
      </c>
      <c r="AH48">
        <v>1</v>
      </c>
      <c r="AI48">
        <v>0.1</v>
      </c>
      <c r="AJ48">
        <v>0.14000000000000001</v>
      </c>
      <c r="AK48">
        <v>0.19</v>
      </c>
      <c r="AL48">
        <v>0.7</v>
      </c>
      <c r="AM48">
        <v>0.6</v>
      </c>
      <c r="AN48">
        <v>0.25</v>
      </c>
      <c r="AO48">
        <v>4.5999999999999996</v>
      </c>
      <c r="AP48">
        <v>50</v>
      </c>
      <c r="AQ48">
        <v>110</v>
      </c>
      <c r="AR48">
        <v>110</v>
      </c>
      <c r="AS48">
        <v>108</v>
      </c>
      <c r="AT48">
        <v>40</v>
      </c>
      <c r="AU48">
        <v>30</v>
      </c>
      <c r="AV48">
        <v>40</v>
      </c>
      <c r="AW48">
        <v>40</v>
      </c>
      <c r="AX48">
        <v>100</v>
      </c>
      <c r="AY48">
        <v>406</v>
      </c>
      <c r="AZ48" t="s">
        <v>78</v>
      </c>
      <c r="BA48">
        <v>1500</v>
      </c>
      <c r="BB48">
        <v>10</v>
      </c>
      <c r="CH48" s="2"/>
    </row>
    <row r="49" spans="1:86" hidden="1" x14ac:dyDescent="0.3">
      <c r="A49" s="2">
        <v>2021</v>
      </c>
      <c r="B49" s="2" t="s">
        <v>0</v>
      </c>
      <c r="C49" s="2" t="s">
        <v>21</v>
      </c>
      <c r="D49" s="2" t="s">
        <v>187</v>
      </c>
      <c r="E49" s="2">
        <v>200</v>
      </c>
      <c r="F49" s="2">
        <v>5.0599999999999999E-2</v>
      </c>
      <c r="G49" s="2">
        <v>4.2299999999999997E-2</v>
      </c>
      <c r="H49" s="4">
        <f t="shared" si="0"/>
        <v>0.16403162055335974</v>
      </c>
      <c r="I49" s="2" t="s">
        <v>82</v>
      </c>
      <c r="J49" s="2" t="s">
        <v>189</v>
      </c>
      <c r="K49" s="2" t="s">
        <v>5</v>
      </c>
      <c r="L49" s="2" t="s">
        <v>6</v>
      </c>
      <c r="M49" s="155">
        <v>2</v>
      </c>
      <c r="N49" s="155">
        <v>100</v>
      </c>
      <c r="O49" s="2">
        <v>2</v>
      </c>
      <c r="P49" s="6">
        <v>55</v>
      </c>
      <c r="Q49" s="132">
        <f t="shared" si="4"/>
        <v>4.5999999999999996</v>
      </c>
      <c r="R49" s="33">
        <f t="shared" si="1"/>
        <v>62.608695652173921</v>
      </c>
      <c r="S49" s="132">
        <f t="shared" ref="S49:S112" si="5">IFERROR(R49/8,"")</f>
        <v>7.8260869565217401</v>
      </c>
      <c r="T49" s="132">
        <f t="shared" si="3"/>
        <v>7.8260869565217401</v>
      </c>
      <c r="W49" s="13"/>
      <c r="Z49" t="s">
        <v>7</v>
      </c>
      <c r="AD49" s="24">
        <v>45419</v>
      </c>
      <c r="AE49">
        <v>12</v>
      </c>
      <c r="AF49">
        <v>0.9</v>
      </c>
      <c r="AG49">
        <v>0.3</v>
      </c>
      <c r="AH49">
        <v>1</v>
      </c>
      <c r="AI49">
        <v>0.1</v>
      </c>
      <c r="AJ49">
        <v>0.14000000000000001</v>
      </c>
      <c r="AK49">
        <v>0.19</v>
      </c>
      <c r="AL49">
        <v>0.7</v>
      </c>
      <c r="AM49">
        <v>0.6</v>
      </c>
      <c r="AN49">
        <v>0.25</v>
      </c>
      <c r="AO49">
        <v>4.5999999999999996</v>
      </c>
      <c r="AP49">
        <v>50</v>
      </c>
      <c r="AQ49">
        <v>110</v>
      </c>
      <c r="AR49">
        <v>110</v>
      </c>
      <c r="AS49">
        <v>108</v>
      </c>
      <c r="AT49">
        <v>40</v>
      </c>
      <c r="AU49">
        <v>30</v>
      </c>
      <c r="AV49">
        <v>40</v>
      </c>
      <c r="AW49">
        <v>40</v>
      </c>
      <c r="AX49">
        <v>100</v>
      </c>
      <c r="AY49">
        <v>406</v>
      </c>
      <c r="AZ49" t="s">
        <v>78</v>
      </c>
      <c r="BA49">
        <v>1500</v>
      </c>
      <c r="BB49">
        <v>10</v>
      </c>
      <c r="CH49" s="2"/>
    </row>
    <row r="50" spans="1:86" hidden="1" x14ac:dyDescent="0.3">
      <c r="A50" s="2">
        <v>1827</v>
      </c>
      <c r="B50" s="2" t="s">
        <v>0</v>
      </c>
      <c r="C50" s="2" t="s">
        <v>21</v>
      </c>
      <c r="D50" s="2" t="s">
        <v>190</v>
      </c>
      <c r="E50" s="2">
        <v>720</v>
      </c>
      <c r="F50" s="2">
        <v>1.15E-2</v>
      </c>
      <c r="G50" s="2">
        <v>8.9999999999999993E-3</v>
      </c>
      <c r="H50" s="4">
        <f t="shared" si="0"/>
        <v>0.21739130434782614</v>
      </c>
      <c r="I50" s="2" t="s">
        <v>82</v>
      </c>
      <c r="J50" s="2" t="s">
        <v>134</v>
      </c>
      <c r="K50" s="2" t="s">
        <v>105</v>
      </c>
      <c r="L50" s="2" t="s">
        <v>76</v>
      </c>
      <c r="M50" s="155"/>
      <c r="N50" s="155"/>
      <c r="O50" s="2">
        <v>3</v>
      </c>
      <c r="P50" s="6">
        <v>28</v>
      </c>
      <c r="Q50" s="132">
        <f t="shared" si="4"/>
        <v>4.2857142857142856</v>
      </c>
      <c r="R50" s="33">
        <f t="shared" si="1"/>
        <v>28</v>
      </c>
      <c r="S50" s="132">
        <f t="shared" si="5"/>
        <v>3.5</v>
      </c>
      <c r="T50" s="132">
        <f t="shared" si="3"/>
        <v>3.5</v>
      </c>
      <c r="W50" s="13"/>
      <c r="CH50" s="2"/>
    </row>
    <row r="51" spans="1:86" hidden="1" x14ac:dyDescent="0.3">
      <c r="A51" s="23">
        <v>2028</v>
      </c>
      <c r="B51" s="2" t="s">
        <v>0</v>
      </c>
      <c r="C51" s="2" t="s">
        <v>21</v>
      </c>
      <c r="D51" s="2" t="s">
        <v>191</v>
      </c>
      <c r="E51" s="2">
        <v>150</v>
      </c>
      <c r="F51" s="2">
        <v>1.15E-2</v>
      </c>
      <c r="G51" s="2">
        <v>8.9999999999999993E-3</v>
      </c>
      <c r="H51" s="91">
        <f t="shared" si="0"/>
        <v>0.21739130434782614</v>
      </c>
      <c r="I51" s="2" t="s">
        <v>82</v>
      </c>
      <c r="J51" s="2" t="s">
        <v>134</v>
      </c>
      <c r="K51" s="2"/>
      <c r="L51" s="2"/>
      <c r="M51" s="155"/>
      <c r="N51" s="155"/>
      <c r="O51" s="2">
        <v>3</v>
      </c>
      <c r="P51" s="6">
        <v>110</v>
      </c>
      <c r="Q51" s="132">
        <f t="shared" si="4"/>
        <v>4.2</v>
      </c>
      <c r="R51" s="33">
        <f t="shared" si="1"/>
        <v>137.14285714285714</v>
      </c>
      <c r="S51" s="132">
        <f t="shared" si="5"/>
        <v>17.142857142857142</v>
      </c>
      <c r="T51" s="132">
        <f t="shared" si="3"/>
        <v>17.142857142857142</v>
      </c>
      <c r="W51" s="13"/>
      <c r="Y51"/>
      <c r="Z51" t="s">
        <v>7</v>
      </c>
      <c r="AD51" s="24">
        <v>45605</v>
      </c>
      <c r="AE51">
        <v>12</v>
      </c>
      <c r="AF51">
        <v>1</v>
      </c>
      <c r="AG51">
        <v>0.2</v>
      </c>
      <c r="AH51">
        <v>1</v>
      </c>
      <c r="AI51">
        <v>0.2</v>
      </c>
      <c r="AJ51">
        <v>0.16</v>
      </c>
      <c r="AK51">
        <v>0.22</v>
      </c>
      <c r="AL51">
        <v>0.6</v>
      </c>
      <c r="AM51">
        <v>0.35</v>
      </c>
      <c r="AN51">
        <v>0.15</v>
      </c>
      <c r="AO51">
        <v>4.2</v>
      </c>
      <c r="AP51">
        <v>48</v>
      </c>
      <c r="AQ51">
        <v>100</v>
      </c>
      <c r="AR51">
        <v>102</v>
      </c>
      <c r="AS51">
        <v>102</v>
      </c>
      <c r="AT51">
        <v>36</v>
      </c>
      <c r="AU51">
        <v>20</v>
      </c>
      <c r="AV51">
        <v>40</v>
      </c>
      <c r="AW51">
        <v>20</v>
      </c>
      <c r="AX51">
        <v>101</v>
      </c>
      <c r="AY51">
        <v>189</v>
      </c>
      <c r="AZ51" t="s">
        <v>78</v>
      </c>
      <c r="BA51">
        <v>2200</v>
      </c>
      <c r="BB51">
        <v>10</v>
      </c>
      <c r="CH51" s="2"/>
    </row>
    <row r="52" spans="1:86" hidden="1" x14ac:dyDescent="0.3">
      <c r="A52" s="23">
        <v>2029</v>
      </c>
      <c r="B52" s="2" t="s">
        <v>0</v>
      </c>
      <c r="C52" s="2" t="s">
        <v>21</v>
      </c>
      <c r="D52" s="2" t="s">
        <v>192</v>
      </c>
      <c r="E52" s="2">
        <v>180</v>
      </c>
      <c r="F52" s="2">
        <v>1.15E-2</v>
      </c>
      <c r="G52" s="2">
        <v>8.9999999999999993E-3</v>
      </c>
      <c r="H52" s="91">
        <f t="shared" si="0"/>
        <v>0.21739130434782614</v>
      </c>
      <c r="I52" s="2" t="s">
        <v>82</v>
      </c>
      <c r="J52" s="2" t="s">
        <v>134</v>
      </c>
      <c r="K52" s="2"/>
      <c r="L52" s="2"/>
      <c r="M52" s="155"/>
      <c r="N52" s="155"/>
      <c r="O52" s="2">
        <v>3</v>
      </c>
      <c r="P52" s="6">
        <v>110</v>
      </c>
      <c r="Q52" s="132">
        <f t="shared" si="4"/>
        <v>4.2</v>
      </c>
      <c r="R52" s="33">
        <f t="shared" si="1"/>
        <v>114.28571428571428</v>
      </c>
      <c r="S52" s="132">
        <f t="shared" si="5"/>
        <v>14.285714285714285</v>
      </c>
      <c r="T52" s="132">
        <f t="shared" si="3"/>
        <v>14.285714285714285</v>
      </c>
      <c r="W52" s="13"/>
      <c r="Z52" t="s">
        <v>7</v>
      </c>
      <c r="AD52" s="24">
        <v>45605</v>
      </c>
      <c r="AE52">
        <v>12</v>
      </c>
      <c r="AF52">
        <v>1</v>
      </c>
      <c r="AG52">
        <v>0.2</v>
      </c>
      <c r="AH52">
        <v>1</v>
      </c>
      <c r="AI52">
        <v>0.2</v>
      </c>
      <c r="AJ52">
        <v>0.16</v>
      </c>
      <c r="AK52">
        <v>0.22</v>
      </c>
      <c r="AL52">
        <v>0.6</v>
      </c>
      <c r="AM52">
        <v>0.35</v>
      </c>
      <c r="AN52">
        <v>0.15</v>
      </c>
      <c r="AO52">
        <v>4.2</v>
      </c>
      <c r="AP52">
        <v>48</v>
      </c>
      <c r="AQ52">
        <v>100</v>
      </c>
      <c r="AR52">
        <v>102</v>
      </c>
      <c r="AS52">
        <v>102</v>
      </c>
      <c r="AT52">
        <v>36</v>
      </c>
      <c r="AU52">
        <v>20</v>
      </c>
      <c r="AV52">
        <v>40</v>
      </c>
      <c r="AW52">
        <v>20</v>
      </c>
      <c r="AX52">
        <v>101</v>
      </c>
      <c r="AY52">
        <v>189</v>
      </c>
      <c r="AZ52" t="s">
        <v>78</v>
      </c>
      <c r="BA52">
        <v>2200</v>
      </c>
      <c r="BB52">
        <v>10</v>
      </c>
      <c r="CH52" s="2"/>
    </row>
    <row r="53" spans="1:86" hidden="1" x14ac:dyDescent="0.3">
      <c r="A53" s="2">
        <v>2026</v>
      </c>
      <c r="B53" s="2" t="s">
        <v>0</v>
      </c>
      <c r="C53" s="2" t="s">
        <v>21</v>
      </c>
      <c r="D53" s="2" t="s">
        <v>193</v>
      </c>
      <c r="E53" s="2">
        <v>150</v>
      </c>
      <c r="F53" s="2">
        <v>1.09E-2</v>
      </c>
      <c r="G53" s="2">
        <v>7.4999999999999997E-3</v>
      </c>
      <c r="H53" s="4">
        <f t="shared" si="0"/>
        <v>0.31192660550458717</v>
      </c>
      <c r="I53" s="2" t="s">
        <v>98</v>
      </c>
      <c r="J53" s="2" t="s">
        <v>194</v>
      </c>
      <c r="K53" s="2"/>
      <c r="L53" s="2"/>
      <c r="M53" s="155">
        <v>6</v>
      </c>
      <c r="N53" s="155">
        <v>25</v>
      </c>
      <c r="O53" s="2">
        <v>3</v>
      </c>
      <c r="P53" s="6">
        <v>120</v>
      </c>
      <c r="Q53" s="132">
        <f t="shared" si="4"/>
        <v>4</v>
      </c>
      <c r="R53" s="33">
        <f t="shared" si="1"/>
        <v>144</v>
      </c>
      <c r="S53" s="132">
        <f t="shared" si="5"/>
        <v>18</v>
      </c>
      <c r="T53" s="132">
        <f t="shared" si="3"/>
        <v>18</v>
      </c>
      <c r="W53" s="13"/>
      <c r="Z53" t="s">
        <v>7</v>
      </c>
      <c r="AD53" s="24">
        <v>45420</v>
      </c>
      <c r="AE53">
        <v>13</v>
      </c>
      <c r="AF53">
        <v>1</v>
      </c>
      <c r="AG53">
        <v>0.1</v>
      </c>
      <c r="AH53">
        <v>1</v>
      </c>
      <c r="AI53">
        <v>0.15</v>
      </c>
      <c r="AJ53">
        <v>0.45</v>
      </c>
      <c r="AK53">
        <v>0.28000000000000003</v>
      </c>
      <c r="AL53">
        <v>0.12</v>
      </c>
      <c r="AM53">
        <v>0.41</v>
      </c>
      <c r="AN53">
        <v>0.1</v>
      </c>
      <c r="AO53">
        <v>4</v>
      </c>
      <c r="AP53">
        <v>44</v>
      </c>
      <c r="AQ53">
        <v>120</v>
      </c>
      <c r="AR53">
        <v>120</v>
      </c>
      <c r="AS53">
        <v>122</v>
      </c>
      <c r="AT53">
        <v>55</v>
      </c>
      <c r="AU53">
        <v>20</v>
      </c>
      <c r="AV53">
        <v>40</v>
      </c>
      <c r="AW53">
        <v>20</v>
      </c>
      <c r="AX53">
        <v>65</v>
      </c>
      <c r="AY53">
        <v>178</v>
      </c>
      <c r="AZ53" t="s">
        <v>78</v>
      </c>
      <c r="BA53">
        <v>500</v>
      </c>
      <c r="BB53">
        <v>10</v>
      </c>
      <c r="CH53" s="2"/>
    </row>
    <row r="54" spans="1:86" hidden="1" x14ac:dyDescent="0.3">
      <c r="A54" s="2">
        <v>1740</v>
      </c>
      <c r="B54" s="2" t="s">
        <v>84</v>
      </c>
      <c r="C54" s="2" t="s">
        <v>21</v>
      </c>
      <c r="D54" s="123" t="s">
        <v>195</v>
      </c>
      <c r="E54" s="2">
        <v>720</v>
      </c>
      <c r="F54" s="2">
        <v>1.32E-2</v>
      </c>
      <c r="G54" s="2">
        <v>8.8000000000000005E-3</v>
      </c>
      <c r="H54" s="4">
        <f t="shared" si="0"/>
        <v>0.33333333333333331</v>
      </c>
      <c r="I54" s="123" t="s">
        <v>86</v>
      </c>
      <c r="J54" s="2" t="s">
        <v>196</v>
      </c>
      <c r="K54" s="2" t="s">
        <v>105</v>
      </c>
      <c r="L54" s="2" t="s">
        <v>76</v>
      </c>
      <c r="M54" s="155"/>
      <c r="N54" s="155"/>
      <c r="O54" s="2">
        <v>3</v>
      </c>
      <c r="P54" s="6"/>
      <c r="Q54" s="132" t="str">
        <f t="shared" si="4"/>
        <v/>
      </c>
      <c r="R54" s="33" t="str">
        <f t="shared" si="1"/>
        <v/>
      </c>
      <c r="S54" s="132" t="str">
        <f t="shared" si="5"/>
        <v/>
      </c>
      <c r="T54" s="132" t="str">
        <f t="shared" si="3"/>
        <v/>
      </c>
      <c r="W54" s="13"/>
      <c r="CH54" s="2"/>
    </row>
    <row r="55" spans="1:86" hidden="1" x14ac:dyDescent="0.3">
      <c r="A55" s="23">
        <v>1826</v>
      </c>
      <c r="B55" s="2" t="s">
        <v>0</v>
      </c>
      <c r="C55" s="2" t="s">
        <v>21</v>
      </c>
      <c r="D55" s="2" t="s">
        <v>197</v>
      </c>
      <c r="E55" s="2">
        <v>720</v>
      </c>
      <c r="F55" s="2">
        <v>1.09E-2</v>
      </c>
      <c r="G55" s="2">
        <v>7.4999999999999997E-3</v>
      </c>
      <c r="H55" s="4">
        <f t="shared" si="0"/>
        <v>0.31192660550458717</v>
      </c>
      <c r="I55" s="2" t="s">
        <v>98</v>
      </c>
      <c r="J55" s="2" t="s">
        <v>194</v>
      </c>
      <c r="K55" s="2" t="s">
        <v>105</v>
      </c>
      <c r="L55" s="2" t="s">
        <v>76</v>
      </c>
      <c r="M55" s="155"/>
      <c r="N55" s="155"/>
      <c r="O55" s="2">
        <v>3</v>
      </c>
      <c r="P55" s="6">
        <v>25</v>
      </c>
      <c r="Q55" s="132">
        <f t="shared" si="4"/>
        <v>4</v>
      </c>
      <c r="R55" s="33">
        <f t="shared" si="1"/>
        <v>30</v>
      </c>
      <c r="S55" s="132">
        <f t="shared" si="5"/>
        <v>3.75</v>
      </c>
      <c r="T55" s="132">
        <f t="shared" si="3"/>
        <v>3.75</v>
      </c>
      <c r="W55" s="13"/>
      <c r="Z55" t="s">
        <v>7</v>
      </c>
      <c r="AD55" s="24">
        <v>45420</v>
      </c>
      <c r="AE55">
        <v>13</v>
      </c>
      <c r="AF55">
        <v>1</v>
      </c>
      <c r="AG55">
        <v>0.1</v>
      </c>
      <c r="AH55">
        <v>1</v>
      </c>
      <c r="AI55">
        <v>0.15</v>
      </c>
      <c r="AJ55">
        <v>0.45</v>
      </c>
      <c r="AK55">
        <v>0.28000000000000003</v>
      </c>
      <c r="AL55">
        <v>0.12</v>
      </c>
      <c r="AM55">
        <v>0.41</v>
      </c>
      <c r="AN55">
        <v>0.1</v>
      </c>
      <c r="AO55">
        <v>4</v>
      </c>
      <c r="AP55">
        <v>44</v>
      </c>
      <c r="AQ55">
        <v>120</v>
      </c>
      <c r="AR55">
        <v>120</v>
      </c>
      <c r="AS55">
        <v>122</v>
      </c>
      <c r="AT55">
        <v>55</v>
      </c>
      <c r="AU55">
        <v>20</v>
      </c>
      <c r="AV55">
        <v>40</v>
      </c>
      <c r="AW55">
        <v>20</v>
      </c>
      <c r="AX55">
        <v>65</v>
      </c>
      <c r="AY55">
        <v>178</v>
      </c>
      <c r="AZ55" t="s">
        <v>78</v>
      </c>
      <c r="BA55">
        <v>500</v>
      </c>
      <c r="BB55">
        <v>10</v>
      </c>
      <c r="CH55" s="2"/>
    </row>
    <row r="56" spans="1:86" hidden="1" x14ac:dyDescent="0.3">
      <c r="A56" s="23">
        <v>1828</v>
      </c>
      <c r="B56" s="2" t="s">
        <v>0</v>
      </c>
      <c r="C56" s="2" t="s">
        <v>21</v>
      </c>
      <c r="D56" s="2" t="s">
        <v>198</v>
      </c>
      <c r="E56" s="2">
        <v>720</v>
      </c>
      <c r="F56" s="2">
        <v>1.38E-2</v>
      </c>
      <c r="G56" s="2">
        <v>1.09E-2</v>
      </c>
      <c r="H56" s="4">
        <f t="shared" si="0"/>
        <v>0.21014492753623187</v>
      </c>
      <c r="I56" s="2" t="s">
        <v>82</v>
      </c>
      <c r="J56" s="2" t="s">
        <v>199</v>
      </c>
      <c r="K56" s="2" t="s">
        <v>200</v>
      </c>
      <c r="L56" s="2" t="s">
        <v>76</v>
      </c>
      <c r="M56" s="155"/>
      <c r="N56" s="155"/>
      <c r="O56" s="2">
        <v>3</v>
      </c>
      <c r="P56" s="30">
        <v>27</v>
      </c>
      <c r="Q56" s="132">
        <f t="shared" si="4"/>
        <v>4</v>
      </c>
      <c r="R56" s="33">
        <f t="shared" si="1"/>
        <v>30</v>
      </c>
      <c r="S56" s="132">
        <f t="shared" si="5"/>
        <v>3.75</v>
      </c>
      <c r="T56" s="132">
        <f t="shared" si="3"/>
        <v>3.75</v>
      </c>
      <c r="W56" s="13"/>
      <c r="Z56" t="s">
        <v>7</v>
      </c>
      <c r="AD56" s="24">
        <v>45418</v>
      </c>
      <c r="AE56">
        <v>13</v>
      </c>
      <c r="AF56">
        <v>1</v>
      </c>
      <c r="AG56">
        <v>0.1</v>
      </c>
      <c r="AH56">
        <v>1</v>
      </c>
      <c r="AI56">
        <v>0.1</v>
      </c>
      <c r="AJ56">
        <v>0.46</v>
      </c>
      <c r="AK56">
        <v>0.28000000000000003</v>
      </c>
      <c r="AL56">
        <v>0.12</v>
      </c>
      <c r="AM56">
        <v>0.4</v>
      </c>
      <c r="AN56">
        <v>0.1</v>
      </c>
      <c r="AO56">
        <v>4</v>
      </c>
      <c r="AP56">
        <v>49</v>
      </c>
      <c r="AQ56">
        <v>104</v>
      </c>
      <c r="AR56">
        <v>106</v>
      </c>
      <c r="AS56">
        <v>106</v>
      </c>
      <c r="AT56">
        <v>42</v>
      </c>
      <c r="AU56">
        <v>20</v>
      </c>
      <c r="AV56">
        <v>40</v>
      </c>
      <c r="AW56">
        <v>20</v>
      </c>
      <c r="AX56">
        <v>65</v>
      </c>
      <c r="AY56">
        <v>181</v>
      </c>
      <c r="AZ56" t="s">
        <v>78</v>
      </c>
      <c r="BA56">
        <v>500</v>
      </c>
      <c r="BB56">
        <v>10</v>
      </c>
      <c r="CH56" s="2"/>
    </row>
    <row r="57" spans="1:86" hidden="1" x14ac:dyDescent="0.3">
      <c r="A57" s="23">
        <v>2030</v>
      </c>
      <c r="B57" s="2" t="s">
        <v>0</v>
      </c>
      <c r="C57" s="2" t="s">
        <v>21</v>
      </c>
      <c r="D57" s="2" t="s">
        <v>201</v>
      </c>
      <c r="E57" s="2">
        <v>180</v>
      </c>
      <c r="F57" s="2">
        <v>1.38E-2</v>
      </c>
      <c r="G57" s="2">
        <v>1.09E-2</v>
      </c>
      <c r="H57" s="4">
        <f t="shared" si="0"/>
        <v>0.21014492753623187</v>
      </c>
      <c r="I57" s="2" t="s">
        <v>82</v>
      </c>
      <c r="J57" s="2" t="s">
        <v>199</v>
      </c>
      <c r="K57" s="2" t="s">
        <v>137</v>
      </c>
      <c r="L57" s="2" t="s">
        <v>6</v>
      </c>
      <c r="M57" s="155"/>
      <c r="N57" s="155"/>
      <c r="O57" s="2">
        <v>3</v>
      </c>
      <c r="P57" s="30">
        <v>27</v>
      </c>
      <c r="Q57" s="132">
        <f t="shared" si="4"/>
        <v>4</v>
      </c>
      <c r="R57" s="33">
        <f t="shared" si="1"/>
        <v>120</v>
      </c>
      <c r="S57" s="132">
        <f t="shared" si="5"/>
        <v>15</v>
      </c>
      <c r="T57" s="132">
        <f t="shared" si="3"/>
        <v>15</v>
      </c>
      <c r="W57" s="13"/>
      <c r="Y57"/>
      <c r="Z57" t="s">
        <v>7</v>
      </c>
      <c r="AD57" s="24">
        <v>45418</v>
      </c>
      <c r="AE57">
        <v>13</v>
      </c>
      <c r="AF57">
        <v>1</v>
      </c>
      <c r="AG57">
        <v>0.1</v>
      </c>
      <c r="AH57">
        <v>1</v>
      </c>
      <c r="AI57">
        <v>0.1</v>
      </c>
      <c r="AJ57">
        <v>0.46</v>
      </c>
      <c r="AK57">
        <v>0.28000000000000003</v>
      </c>
      <c r="AL57">
        <v>0.12</v>
      </c>
      <c r="AM57">
        <v>0.4</v>
      </c>
      <c r="AN57">
        <v>0.1</v>
      </c>
      <c r="AO57">
        <v>4</v>
      </c>
      <c r="AP57">
        <v>49</v>
      </c>
      <c r="AQ57">
        <v>104</v>
      </c>
      <c r="AR57">
        <v>106</v>
      </c>
      <c r="AS57">
        <v>106</v>
      </c>
      <c r="AT57">
        <v>42</v>
      </c>
      <c r="AU57">
        <v>20</v>
      </c>
      <c r="AV57">
        <v>40</v>
      </c>
      <c r="AW57">
        <v>20</v>
      </c>
      <c r="AX57">
        <v>65</v>
      </c>
      <c r="AY57">
        <v>181</v>
      </c>
      <c r="AZ57" t="s">
        <v>78</v>
      </c>
      <c r="BA57">
        <v>500</v>
      </c>
      <c r="BB57">
        <v>10</v>
      </c>
      <c r="CH57" s="2"/>
    </row>
    <row r="58" spans="1:86" hidden="1" x14ac:dyDescent="0.3">
      <c r="A58" s="2">
        <v>1787</v>
      </c>
      <c r="B58" s="2" t="s">
        <v>84</v>
      </c>
      <c r="C58" s="2" t="s">
        <v>21</v>
      </c>
      <c r="D58" s="123" t="s">
        <v>202</v>
      </c>
      <c r="E58" s="2">
        <v>720</v>
      </c>
      <c r="F58" s="2">
        <v>1.4999999999999999E-2</v>
      </c>
      <c r="G58" s="2">
        <v>1.0200000000000001E-2</v>
      </c>
      <c r="H58" s="4">
        <f t="shared" si="0"/>
        <v>0.31999999999999995</v>
      </c>
      <c r="I58" s="123" t="s">
        <v>86</v>
      </c>
      <c r="J58" s="2" t="s">
        <v>203</v>
      </c>
      <c r="K58" s="2" t="s">
        <v>200</v>
      </c>
      <c r="L58" s="2" t="s">
        <v>76</v>
      </c>
      <c r="M58" s="155"/>
      <c r="N58" s="155"/>
      <c r="O58" s="2">
        <v>3</v>
      </c>
      <c r="P58" s="6"/>
      <c r="Q58" s="132" t="str">
        <f t="shared" si="4"/>
        <v/>
      </c>
      <c r="R58" s="33" t="str">
        <f t="shared" si="1"/>
        <v/>
      </c>
      <c r="S58" s="132" t="str">
        <f t="shared" si="5"/>
        <v/>
      </c>
      <c r="T58" s="132" t="str">
        <f t="shared" si="3"/>
        <v/>
      </c>
      <c r="W58" s="13"/>
      <c r="CH58" s="2"/>
    </row>
    <row r="59" spans="1:86" hidden="1" x14ac:dyDescent="0.3">
      <c r="A59" s="23">
        <v>1829</v>
      </c>
      <c r="B59" s="2" t="s">
        <v>0</v>
      </c>
      <c r="C59" s="2" t="s">
        <v>21</v>
      </c>
      <c r="D59" s="2" t="s">
        <v>204</v>
      </c>
      <c r="E59" s="2">
        <v>720</v>
      </c>
      <c r="F59" s="2">
        <v>2.07E-2</v>
      </c>
      <c r="G59" s="2">
        <v>1.4999999999999999E-2</v>
      </c>
      <c r="H59" s="4">
        <f t="shared" si="0"/>
        <v>0.27536231884057971</v>
      </c>
      <c r="I59" s="2" t="s">
        <v>82</v>
      </c>
      <c r="J59" s="2" t="s">
        <v>205</v>
      </c>
      <c r="K59" s="2" t="s">
        <v>200</v>
      </c>
      <c r="L59" s="2" t="s">
        <v>76</v>
      </c>
      <c r="M59" s="155"/>
      <c r="N59" s="155"/>
      <c r="O59" s="2">
        <v>3</v>
      </c>
      <c r="P59" s="6">
        <v>21</v>
      </c>
      <c r="Q59" s="132">
        <f t="shared" si="4"/>
        <v>4.5999999999999996</v>
      </c>
      <c r="R59" s="33">
        <f t="shared" si="1"/>
        <v>26.086956521739133</v>
      </c>
      <c r="S59" s="132">
        <f t="shared" si="5"/>
        <v>3.2608695652173916</v>
      </c>
      <c r="T59" s="132">
        <f t="shared" si="3"/>
        <v>3.2608695652173916</v>
      </c>
      <c r="W59" s="13"/>
      <c r="Z59" t="s">
        <v>7</v>
      </c>
      <c r="AD59" s="24">
        <v>45414</v>
      </c>
      <c r="AE59">
        <v>13</v>
      </c>
      <c r="AF59">
        <v>1</v>
      </c>
      <c r="AG59">
        <v>0.2</v>
      </c>
      <c r="AH59">
        <v>1</v>
      </c>
      <c r="AI59">
        <v>0.2</v>
      </c>
      <c r="AJ59">
        <v>0.6</v>
      </c>
      <c r="AK59">
        <v>0.28000000000000003</v>
      </c>
      <c r="AL59">
        <v>0.12</v>
      </c>
      <c r="AM59">
        <v>0.6</v>
      </c>
      <c r="AN59">
        <v>0.2</v>
      </c>
      <c r="AO59">
        <v>4.5999999999999996</v>
      </c>
      <c r="AP59">
        <v>48</v>
      </c>
      <c r="AQ59">
        <v>106</v>
      </c>
      <c r="AR59">
        <v>106</v>
      </c>
      <c r="AS59">
        <v>105</v>
      </c>
      <c r="AT59">
        <v>42</v>
      </c>
      <c r="AU59">
        <v>20</v>
      </c>
      <c r="AV59">
        <v>40</v>
      </c>
      <c r="AW59">
        <v>20</v>
      </c>
      <c r="AX59">
        <v>65</v>
      </c>
      <c r="AY59">
        <v>180</v>
      </c>
      <c r="AZ59" t="s">
        <v>78</v>
      </c>
      <c r="BA59">
        <v>400</v>
      </c>
      <c r="BB59">
        <v>10</v>
      </c>
      <c r="CH59" s="2"/>
    </row>
    <row r="60" spans="1:86" hidden="1" x14ac:dyDescent="0.3">
      <c r="A60" s="2">
        <v>2031</v>
      </c>
      <c r="B60" s="2" t="s">
        <v>0</v>
      </c>
      <c r="C60" s="2" t="s">
        <v>21</v>
      </c>
      <c r="D60" s="2" t="s">
        <v>206</v>
      </c>
      <c r="E60" s="2">
        <v>150</v>
      </c>
      <c r="F60" s="2">
        <v>2.07E-2</v>
      </c>
      <c r="G60" s="2">
        <v>1.4999999999999999E-2</v>
      </c>
      <c r="H60" s="4">
        <f t="shared" si="0"/>
        <v>0.27536231884057971</v>
      </c>
      <c r="I60" s="2" t="s">
        <v>82</v>
      </c>
      <c r="J60" s="2" t="s">
        <v>205</v>
      </c>
      <c r="K60" s="2" t="s">
        <v>137</v>
      </c>
      <c r="L60" s="2" t="s">
        <v>6</v>
      </c>
      <c r="M60" s="155"/>
      <c r="N60" s="155"/>
      <c r="O60" s="2">
        <v>3</v>
      </c>
      <c r="P60" s="6">
        <v>101</v>
      </c>
      <c r="Q60" s="132">
        <f t="shared" si="4"/>
        <v>4.5999999999999996</v>
      </c>
      <c r="R60" s="33">
        <f t="shared" si="1"/>
        <v>125.21739130434784</v>
      </c>
      <c r="S60" s="132">
        <f t="shared" si="5"/>
        <v>15.65217391304348</v>
      </c>
      <c r="T60" s="132">
        <f t="shared" si="3"/>
        <v>15.65217391304348</v>
      </c>
      <c r="W60" s="13"/>
      <c r="Z60" t="s">
        <v>7</v>
      </c>
      <c r="AD60" s="24">
        <v>45414</v>
      </c>
      <c r="AE60">
        <v>13</v>
      </c>
      <c r="AF60">
        <v>1</v>
      </c>
      <c r="AG60">
        <v>0.2</v>
      </c>
      <c r="AH60">
        <v>1</v>
      </c>
      <c r="AI60">
        <v>0.2</v>
      </c>
      <c r="AJ60">
        <v>0.6</v>
      </c>
      <c r="AK60">
        <v>0.28000000000000003</v>
      </c>
      <c r="AL60">
        <v>0.12</v>
      </c>
      <c r="AM60">
        <v>0.6</v>
      </c>
      <c r="AN60">
        <v>0.2</v>
      </c>
      <c r="AO60">
        <v>4.5999999999999996</v>
      </c>
      <c r="AP60">
        <v>48</v>
      </c>
      <c r="AQ60">
        <v>106</v>
      </c>
      <c r="AR60">
        <v>106</v>
      </c>
      <c r="AS60">
        <v>105</v>
      </c>
      <c r="AT60">
        <v>42</v>
      </c>
      <c r="AU60">
        <v>20</v>
      </c>
      <c r="AV60">
        <v>40</v>
      </c>
      <c r="AW60">
        <v>20</v>
      </c>
      <c r="AX60">
        <v>65</v>
      </c>
      <c r="AY60">
        <v>180</v>
      </c>
      <c r="AZ60" t="s">
        <v>78</v>
      </c>
      <c r="BA60">
        <v>400</v>
      </c>
      <c r="BB60">
        <v>10</v>
      </c>
      <c r="CH60" s="2"/>
    </row>
    <row r="61" spans="1:86" hidden="1" x14ac:dyDescent="0.3">
      <c r="A61" s="2">
        <v>2034</v>
      </c>
      <c r="B61" s="2" t="s">
        <v>0</v>
      </c>
      <c r="C61" s="2" t="s">
        <v>21</v>
      </c>
      <c r="D61" s="2" t="s">
        <v>207</v>
      </c>
      <c r="E61" s="2">
        <v>150</v>
      </c>
      <c r="F61" s="2">
        <v>3.1600000000000003E-2</v>
      </c>
      <c r="G61" s="2">
        <v>2.2499999999999999E-2</v>
      </c>
      <c r="H61" s="4">
        <f t="shared" si="0"/>
        <v>0.28797468354430389</v>
      </c>
      <c r="I61" s="2" t="s">
        <v>208</v>
      </c>
      <c r="J61" s="25" t="s">
        <v>209</v>
      </c>
      <c r="K61" s="2"/>
      <c r="L61" s="2"/>
      <c r="M61" s="155"/>
      <c r="N61" s="155"/>
      <c r="O61" s="2"/>
      <c r="P61" s="2" t="s">
        <v>210</v>
      </c>
      <c r="Q61" s="132" t="str">
        <f t="shared" si="4"/>
        <v/>
      </c>
      <c r="R61" s="33" t="str">
        <f t="shared" si="1"/>
        <v/>
      </c>
      <c r="S61" s="132" t="str">
        <f t="shared" si="5"/>
        <v/>
      </c>
      <c r="T61" s="132" t="str">
        <f t="shared" si="3"/>
        <v/>
      </c>
      <c r="V61"/>
      <c r="W61" s="18"/>
      <c r="X61" s="18"/>
      <c r="Y61" s="160"/>
      <c r="Z61" s="18"/>
      <c r="AA61" s="18"/>
      <c r="AB61" s="18"/>
      <c r="AC61" s="18"/>
      <c r="AD61" s="18"/>
      <c r="CH61" s="2"/>
    </row>
    <row r="62" spans="1:86" hidden="1" x14ac:dyDescent="0.3">
      <c r="A62" s="2">
        <v>1739</v>
      </c>
      <c r="B62" s="2" t="s">
        <v>0</v>
      </c>
      <c r="C62" s="2" t="s">
        <v>21</v>
      </c>
      <c r="D62" s="2" t="s">
        <v>211</v>
      </c>
      <c r="E62" s="2">
        <v>720</v>
      </c>
      <c r="F62" s="2">
        <v>1.8800000000000001E-2</v>
      </c>
      <c r="G62" s="2">
        <v>1.2500000000000001E-2</v>
      </c>
      <c r="H62" s="4">
        <f t="shared" si="0"/>
        <v>0.33510638297872342</v>
      </c>
      <c r="I62" s="2" t="s">
        <v>82</v>
      </c>
      <c r="J62" s="2" t="s">
        <v>212</v>
      </c>
      <c r="K62" s="2" t="s">
        <v>213</v>
      </c>
      <c r="L62" s="2" t="s">
        <v>76</v>
      </c>
      <c r="M62" s="155"/>
      <c r="N62" s="155"/>
      <c r="O62" s="2">
        <v>3</v>
      </c>
      <c r="P62" s="6">
        <v>21</v>
      </c>
      <c r="Q62" s="132">
        <f t="shared" si="4"/>
        <v>5.7142857142857144</v>
      </c>
      <c r="R62" s="33">
        <f t="shared" si="1"/>
        <v>21</v>
      </c>
      <c r="S62" s="132">
        <f t="shared" si="5"/>
        <v>2.625</v>
      </c>
      <c r="T62" s="132">
        <f t="shared" si="3"/>
        <v>2.625</v>
      </c>
      <c r="W62" s="13"/>
      <c r="CH62" s="2"/>
    </row>
    <row r="63" spans="1:86" hidden="1" x14ac:dyDescent="0.3">
      <c r="A63" s="2">
        <v>1824</v>
      </c>
      <c r="B63" s="23" t="s">
        <v>0</v>
      </c>
      <c r="C63" s="2" t="s">
        <v>21</v>
      </c>
      <c r="D63" s="2" t="s">
        <v>214</v>
      </c>
      <c r="E63" s="2">
        <v>200</v>
      </c>
      <c r="F63" s="2">
        <v>3.78E-2</v>
      </c>
      <c r="G63" s="2">
        <v>3.2399999999999998E-2</v>
      </c>
      <c r="H63" s="4">
        <f t="shared" si="0"/>
        <v>0.1428571428571429</v>
      </c>
      <c r="I63" s="2" t="s">
        <v>82</v>
      </c>
      <c r="J63" s="2" t="s">
        <v>83</v>
      </c>
      <c r="K63" s="2" t="s">
        <v>90</v>
      </c>
      <c r="L63" s="2" t="s">
        <v>6</v>
      </c>
      <c r="M63" s="155"/>
      <c r="N63" s="155"/>
      <c r="O63" s="2">
        <v>2</v>
      </c>
      <c r="P63" s="6">
        <v>50</v>
      </c>
      <c r="Q63" s="132">
        <f t="shared" si="4"/>
        <v>5.76</v>
      </c>
      <c r="R63" s="33">
        <f t="shared" si="1"/>
        <v>50</v>
      </c>
      <c r="S63" s="132">
        <f t="shared" si="5"/>
        <v>6.25</v>
      </c>
      <c r="T63" s="132">
        <f t="shared" si="3"/>
        <v>6.25</v>
      </c>
      <c r="W63" s="13"/>
      <c r="CH63" s="2"/>
    </row>
    <row r="64" spans="1:86" hidden="1" x14ac:dyDescent="0.3">
      <c r="A64" s="2">
        <v>92</v>
      </c>
      <c r="B64" s="2" t="s">
        <v>84</v>
      </c>
      <c r="C64" s="2" t="s">
        <v>21</v>
      </c>
      <c r="D64" s="123" t="s">
        <v>215</v>
      </c>
      <c r="E64" s="2">
        <v>540</v>
      </c>
      <c r="F64" s="2">
        <v>1.24E-2</v>
      </c>
      <c r="G64" s="2">
        <v>7.9000000000000008E-3</v>
      </c>
      <c r="H64" s="4">
        <f t="shared" si="0"/>
        <v>0.36290322580645151</v>
      </c>
      <c r="I64" s="123" t="s">
        <v>86</v>
      </c>
      <c r="J64" s="2" t="s">
        <v>216</v>
      </c>
      <c r="K64" s="2" t="s">
        <v>105</v>
      </c>
      <c r="L64" s="2" t="s">
        <v>76</v>
      </c>
      <c r="M64" s="155"/>
      <c r="N64" s="155"/>
      <c r="O64" s="2">
        <v>6</v>
      </c>
      <c r="P64" s="6"/>
      <c r="Q64" s="132" t="str">
        <f t="shared" si="4"/>
        <v/>
      </c>
      <c r="R64" s="33" t="str">
        <f t="shared" si="1"/>
        <v/>
      </c>
      <c r="S64" s="132" t="str">
        <f t="shared" si="5"/>
        <v/>
      </c>
      <c r="T64" s="132" t="str">
        <f t="shared" si="3"/>
        <v/>
      </c>
      <c r="W64" s="13"/>
      <c r="CH64" s="2"/>
    </row>
    <row r="65" spans="1:86" hidden="1" x14ac:dyDescent="0.3">
      <c r="A65" s="2">
        <v>93</v>
      </c>
      <c r="B65" s="2" t="s">
        <v>84</v>
      </c>
      <c r="C65" s="2" t="s">
        <v>21</v>
      </c>
      <c r="D65" s="123" t="s">
        <v>217</v>
      </c>
      <c r="E65" s="2">
        <v>540</v>
      </c>
      <c r="F65" s="2">
        <v>1.04E-2</v>
      </c>
      <c r="G65" s="2">
        <v>6.6E-3</v>
      </c>
      <c r="H65" s="4">
        <f t="shared" si="0"/>
        <v>0.36538461538461536</v>
      </c>
      <c r="I65" s="123" t="s">
        <v>86</v>
      </c>
      <c r="J65" s="2" t="s">
        <v>218</v>
      </c>
      <c r="K65" s="2" t="s">
        <v>105</v>
      </c>
      <c r="L65" s="2" t="s">
        <v>76</v>
      </c>
      <c r="M65" s="155"/>
      <c r="N65" s="155"/>
      <c r="O65" s="2">
        <v>6</v>
      </c>
      <c r="P65" s="6"/>
      <c r="Q65" s="132" t="str">
        <f t="shared" si="4"/>
        <v/>
      </c>
      <c r="R65" s="33" t="str">
        <f t="shared" si="1"/>
        <v/>
      </c>
      <c r="S65" s="132" t="str">
        <f t="shared" si="5"/>
        <v/>
      </c>
      <c r="T65" s="132" t="str">
        <f t="shared" si="3"/>
        <v/>
      </c>
      <c r="W65" s="13"/>
      <c r="CH65" s="2"/>
    </row>
    <row r="66" spans="1:86" hidden="1" x14ac:dyDescent="0.3">
      <c r="A66" s="2">
        <v>98</v>
      </c>
      <c r="B66" s="23" t="s">
        <v>0</v>
      </c>
      <c r="C66" s="2" t="s">
        <v>21</v>
      </c>
      <c r="D66" s="2" t="s">
        <v>219</v>
      </c>
      <c r="E66" s="2">
        <v>60</v>
      </c>
      <c r="F66" s="2">
        <v>5.7700000000000001E-2</v>
      </c>
      <c r="G66" s="2">
        <v>4.5999999999999999E-2</v>
      </c>
      <c r="H66" s="4">
        <f t="shared" si="0"/>
        <v>0.20277296360485272</v>
      </c>
      <c r="I66" s="2" t="s">
        <v>98</v>
      </c>
      <c r="J66" s="2" t="s">
        <v>220</v>
      </c>
      <c r="K66" s="2" t="s">
        <v>105</v>
      </c>
      <c r="L66" s="2" t="s">
        <v>76</v>
      </c>
      <c r="M66" s="155"/>
      <c r="N66" s="155"/>
      <c r="O66" s="2">
        <v>1</v>
      </c>
      <c r="P66" s="6">
        <v>90</v>
      </c>
      <c r="Q66" s="132">
        <v>5.4</v>
      </c>
      <c r="R66" s="33">
        <f t="shared" si="1"/>
        <v>88.888888888888886</v>
      </c>
      <c r="S66" s="132">
        <f t="shared" si="5"/>
        <v>11.111111111111111</v>
      </c>
      <c r="T66" s="132">
        <f t="shared" si="3"/>
        <v>11.111111111111111</v>
      </c>
      <c r="W66" s="13"/>
      <c r="CH66" s="2"/>
    </row>
    <row r="67" spans="1:86" hidden="1" x14ac:dyDescent="0.3">
      <c r="A67" s="23">
        <v>99</v>
      </c>
      <c r="B67" s="2" t="s">
        <v>0</v>
      </c>
      <c r="C67" s="2" t="s">
        <v>21</v>
      </c>
      <c r="D67" s="2" t="s">
        <v>221</v>
      </c>
      <c r="E67" s="2">
        <v>160</v>
      </c>
      <c r="F67" s="2">
        <v>5.7700000000000001E-2</v>
      </c>
      <c r="G67" s="2">
        <v>4.5999999999999999E-2</v>
      </c>
      <c r="H67" s="4">
        <f t="shared" si="0"/>
        <v>0.20277296360485272</v>
      </c>
      <c r="I67" s="2" t="s">
        <v>98</v>
      </c>
      <c r="J67" s="2" t="s">
        <v>220</v>
      </c>
      <c r="K67" s="2" t="s">
        <v>222</v>
      </c>
      <c r="L67" s="2" t="s">
        <v>76</v>
      </c>
      <c r="M67" s="155"/>
      <c r="N67" s="155"/>
      <c r="O67" s="2">
        <v>1</v>
      </c>
      <c r="P67" s="6">
        <v>37</v>
      </c>
      <c r="Q67" s="132">
        <f t="shared" ref="Q67:Q125" si="6">IFERROR(IF(AO67&gt;1,AO67,60*60*8*O67/P67/E67),"")</f>
        <v>5.4</v>
      </c>
      <c r="R67" s="33">
        <f t="shared" si="1"/>
        <v>33.333333333333329</v>
      </c>
      <c r="S67" s="132">
        <f t="shared" si="5"/>
        <v>4.1666666666666661</v>
      </c>
      <c r="T67" s="132">
        <f t="shared" si="3"/>
        <v>4.1666666666666661</v>
      </c>
      <c r="W67" s="13"/>
      <c r="AD67" s="22">
        <v>45495</v>
      </c>
      <c r="AE67">
        <v>13</v>
      </c>
      <c r="AF67">
        <v>1.5</v>
      </c>
      <c r="AG67">
        <v>0.5</v>
      </c>
      <c r="AH67">
        <v>1.5</v>
      </c>
      <c r="AI67">
        <v>0.5</v>
      </c>
      <c r="AJ67">
        <v>0.8</v>
      </c>
      <c r="AK67">
        <v>0.11</v>
      </c>
      <c r="AL67">
        <v>0.18</v>
      </c>
      <c r="AM67">
        <v>0.4</v>
      </c>
      <c r="AN67">
        <v>0.5</v>
      </c>
      <c r="AO67">
        <v>5.4</v>
      </c>
      <c r="AP67">
        <v>56</v>
      </c>
      <c r="AQ67">
        <v>119</v>
      </c>
      <c r="AR67">
        <v>128</v>
      </c>
      <c r="AS67">
        <v>128</v>
      </c>
      <c r="AT67">
        <v>65</v>
      </c>
      <c r="AU67">
        <v>20</v>
      </c>
      <c r="AV67">
        <v>40</v>
      </c>
      <c r="AW67">
        <v>20</v>
      </c>
      <c r="AX67">
        <v>65</v>
      </c>
      <c r="AY67">
        <v>387</v>
      </c>
      <c r="AZ67" t="s">
        <v>78</v>
      </c>
      <c r="BA67">
        <v>600</v>
      </c>
      <c r="BB67">
        <v>10</v>
      </c>
      <c r="CH67" s="2"/>
    </row>
    <row r="68" spans="1:86" hidden="1" x14ac:dyDescent="0.3">
      <c r="A68" s="2">
        <v>51</v>
      </c>
      <c r="B68" s="2" t="s">
        <v>84</v>
      </c>
      <c r="C68" s="2" t="s">
        <v>21</v>
      </c>
      <c r="D68" s="2" t="s">
        <v>223</v>
      </c>
      <c r="E68" s="2">
        <v>160</v>
      </c>
      <c r="F68" s="2">
        <v>5.28E-2</v>
      </c>
      <c r="G68" s="2">
        <v>4.3700000000000003E-2</v>
      </c>
      <c r="H68" s="4">
        <f t="shared" ref="H68:H74" si="7">(F68-G68)/F68</f>
        <v>0.17234848484848478</v>
      </c>
      <c r="I68" s="2" t="s">
        <v>98</v>
      </c>
      <c r="J68" s="2" t="s">
        <v>220</v>
      </c>
      <c r="K68" s="2" t="s">
        <v>222</v>
      </c>
      <c r="L68" s="2" t="s">
        <v>76</v>
      </c>
      <c r="M68" s="155"/>
      <c r="N68" s="155"/>
      <c r="O68" s="2">
        <v>1</v>
      </c>
      <c r="P68" s="6">
        <v>58</v>
      </c>
      <c r="Q68" s="132">
        <f t="shared" si="6"/>
        <v>3.103448275862069</v>
      </c>
      <c r="R68" s="33">
        <f t="shared" ref="R68:R70" si="8">IFERROR(60*60*8*O68/E68/Q68,"")</f>
        <v>58</v>
      </c>
      <c r="S68" s="132">
        <f t="shared" si="5"/>
        <v>7.25</v>
      </c>
      <c r="T68" s="132">
        <f t="shared" ref="T68:T70" si="9">IFERROR(IF(R68&gt;2,S68,""),"")</f>
        <v>7.25</v>
      </c>
      <c r="W68" s="13"/>
      <c r="CH68" s="2"/>
    </row>
    <row r="69" spans="1:86" hidden="1" x14ac:dyDescent="0.3">
      <c r="A69" s="2">
        <v>628</v>
      </c>
      <c r="B69" s="23" t="s">
        <v>0</v>
      </c>
      <c r="C69" s="2" t="s">
        <v>21</v>
      </c>
      <c r="D69" s="2" t="s">
        <v>224</v>
      </c>
      <c r="E69" s="2">
        <v>200</v>
      </c>
      <c r="F69" s="2">
        <v>3.7199999999999997E-2</v>
      </c>
      <c r="G69" s="103">
        <v>2.6597999999999997E-2</v>
      </c>
      <c r="H69" s="4">
        <f t="shared" si="7"/>
        <v>0.28500000000000003</v>
      </c>
      <c r="I69" s="2" t="s">
        <v>98</v>
      </c>
      <c r="J69" s="2" t="s">
        <v>225</v>
      </c>
      <c r="K69" s="2" t="s">
        <v>175</v>
      </c>
      <c r="L69" s="2" t="s">
        <v>96</v>
      </c>
      <c r="M69" s="155"/>
      <c r="N69" s="155"/>
      <c r="O69" s="2">
        <v>2</v>
      </c>
      <c r="P69" s="6">
        <v>40</v>
      </c>
      <c r="Q69" s="132">
        <f t="shared" si="6"/>
        <v>7.2</v>
      </c>
      <c r="R69" s="33">
        <f t="shared" si="8"/>
        <v>40</v>
      </c>
      <c r="S69" s="132">
        <f t="shared" si="5"/>
        <v>5</v>
      </c>
      <c r="T69" s="132">
        <f t="shared" si="9"/>
        <v>5</v>
      </c>
      <c r="W69" s="13"/>
      <c r="CH69" s="2"/>
    </row>
    <row r="70" spans="1:86" hidden="1" x14ac:dyDescent="0.3">
      <c r="A70" s="2">
        <v>100</v>
      </c>
      <c r="B70" s="2" t="s">
        <v>0</v>
      </c>
      <c r="C70" s="2" t="s">
        <v>21</v>
      </c>
      <c r="D70" s="2" t="s">
        <v>226</v>
      </c>
      <c r="E70" s="2">
        <v>200</v>
      </c>
      <c r="F70" s="2">
        <v>2.8899999999999999E-2</v>
      </c>
      <c r="G70" s="2">
        <v>1.66E-2</v>
      </c>
      <c r="H70" s="4">
        <f t="shared" si="7"/>
        <v>0.4256055363321799</v>
      </c>
      <c r="I70" s="2" t="s">
        <v>98</v>
      </c>
      <c r="J70" s="2" t="s">
        <v>227</v>
      </c>
      <c r="K70" s="2" t="s">
        <v>200</v>
      </c>
      <c r="L70" s="2" t="s">
        <v>76</v>
      </c>
      <c r="M70" s="155"/>
      <c r="N70" s="155"/>
      <c r="O70" s="2">
        <v>4</v>
      </c>
      <c r="P70" s="6">
        <v>60</v>
      </c>
      <c r="Q70" s="132">
        <f t="shared" si="6"/>
        <v>9.6</v>
      </c>
      <c r="R70" s="33">
        <f t="shared" si="8"/>
        <v>60</v>
      </c>
      <c r="S70" s="132">
        <f t="shared" si="5"/>
        <v>7.5</v>
      </c>
      <c r="T70" s="132">
        <f t="shared" si="9"/>
        <v>7.5</v>
      </c>
      <c r="W70" s="13"/>
      <c r="CH70" s="2"/>
    </row>
    <row r="71" spans="1:86" hidden="1" x14ac:dyDescent="0.3">
      <c r="A71" s="23">
        <v>103</v>
      </c>
      <c r="B71" s="2" t="s">
        <v>0</v>
      </c>
      <c r="C71" s="2" t="s">
        <v>21</v>
      </c>
      <c r="D71" s="2" t="s">
        <v>228</v>
      </c>
      <c r="E71" s="2">
        <v>200</v>
      </c>
      <c r="F71" s="2">
        <v>3.9600000000000003E-2</v>
      </c>
      <c r="G71" s="2">
        <v>2.76E-2</v>
      </c>
      <c r="H71" s="4">
        <f t="shared" si="7"/>
        <v>0.30303030303030309</v>
      </c>
      <c r="I71" s="2" t="s">
        <v>98</v>
      </c>
      <c r="J71" s="2" t="s">
        <v>229</v>
      </c>
      <c r="K71" s="2" t="s">
        <v>230</v>
      </c>
      <c r="L71" s="2" t="s">
        <v>76</v>
      </c>
      <c r="M71" s="155">
        <v>2</v>
      </c>
      <c r="N71" s="155">
        <v>100</v>
      </c>
      <c r="O71" s="2">
        <v>2</v>
      </c>
      <c r="P71" s="6" t="s">
        <v>231</v>
      </c>
      <c r="Q71" s="132" t="str">
        <f t="shared" si="6"/>
        <v>7,1 - 4,4</v>
      </c>
      <c r="R71" s="137" t="s">
        <v>232</v>
      </c>
      <c r="S71" s="132" t="str">
        <f t="shared" si="5"/>
        <v/>
      </c>
      <c r="T71" s="132" t="s">
        <v>233</v>
      </c>
      <c r="U71" s="35">
        <v>65</v>
      </c>
      <c r="V71" s="41"/>
      <c r="W71" s="13"/>
      <c r="AD71" s="22" t="s">
        <v>234</v>
      </c>
      <c r="AE71" t="s">
        <v>235</v>
      </c>
      <c r="AF71" t="s">
        <v>236</v>
      </c>
      <c r="AG71" t="s">
        <v>237</v>
      </c>
      <c r="AH71" t="s">
        <v>238</v>
      </c>
      <c r="AI71" t="s">
        <v>237</v>
      </c>
      <c r="AJ71" t="s">
        <v>239</v>
      </c>
      <c r="AK71" t="s">
        <v>240</v>
      </c>
      <c r="AL71" t="s">
        <v>241</v>
      </c>
      <c r="AM71" t="s">
        <v>242</v>
      </c>
      <c r="AN71" t="s">
        <v>243</v>
      </c>
      <c r="AO71" t="s">
        <v>244</v>
      </c>
      <c r="AP71" t="s">
        <v>245</v>
      </c>
      <c r="AQ71" t="s">
        <v>246</v>
      </c>
      <c r="AR71" t="s">
        <v>247</v>
      </c>
      <c r="AS71" t="s">
        <v>248</v>
      </c>
      <c r="AT71" t="s">
        <v>249</v>
      </c>
      <c r="AU71" s="35" t="s">
        <v>250</v>
      </c>
      <c r="AV71" s="35" t="s">
        <v>251</v>
      </c>
      <c r="AW71" s="35" t="s">
        <v>250</v>
      </c>
      <c r="AX71" t="s">
        <v>252</v>
      </c>
      <c r="AY71" t="s">
        <v>253</v>
      </c>
      <c r="AZ71" t="s">
        <v>78</v>
      </c>
      <c r="BA71" s="35" t="s">
        <v>254</v>
      </c>
      <c r="BB71" s="35" t="s">
        <v>255</v>
      </c>
      <c r="BC71">
        <v>134</v>
      </c>
      <c r="BD71">
        <v>133</v>
      </c>
      <c r="CH71" s="2"/>
    </row>
    <row r="72" spans="1:86" hidden="1" x14ac:dyDescent="0.3">
      <c r="A72" s="23">
        <v>106</v>
      </c>
      <c r="B72" s="2" t="s">
        <v>0</v>
      </c>
      <c r="C72" s="2" t="s">
        <v>21</v>
      </c>
      <c r="D72" s="2" t="s">
        <v>256</v>
      </c>
      <c r="E72" s="2">
        <v>200</v>
      </c>
      <c r="F72" s="2">
        <v>4.7899999999999998E-2</v>
      </c>
      <c r="G72" s="2">
        <v>3.2000000000000001E-2</v>
      </c>
      <c r="H72" s="4">
        <f t="shared" si="7"/>
        <v>0.33194154488517741</v>
      </c>
      <c r="I72" s="2" t="s">
        <v>98</v>
      </c>
      <c r="J72" s="2" t="s">
        <v>257</v>
      </c>
      <c r="K72" s="2" t="s">
        <v>258</v>
      </c>
      <c r="L72" s="2" t="s">
        <v>76</v>
      </c>
      <c r="M72" s="155"/>
      <c r="N72" s="155"/>
      <c r="O72" s="2">
        <v>1</v>
      </c>
      <c r="P72" s="6">
        <v>40</v>
      </c>
      <c r="Q72" s="132">
        <f t="shared" si="6"/>
        <v>5.8</v>
      </c>
      <c r="R72" s="33">
        <f t="shared" ref="R72:R135" si="10">IFERROR(60*60*8*O72/E72/Q72,"")</f>
        <v>24.827586206896552</v>
      </c>
      <c r="S72" s="132">
        <f t="shared" si="5"/>
        <v>3.103448275862069</v>
      </c>
      <c r="T72" s="132">
        <f t="shared" ref="T72:T125" si="11">IFERROR(IF(R72&gt;2,S72,""),"")</f>
        <v>3.103448275862069</v>
      </c>
      <c r="W72" s="13"/>
      <c r="AD72" s="22">
        <v>45371</v>
      </c>
      <c r="AE72">
        <v>12</v>
      </c>
      <c r="AF72">
        <v>1.3</v>
      </c>
      <c r="AG72">
        <v>0.4</v>
      </c>
      <c r="AH72">
        <v>1.3</v>
      </c>
      <c r="AI72">
        <v>0.4</v>
      </c>
      <c r="AJ72">
        <v>1</v>
      </c>
      <c r="AK72">
        <v>0.12</v>
      </c>
      <c r="AL72">
        <v>0.22</v>
      </c>
      <c r="AM72">
        <v>0.55000000000000004</v>
      </c>
      <c r="AN72">
        <v>0.2</v>
      </c>
      <c r="AO72">
        <v>5.8</v>
      </c>
      <c r="AP72">
        <v>51</v>
      </c>
      <c r="AQ72">
        <v>138</v>
      </c>
      <c r="AR72">
        <v>135</v>
      </c>
      <c r="AS72">
        <v>135</v>
      </c>
      <c r="AT72">
        <v>60</v>
      </c>
      <c r="AU72">
        <v>33</v>
      </c>
      <c r="AV72">
        <v>40</v>
      </c>
      <c r="AW72">
        <v>40</v>
      </c>
      <c r="AX72">
        <v>100</v>
      </c>
      <c r="AY72">
        <v>310</v>
      </c>
      <c r="AZ72" t="s">
        <v>78</v>
      </c>
      <c r="BA72">
        <v>1600</v>
      </c>
      <c r="BB72">
        <v>10</v>
      </c>
      <c r="CH72" s="2"/>
    </row>
    <row r="73" spans="1:86" hidden="1" x14ac:dyDescent="0.3">
      <c r="A73" s="23">
        <v>108</v>
      </c>
      <c r="B73" s="2" t="s">
        <v>0</v>
      </c>
      <c r="C73" s="2" t="s">
        <v>21</v>
      </c>
      <c r="D73" s="2" t="s">
        <v>259</v>
      </c>
      <c r="E73" s="2">
        <v>100</v>
      </c>
      <c r="F73" s="2">
        <v>5.9400000000000001E-2</v>
      </c>
      <c r="G73" s="2">
        <v>4.4400000000000002E-2</v>
      </c>
      <c r="H73" s="4">
        <f t="shared" si="7"/>
        <v>0.25252525252525249</v>
      </c>
      <c r="I73" s="2" t="s">
        <v>98</v>
      </c>
      <c r="J73" s="2" t="s">
        <v>260</v>
      </c>
      <c r="K73" s="2" t="s">
        <v>261</v>
      </c>
      <c r="L73" s="2" t="s">
        <v>76</v>
      </c>
      <c r="M73" s="155">
        <v>2</v>
      </c>
      <c r="N73" s="155">
        <v>50</v>
      </c>
      <c r="O73" s="2">
        <v>1</v>
      </c>
      <c r="P73" s="6">
        <v>50</v>
      </c>
      <c r="Q73" s="132">
        <f t="shared" si="6"/>
        <v>4.5999999999999996</v>
      </c>
      <c r="R73" s="33">
        <f t="shared" si="10"/>
        <v>62.608695652173921</v>
      </c>
      <c r="S73" s="132">
        <f t="shared" si="5"/>
        <v>7.8260869565217401</v>
      </c>
      <c r="T73" s="132">
        <f t="shared" si="11"/>
        <v>7.8260869565217401</v>
      </c>
      <c r="W73" s="13"/>
      <c r="AD73" s="22">
        <v>45391</v>
      </c>
      <c r="AE73">
        <v>12</v>
      </c>
      <c r="AF73">
        <v>1.1000000000000001</v>
      </c>
      <c r="AG73">
        <v>0.5</v>
      </c>
      <c r="AH73">
        <v>1.1000000000000001</v>
      </c>
      <c r="AI73">
        <v>0.3</v>
      </c>
      <c r="AJ73">
        <v>0.6</v>
      </c>
      <c r="AK73">
        <v>0.11</v>
      </c>
      <c r="AL73">
        <v>0.17</v>
      </c>
      <c r="AM73">
        <v>0.2</v>
      </c>
      <c r="AN73">
        <v>0.12</v>
      </c>
      <c r="AO73">
        <v>4.5999999999999996</v>
      </c>
      <c r="AP73">
        <v>45</v>
      </c>
      <c r="AQ73">
        <v>132</v>
      </c>
      <c r="AR73">
        <v>136</v>
      </c>
      <c r="AS73">
        <v>135</v>
      </c>
      <c r="AT73">
        <v>60</v>
      </c>
      <c r="AU73">
        <v>38</v>
      </c>
      <c r="AV73">
        <v>40</v>
      </c>
      <c r="AW73">
        <v>40</v>
      </c>
      <c r="AX73">
        <v>101</v>
      </c>
      <c r="AY73">
        <v>352</v>
      </c>
      <c r="AZ73" t="s">
        <v>78</v>
      </c>
      <c r="BA73">
        <v>3000</v>
      </c>
      <c r="BB73">
        <v>10</v>
      </c>
      <c r="CH73" s="2"/>
    </row>
    <row r="74" spans="1:86" hidden="1" x14ac:dyDescent="0.3">
      <c r="A74" s="2">
        <v>109</v>
      </c>
      <c r="B74" s="2" t="s">
        <v>84</v>
      </c>
      <c r="C74" s="2" t="s">
        <v>21</v>
      </c>
      <c r="D74" s="2" t="s">
        <v>262</v>
      </c>
      <c r="E74" s="2">
        <v>160</v>
      </c>
      <c r="F74" s="2">
        <v>5.9400000000000001E-2</v>
      </c>
      <c r="G74" s="2">
        <v>4.4400000000000002E-2</v>
      </c>
      <c r="H74" s="4">
        <f t="shared" si="7"/>
        <v>0.25252525252525249</v>
      </c>
      <c r="I74" s="2" t="s">
        <v>98</v>
      </c>
      <c r="J74" s="2" t="s">
        <v>260</v>
      </c>
      <c r="K74" s="2" t="s">
        <v>258</v>
      </c>
      <c r="L74" s="2" t="s">
        <v>76</v>
      </c>
      <c r="M74" s="155"/>
      <c r="N74" s="155"/>
      <c r="O74" s="2">
        <v>1</v>
      </c>
      <c r="P74" s="6">
        <v>32</v>
      </c>
      <c r="Q74" s="132">
        <f t="shared" si="6"/>
        <v>5.625</v>
      </c>
      <c r="R74" s="33">
        <f t="shared" si="10"/>
        <v>32</v>
      </c>
      <c r="S74" s="132">
        <f t="shared" si="5"/>
        <v>4</v>
      </c>
      <c r="T74" s="132">
        <f t="shared" si="11"/>
        <v>4</v>
      </c>
      <c r="W74" s="13"/>
      <c r="CH74" s="2"/>
    </row>
    <row r="75" spans="1:86" hidden="1" x14ac:dyDescent="0.3">
      <c r="A75" s="2">
        <v>126</v>
      </c>
      <c r="B75" s="2" t="s">
        <v>0</v>
      </c>
      <c r="C75" s="2" t="s">
        <v>21</v>
      </c>
      <c r="D75" s="2" t="s">
        <v>263</v>
      </c>
      <c r="E75" s="2">
        <v>60</v>
      </c>
      <c r="F75" s="2"/>
      <c r="G75" s="2">
        <v>0.1065</v>
      </c>
      <c r="H75" s="4"/>
      <c r="I75" s="2" t="s">
        <v>264</v>
      </c>
      <c r="J75" s="2" t="s">
        <v>265</v>
      </c>
      <c r="K75" s="2"/>
      <c r="L75" s="2"/>
      <c r="M75" s="155"/>
      <c r="N75" s="155"/>
      <c r="O75" s="2">
        <v>1</v>
      </c>
      <c r="P75" s="6">
        <v>20</v>
      </c>
      <c r="Q75" s="132">
        <f t="shared" si="6"/>
        <v>24</v>
      </c>
      <c r="R75" s="33">
        <f t="shared" si="10"/>
        <v>20</v>
      </c>
      <c r="S75" s="132">
        <f t="shared" si="5"/>
        <v>2.5</v>
      </c>
      <c r="T75" s="132">
        <f t="shared" si="11"/>
        <v>2.5</v>
      </c>
      <c r="W75" s="13"/>
      <c r="CH75" s="2"/>
    </row>
    <row r="76" spans="1:86" hidden="1" x14ac:dyDescent="0.3">
      <c r="A76" s="2">
        <v>1956</v>
      </c>
      <c r="B76" s="2" t="s">
        <v>0</v>
      </c>
      <c r="C76" s="2" t="s">
        <v>21</v>
      </c>
      <c r="D76" s="123" t="s">
        <v>266</v>
      </c>
      <c r="E76" s="2">
        <v>400</v>
      </c>
      <c r="F76" s="2">
        <v>7.4000000000000003E-3</v>
      </c>
      <c r="G76" s="2">
        <v>5.5999999999999999E-3</v>
      </c>
      <c r="H76" s="4">
        <f t="shared" ref="H76:H139" si="12">(F76-G76)/F76</f>
        <v>0.24324324324324328</v>
      </c>
      <c r="I76" s="123" t="s">
        <v>86</v>
      </c>
      <c r="J76" s="2" t="s">
        <v>267</v>
      </c>
      <c r="K76" s="2" t="s">
        <v>90</v>
      </c>
      <c r="L76" s="2" t="s">
        <v>6</v>
      </c>
      <c r="M76" s="155"/>
      <c r="N76" s="155"/>
      <c r="O76" s="2">
        <v>12</v>
      </c>
      <c r="P76" s="6"/>
      <c r="Q76" s="132" t="str">
        <f t="shared" si="6"/>
        <v/>
      </c>
      <c r="R76" s="33" t="str">
        <f t="shared" si="10"/>
        <v/>
      </c>
      <c r="S76" s="132" t="str">
        <f t="shared" si="5"/>
        <v/>
      </c>
      <c r="T76" s="132" t="str">
        <f t="shared" si="11"/>
        <v/>
      </c>
      <c r="W76" s="13"/>
      <c r="AI76" s="20"/>
      <c r="CH76" s="2"/>
    </row>
    <row r="77" spans="1:86" hidden="1" x14ac:dyDescent="0.3">
      <c r="A77" s="2">
        <v>1957</v>
      </c>
      <c r="B77" s="2" t="s">
        <v>0</v>
      </c>
      <c r="C77" s="2" t="s">
        <v>21</v>
      </c>
      <c r="D77" s="123" t="s">
        <v>268</v>
      </c>
      <c r="E77" s="2">
        <v>400</v>
      </c>
      <c r="F77" s="2">
        <v>8.6E-3</v>
      </c>
      <c r="G77" s="2">
        <v>6.0000000000000001E-3</v>
      </c>
      <c r="H77" s="4">
        <f t="shared" si="12"/>
        <v>0.30232558139534882</v>
      </c>
      <c r="I77" s="123" t="s">
        <v>86</v>
      </c>
      <c r="J77" s="2" t="s">
        <v>94</v>
      </c>
      <c r="K77" s="2" t="s">
        <v>90</v>
      </c>
      <c r="L77" s="2" t="s">
        <v>6</v>
      </c>
      <c r="M77" s="155"/>
      <c r="N77" s="155"/>
      <c r="O77" s="2">
        <v>9</v>
      </c>
      <c r="P77" s="6"/>
      <c r="Q77" s="132" t="str">
        <f t="shared" si="6"/>
        <v/>
      </c>
      <c r="R77" s="33" t="str">
        <f t="shared" si="10"/>
        <v/>
      </c>
      <c r="S77" s="132" t="str">
        <f t="shared" si="5"/>
        <v/>
      </c>
      <c r="T77" s="132" t="str">
        <f t="shared" si="11"/>
        <v/>
      </c>
      <c r="W77" s="13"/>
      <c r="AI77" s="20"/>
      <c r="CH77" s="2"/>
    </row>
    <row r="78" spans="1:86" hidden="1" x14ac:dyDescent="0.3">
      <c r="A78" s="2">
        <v>1958</v>
      </c>
      <c r="B78" s="2" t="s">
        <v>0</v>
      </c>
      <c r="C78" s="2" t="s">
        <v>21</v>
      </c>
      <c r="D78" s="123" t="s">
        <v>269</v>
      </c>
      <c r="E78" s="2">
        <v>400</v>
      </c>
      <c r="F78" s="2">
        <v>1.15E-2</v>
      </c>
      <c r="G78" s="2">
        <v>8.0000000000000002E-3</v>
      </c>
      <c r="H78" s="4">
        <f t="shared" si="12"/>
        <v>0.30434782608695649</v>
      </c>
      <c r="I78" s="123" t="s">
        <v>86</v>
      </c>
      <c r="J78" s="2" t="s">
        <v>270</v>
      </c>
      <c r="K78" s="2" t="s">
        <v>90</v>
      </c>
      <c r="L78" s="2" t="s">
        <v>6</v>
      </c>
      <c r="M78" s="155"/>
      <c r="N78" s="155"/>
      <c r="O78" s="2">
        <v>9</v>
      </c>
      <c r="P78" s="6"/>
      <c r="Q78" s="132" t="str">
        <f t="shared" si="6"/>
        <v/>
      </c>
      <c r="R78" s="33" t="str">
        <f t="shared" si="10"/>
        <v/>
      </c>
      <c r="S78" s="132" t="str">
        <f t="shared" si="5"/>
        <v/>
      </c>
      <c r="T78" s="132" t="str">
        <f t="shared" si="11"/>
        <v/>
      </c>
      <c r="W78" s="13"/>
      <c r="AI78" s="20"/>
      <c r="CH78" s="2"/>
    </row>
    <row r="79" spans="1:86" hidden="1" x14ac:dyDescent="0.3">
      <c r="A79" s="2">
        <v>31</v>
      </c>
      <c r="B79" s="2" t="s">
        <v>84</v>
      </c>
      <c r="C79" s="2" t="s">
        <v>21</v>
      </c>
      <c r="D79" s="123" t="s">
        <v>271</v>
      </c>
      <c r="E79" s="2">
        <v>500</v>
      </c>
      <c r="F79" s="2">
        <v>2.4199999999999999E-2</v>
      </c>
      <c r="G79" s="2">
        <v>0.02</v>
      </c>
      <c r="H79" s="4">
        <f t="shared" si="12"/>
        <v>0.17355371900826441</v>
      </c>
      <c r="I79" s="123" t="s">
        <v>86</v>
      </c>
      <c r="J79" s="2" t="s">
        <v>272</v>
      </c>
      <c r="K79" s="2" t="s">
        <v>105</v>
      </c>
      <c r="L79" s="2" t="s">
        <v>76</v>
      </c>
      <c r="M79" s="155"/>
      <c r="N79" s="155"/>
      <c r="O79" s="2">
        <v>3</v>
      </c>
      <c r="P79" s="6"/>
      <c r="Q79" s="132" t="str">
        <f t="shared" si="6"/>
        <v/>
      </c>
      <c r="R79" s="33" t="str">
        <f t="shared" si="10"/>
        <v/>
      </c>
      <c r="S79" s="132" t="str">
        <f t="shared" si="5"/>
        <v/>
      </c>
      <c r="T79" s="132" t="str">
        <f t="shared" si="11"/>
        <v/>
      </c>
      <c r="W79" s="13"/>
      <c r="Y79"/>
      <c r="CH79" s="2"/>
    </row>
    <row r="80" spans="1:86" hidden="1" x14ac:dyDescent="0.3">
      <c r="A80" s="2">
        <v>1965</v>
      </c>
      <c r="B80" s="2" t="s">
        <v>0</v>
      </c>
      <c r="C80" s="2" t="s">
        <v>21</v>
      </c>
      <c r="D80" s="123" t="s">
        <v>271</v>
      </c>
      <c r="E80" s="2">
        <v>300</v>
      </c>
      <c r="F80" s="2">
        <v>2.4500000000000001E-2</v>
      </c>
      <c r="G80" s="2">
        <v>0.02</v>
      </c>
      <c r="H80" s="4">
        <f t="shared" si="12"/>
        <v>0.18367346938775511</v>
      </c>
      <c r="I80" s="123" t="s">
        <v>86</v>
      </c>
      <c r="J80" s="2" t="s">
        <v>272</v>
      </c>
      <c r="K80" s="2" t="s">
        <v>90</v>
      </c>
      <c r="L80" s="2" t="s">
        <v>6</v>
      </c>
      <c r="M80" s="155"/>
      <c r="N80" s="155"/>
      <c r="O80" s="2">
        <v>3</v>
      </c>
      <c r="P80" s="6">
        <v>50</v>
      </c>
      <c r="Q80" s="132">
        <f t="shared" si="6"/>
        <v>5.76</v>
      </c>
      <c r="R80" s="33">
        <f t="shared" si="10"/>
        <v>50</v>
      </c>
      <c r="S80" s="132">
        <f t="shared" si="5"/>
        <v>6.25</v>
      </c>
      <c r="T80" s="132">
        <f t="shared" si="11"/>
        <v>6.25</v>
      </c>
      <c r="W80" s="13"/>
      <c r="AI80" s="20"/>
      <c r="CH80" s="2"/>
    </row>
    <row r="81" spans="1:86" hidden="1" x14ac:dyDescent="0.3">
      <c r="A81" s="2">
        <v>1960</v>
      </c>
      <c r="B81" s="2" t="s">
        <v>0</v>
      </c>
      <c r="C81" s="2" t="s">
        <v>21</v>
      </c>
      <c r="D81" s="123" t="s">
        <v>273</v>
      </c>
      <c r="E81" s="2">
        <v>300</v>
      </c>
      <c r="F81" s="2">
        <v>1.32E-2</v>
      </c>
      <c r="G81" s="2">
        <v>9.4000000000000004E-3</v>
      </c>
      <c r="H81" s="4">
        <f t="shared" si="12"/>
        <v>0.28787878787878785</v>
      </c>
      <c r="I81" s="123" t="s">
        <v>86</v>
      </c>
      <c r="J81" s="2" t="s">
        <v>274</v>
      </c>
      <c r="K81" s="2" t="s">
        <v>90</v>
      </c>
      <c r="L81" s="2" t="s">
        <v>6</v>
      </c>
      <c r="M81" s="155"/>
      <c r="N81" s="155"/>
      <c r="O81" s="2">
        <v>4</v>
      </c>
      <c r="P81" s="6"/>
      <c r="Q81" s="132" t="str">
        <f t="shared" si="6"/>
        <v/>
      </c>
      <c r="R81" s="33" t="str">
        <f t="shared" si="10"/>
        <v/>
      </c>
      <c r="S81" s="132" t="str">
        <f t="shared" si="5"/>
        <v/>
      </c>
      <c r="T81" s="132" t="str">
        <f t="shared" si="11"/>
        <v/>
      </c>
      <c r="W81" s="13"/>
      <c r="AI81" s="20"/>
      <c r="CH81" s="2"/>
    </row>
    <row r="82" spans="1:86" hidden="1" x14ac:dyDescent="0.3">
      <c r="A82" s="2">
        <v>1961</v>
      </c>
      <c r="B82" s="2" t="s">
        <v>0</v>
      </c>
      <c r="C82" s="2" t="s">
        <v>21</v>
      </c>
      <c r="D82" s="123" t="s">
        <v>275</v>
      </c>
      <c r="E82" s="2">
        <v>300</v>
      </c>
      <c r="F82" s="2">
        <v>1.7600000000000001E-2</v>
      </c>
      <c r="G82" s="2">
        <v>1.2800000000000001E-2</v>
      </c>
      <c r="H82" s="4">
        <f t="shared" si="12"/>
        <v>0.27272727272727276</v>
      </c>
      <c r="I82" s="123" t="s">
        <v>86</v>
      </c>
      <c r="J82" s="2" t="s">
        <v>155</v>
      </c>
      <c r="K82" s="2" t="s">
        <v>129</v>
      </c>
      <c r="L82" s="2" t="s">
        <v>96</v>
      </c>
      <c r="M82" s="155"/>
      <c r="N82" s="155"/>
      <c r="O82" s="2">
        <v>4</v>
      </c>
      <c r="P82" s="6"/>
      <c r="Q82" s="132" t="str">
        <f t="shared" si="6"/>
        <v/>
      </c>
      <c r="R82" s="33" t="str">
        <f t="shared" si="10"/>
        <v/>
      </c>
      <c r="S82" s="132" t="str">
        <f t="shared" si="5"/>
        <v/>
      </c>
      <c r="T82" s="132" t="str">
        <f t="shared" si="11"/>
        <v/>
      </c>
      <c r="W82" s="13"/>
      <c r="AI82" s="20"/>
      <c r="CH82" s="2"/>
    </row>
    <row r="83" spans="1:86" hidden="1" x14ac:dyDescent="0.3">
      <c r="A83" s="2">
        <v>1962</v>
      </c>
      <c r="B83" s="2" t="s">
        <v>0</v>
      </c>
      <c r="C83" s="2" t="s">
        <v>21</v>
      </c>
      <c r="D83" s="123" t="s">
        <v>276</v>
      </c>
      <c r="E83" s="2">
        <v>300</v>
      </c>
      <c r="F83" s="2">
        <v>1.9800000000000002E-2</v>
      </c>
      <c r="G83" s="2">
        <v>1.55E-2</v>
      </c>
      <c r="H83" s="4">
        <f t="shared" si="12"/>
        <v>0.21717171717171724</v>
      </c>
      <c r="I83" s="123" t="s">
        <v>86</v>
      </c>
      <c r="J83" s="2" t="s">
        <v>277</v>
      </c>
      <c r="K83" s="2" t="s">
        <v>129</v>
      </c>
      <c r="L83" s="2" t="s">
        <v>96</v>
      </c>
      <c r="M83" s="155"/>
      <c r="N83" s="155"/>
      <c r="O83" s="2">
        <v>4</v>
      </c>
      <c r="P83" s="6"/>
      <c r="Q83" s="132" t="str">
        <f t="shared" si="6"/>
        <v/>
      </c>
      <c r="R83" s="33" t="str">
        <f t="shared" si="10"/>
        <v/>
      </c>
      <c r="S83" s="132" t="str">
        <f t="shared" si="5"/>
        <v/>
      </c>
      <c r="T83" s="132" t="str">
        <f t="shared" si="11"/>
        <v/>
      </c>
      <c r="W83" s="13"/>
      <c r="AI83" s="20"/>
      <c r="CH83" s="2"/>
    </row>
    <row r="84" spans="1:86" hidden="1" x14ac:dyDescent="0.3">
      <c r="A84" s="2">
        <v>32</v>
      </c>
      <c r="B84" s="2" t="s">
        <v>84</v>
      </c>
      <c r="C84" s="2" t="s">
        <v>21</v>
      </c>
      <c r="D84" s="123" t="s">
        <v>278</v>
      </c>
      <c r="E84" s="2">
        <v>520</v>
      </c>
      <c r="F84" s="2">
        <v>1.9599999999999999E-2</v>
      </c>
      <c r="G84" s="2">
        <v>1.5900000000000001E-2</v>
      </c>
      <c r="H84" s="4">
        <f t="shared" si="12"/>
        <v>0.18877551020408156</v>
      </c>
      <c r="I84" s="123" t="s">
        <v>86</v>
      </c>
      <c r="J84" s="2" t="s">
        <v>179</v>
      </c>
      <c r="K84" s="2" t="s">
        <v>105</v>
      </c>
      <c r="L84" s="2" t="s">
        <v>76</v>
      </c>
      <c r="M84" s="155"/>
      <c r="N84" s="155"/>
      <c r="O84" s="2">
        <v>2</v>
      </c>
      <c r="P84" s="6"/>
      <c r="Q84" s="132" t="str">
        <f t="shared" si="6"/>
        <v/>
      </c>
      <c r="R84" s="33" t="str">
        <f t="shared" si="10"/>
        <v/>
      </c>
      <c r="S84" s="132" t="str">
        <f t="shared" si="5"/>
        <v/>
      </c>
      <c r="T84" s="132" t="str">
        <f t="shared" si="11"/>
        <v/>
      </c>
      <c r="W84" s="13"/>
      <c r="Y84"/>
      <c r="CH84" s="2"/>
    </row>
    <row r="85" spans="1:86" hidden="1" x14ac:dyDescent="0.3">
      <c r="A85" s="2">
        <v>1966</v>
      </c>
      <c r="B85" s="2" t="s">
        <v>0</v>
      </c>
      <c r="C85" s="2" t="s">
        <v>21</v>
      </c>
      <c r="D85" s="123" t="s">
        <v>278</v>
      </c>
      <c r="E85" s="2">
        <v>300</v>
      </c>
      <c r="F85" s="2">
        <v>1.9599999999999999E-2</v>
      </c>
      <c r="G85" s="2">
        <v>1.5900000000000001E-2</v>
      </c>
      <c r="H85" s="4">
        <f t="shared" si="12"/>
        <v>0.18877551020408156</v>
      </c>
      <c r="I85" s="123" t="s">
        <v>86</v>
      </c>
      <c r="J85" s="2" t="s">
        <v>179</v>
      </c>
      <c r="K85" s="2" t="s">
        <v>163</v>
      </c>
      <c r="L85" s="2" t="s">
        <v>6</v>
      </c>
      <c r="M85" s="155"/>
      <c r="N85" s="155"/>
      <c r="O85" s="2">
        <v>2</v>
      </c>
      <c r="P85" s="6">
        <v>50</v>
      </c>
      <c r="Q85" s="132">
        <f t="shared" si="6"/>
        <v>3.84</v>
      </c>
      <c r="R85" s="33">
        <f t="shared" si="10"/>
        <v>50</v>
      </c>
      <c r="S85" s="132">
        <f t="shared" si="5"/>
        <v>6.25</v>
      </c>
      <c r="T85" s="132">
        <f t="shared" si="11"/>
        <v>6.25</v>
      </c>
      <c r="W85" s="13"/>
      <c r="AI85" s="20"/>
      <c r="CH85" s="2"/>
    </row>
    <row r="86" spans="1:86" hidden="1" x14ac:dyDescent="0.3">
      <c r="A86" s="2">
        <v>34</v>
      </c>
      <c r="B86" s="2" t="s">
        <v>84</v>
      </c>
      <c r="C86" s="2" t="s">
        <v>21</v>
      </c>
      <c r="D86" s="123" t="s">
        <v>279</v>
      </c>
      <c r="E86" s="2">
        <v>520</v>
      </c>
      <c r="F86" s="2">
        <v>1.9599999999999999E-2</v>
      </c>
      <c r="G86" s="2">
        <v>1.5900000000000001E-2</v>
      </c>
      <c r="H86" s="4">
        <f t="shared" si="12"/>
        <v>0.18877551020408156</v>
      </c>
      <c r="I86" s="123" t="s">
        <v>86</v>
      </c>
      <c r="J86" s="2" t="s">
        <v>179</v>
      </c>
      <c r="K86" s="2" t="s">
        <v>105</v>
      </c>
      <c r="L86" s="2" t="s">
        <v>76</v>
      </c>
      <c r="M86" s="155"/>
      <c r="N86" s="155"/>
      <c r="O86" s="2">
        <v>2</v>
      </c>
      <c r="P86" s="6"/>
      <c r="Q86" s="132" t="str">
        <f t="shared" si="6"/>
        <v/>
      </c>
      <c r="R86" s="33" t="str">
        <f t="shared" si="10"/>
        <v/>
      </c>
      <c r="S86" s="132" t="str">
        <f t="shared" si="5"/>
        <v/>
      </c>
      <c r="T86" s="132" t="str">
        <f t="shared" si="11"/>
        <v/>
      </c>
      <c r="W86" s="13"/>
      <c r="Y86"/>
      <c r="CH86" s="2"/>
    </row>
    <row r="87" spans="1:86" hidden="1" x14ac:dyDescent="0.3">
      <c r="A87" s="2">
        <v>1967</v>
      </c>
      <c r="B87" s="2" t="s">
        <v>0</v>
      </c>
      <c r="C87" s="2" t="s">
        <v>21</v>
      </c>
      <c r="D87" s="123" t="s">
        <v>279</v>
      </c>
      <c r="E87" s="2">
        <v>300</v>
      </c>
      <c r="F87" s="2">
        <v>1.9599999999999999E-2</v>
      </c>
      <c r="G87" s="2">
        <v>1.5900000000000001E-2</v>
      </c>
      <c r="H87" s="4">
        <f t="shared" si="12"/>
        <v>0.18877551020408156</v>
      </c>
      <c r="I87" s="123" t="s">
        <v>86</v>
      </c>
      <c r="J87" s="2" t="s">
        <v>179</v>
      </c>
      <c r="K87" s="2" t="s">
        <v>163</v>
      </c>
      <c r="L87" s="2" t="s">
        <v>6</v>
      </c>
      <c r="M87" s="155"/>
      <c r="N87" s="155"/>
      <c r="O87" s="2">
        <v>2</v>
      </c>
      <c r="P87" s="6">
        <v>50</v>
      </c>
      <c r="Q87" s="132">
        <f t="shared" si="6"/>
        <v>3.84</v>
      </c>
      <c r="R87" s="33">
        <f t="shared" si="10"/>
        <v>50</v>
      </c>
      <c r="S87" s="132">
        <f t="shared" si="5"/>
        <v>6.25</v>
      </c>
      <c r="T87" s="132">
        <f t="shared" si="11"/>
        <v>6.25</v>
      </c>
      <c r="W87" s="13"/>
      <c r="AI87" s="20"/>
      <c r="CH87" s="2"/>
    </row>
    <row r="88" spans="1:86" hidden="1" x14ac:dyDescent="0.3">
      <c r="A88" s="2">
        <v>36</v>
      </c>
      <c r="B88" s="2" t="s">
        <v>84</v>
      </c>
      <c r="C88" s="2" t="s">
        <v>21</v>
      </c>
      <c r="D88" s="123" t="s">
        <v>280</v>
      </c>
      <c r="E88" s="2">
        <v>520</v>
      </c>
      <c r="F88" s="2">
        <v>1.9599999999999999E-2</v>
      </c>
      <c r="G88" s="2">
        <v>1.5900000000000001E-2</v>
      </c>
      <c r="H88" s="4">
        <f t="shared" si="12"/>
        <v>0.18877551020408156</v>
      </c>
      <c r="I88" s="123" t="s">
        <v>86</v>
      </c>
      <c r="J88" s="2" t="s">
        <v>179</v>
      </c>
      <c r="K88" s="2" t="s">
        <v>105</v>
      </c>
      <c r="L88" s="2" t="s">
        <v>76</v>
      </c>
      <c r="M88" s="155"/>
      <c r="N88" s="155"/>
      <c r="O88" s="2">
        <v>2</v>
      </c>
      <c r="P88" s="6"/>
      <c r="Q88" s="132" t="str">
        <f t="shared" si="6"/>
        <v/>
      </c>
      <c r="R88" s="33" t="str">
        <f t="shared" si="10"/>
        <v/>
      </c>
      <c r="S88" s="132" t="str">
        <f t="shared" si="5"/>
        <v/>
      </c>
      <c r="T88" s="132" t="str">
        <f t="shared" si="11"/>
        <v/>
      </c>
      <c r="W88" s="13"/>
      <c r="Y88"/>
      <c r="CH88" s="2"/>
    </row>
    <row r="89" spans="1:86" hidden="1" x14ac:dyDescent="0.3">
      <c r="A89" s="2">
        <v>1968</v>
      </c>
      <c r="B89" s="2" t="s">
        <v>0</v>
      </c>
      <c r="C89" s="2" t="s">
        <v>21</v>
      </c>
      <c r="D89" s="123" t="s">
        <v>280</v>
      </c>
      <c r="E89" s="2">
        <v>250</v>
      </c>
      <c r="F89" s="2">
        <v>1.9599999999999999E-2</v>
      </c>
      <c r="G89" s="2">
        <v>1.5900000000000001E-2</v>
      </c>
      <c r="H89" s="4">
        <f t="shared" si="12"/>
        <v>0.18877551020408156</v>
      </c>
      <c r="I89" s="123" t="s">
        <v>86</v>
      </c>
      <c r="J89" s="2" t="s">
        <v>179</v>
      </c>
      <c r="K89" s="2" t="s">
        <v>163</v>
      </c>
      <c r="L89" s="2" t="s">
        <v>6</v>
      </c>
      <c r="M89" s="155"/>
      <c r="N89" s="155"/>
      <c r="O89" s="2">
        <v>2</v>
      </c>
      <c r="P89" s="6">
        <v>60</v>
      </c>
      <c r="Q89" s="132">
        <f t="shared" si="6"/>
        <v>3.84</v>
      </c>
      <c r="R89" s="33">
        <f t="shared" si="10"/>
        <v>60.000000000000007</v>
      </c>
      <c r="S89" s="132">
        <f t="shared" si="5"/>
        <v>7.5000000000000009</v>
      </c>
      <c r="T89" s="132">
        <f t="shared" si="11"/>
        <v>7.5000000000000009</v>
      </c>
      <c r="W89" s="13"/>
      <c r="AI89" s="20"/>
      <c r="CH89" s="2"/>
    </row>
    <row r="90" spans="1:86" hidden="1" x14ac:dyDescent="0.3">
      <c r="A90" s="2">
        <v>37</v>
      </c>
      <c r="B90" s="2" t="s">
        <v>84</v>
      </c>
      <c r="C90" s="2" t="s">
        <v>21</v>
      </c>
      <c r="D90" s="123" t="s">
        <v>281</v>
      </c>
      <c r="E90" s="2">
        <v>200</v>
      </c>
      <c r="F90" s="2">
        <v>3.1399999999999997E-2</v>
      </c>
      <c r="G90" s="2">
        <v>2.64E-2</v>
      </c>
      <c r="H90" s="4">
        <f t="shared" si="12"/>
        <v>0.15923566878980885</v>
      </c>
      <c r="I90" s="123" t="s">
        <v>86</v>
      </c>
      <c r="J90" s="2" t="s">
        <v>282</v>
      </c>
      <c r="K90" s="2" t="s">
        <v>105</v>
      </c>
      <c r="L90" s="2" t="s">
        <v>76</v>
      </c>
      <c r="M90" s="155"/>
      <c r="N90" s="155"/>
      <c r="O90" s="2">
        <v>2</v>
      </c>
      <c r="P90" s="6"/>
      <c r="Q90" s="132" t="str">
        <f t="shared" si="6"/>
        <v/>
      </c>
      <c r="R90" s="33" t="str">
        <f t="shared" si="10"/>
        <v/>
      </c>
      <c r="S90" s="132" t="str">
        <f t="shared" si="5"/>
        <v/>
      </c>
      <c r="T90" s="132" t="str">
        <f t="shared" si="11"/>
        <v/>
      </c>
      <c r="W90" s="13"/>
      <c r="Y90"/>
      <c r="CH90" s="2"/>
    </row>
    <row r="91" spans="1:86" hidden="1" x14ac:dyDescent="0.3">
      <c r="A91" s="2">
        <v>40</v>
      </c>
      <c r="B91" s="2" t="s">
        <v>84</v>
      </c>
      <c r="C91" s="2" t="s">
        <v>21</v>
      </c>
      <c r="D91" s="123" t="s">
        <v>283</v>
      </c>
      <c r="E91" s="2">
        <v>200</v>
      </c>
      <c r="F91" s="2">
        <v>2.35E-2</v>
      </c>
      <c r="G91" s="2">
        <v>1.89E-2</v>
      </c>
      <c r="H91" s="4">
        <f t="shared" si="12"/>
        <v>0.19574468085106383</v>
      </c>
      <c r="I91" s="123" t="s">
        <v>86</v>
      </c>
      <c r="J91" s="2" t="s">
        <v>94</v>
      </c>
      <c r="K91" s="2" t="s">
        <v>163</v>
      </c>
      <c r="L91" s="2" t="s">
        <v>6</v>
      </c>
      <c r="M91" s="155"/>
      <c r="N91" s="155"/>
      <c r="O91" s="2">
        <v>2</v>
      </c>
      <c r="P91" s="6"/>
      <c r="Q91" s="132" t="str">
        <f t="shared" si="6"/>
        <v/>
      </c>
      <c r="R91" s="33" t="str">
        <f t="shared" si="10"/>
        <v/>
      </c>
      <c r="S91" s="132" t="str">
        <f t="shared" si="5"/>
        <v/>
      </c>
      <c r="T91" s="132" t="str">
        <f t="shared" si="11"/>
        <v/>
      </c>
      <c r="W91" s="13"/>
      <c r="Y91"/>
      <c r="CH91" s="2"/>
    </row>
    <row r="92" spans="1:86" hidden="1" x14ac:dyDescent="0.3">
      <c r="A92" s="2">
        <v>41</v>
      </c>
      <c r="B92" s="2" t="s">
        <v>84</v>
      </c>
      <c r="C92" s="2" t="s">
        <v>21</v>
      </c>
      <c r="D92" s="123" t="s">
        <v>284</v>
      </c>
      <c r="E92" s="2">
        <v>360</v>
      </c>
      <c r="F92" s="2">
        <v>2.7E-2</v>
      </c>
      <c r="G92" s="2">
        <v>2.1499999999999998E-2</v>
      </c>
      <c r="H92" s="4">
        <f t="shared" si="12"/>
        <v>0.20370370370370375</v>
      </c>
      <c r="I92" s="123" t="s">
        <v>86</v>
      </c>
      <c r="J92" s="2" t="s">
        <v>285</v>
      </c>
      <c r="K92" s="2" t="s">
        <v>105</v>
      </c>
      <c r="L92" s="2" t="s">
        <v>76</v>
      </c>
      <c r="M92" s="155"/>
      <c r="N92" s="155"/>
      <c r="O92" s="2">
        <v>2</v>
      </c>
      <c r="P92" s="6"/>
      <c r="Q92" s="132" t="str">
        <f t="shared" si="6"/>
        <v/>
      </c>
      <c r="R92" s="33" t="str">
        <f t="shared" si="10"/>
        <v/>
      </c>
      <c r="S92" s="132" t="str">
        <f t="shared" si="5"/>
        <v/>
      </c>
      <c r="T92" s="132" t="str">
        <f t="shared" si="11"/>
        <v/>
      </c>
      <c r="W92" s="13"/>
      <c r="Y92"/>
      <c r="CH92" s="2"/>
    </row>
    <row r="93" spans="1:86" hidden="1" x14ac:dyDescent="0.3">
      <c r="A93" s="2">
        <v>42</v>
      </c>
      <c r="B93" s="2" t="s">
        <v>84</v>
      </c>
      <c r="C93" s="2" t="s">
        <v>21</v>
      </c>
      <c r="D93" s="123" t="s">
        <v>286</v>
      </c>
      <c r="E93" s="2">
        <v>360</v>
      </c>
      <c r="F93" s="2">
        <v>2.7E-2</v>
      </c>
      <c r="G93" s="2">
        <v>2.1499999999999998E-2</v>
      </c>
      <c r="H93" s="4">
        <f t="shared" si="12"/>
        <v>0.20370370370370375</v>
      </c>
      <c r="I93" s="123" t="s">
        <v>86</v>
      </c>
      <c r="J93" s="2" t="s">
        <v>285</v>
      </c>
      <c r="K93" s="2" t="s">
        <v>105</v>
      </c>
      <c r="L93" s="2" t="s">
        <v>76</v>
      </c>
      <c r="M93" s="155"/>
      <c r="N93" s="155"/>
      <c r="O93" s="2">
        <v>2</v>
      </c>
      <c r="P93" s="6"/>
      <c r="Q93" s="132" t="str">
        <f t="shared" si="6"/>
        <v/>
      </c>
      <c r="R93" s="33" t="str">
        <f t="shared" si="10"/>
        <v/>
      </c>
      <c r="S93" s="132" t="str">
        <f t="shared" si="5"/>
        <v/>
      </c>
      <c r="T93" s="132" t="str">
        <f t="shared" si="11"/>
        <v/>
      </c>
      <c r="W93" s="13"/>
      <c r="Y93"/>
      <c r="CH93" s="2"/>
    </row>
    <row r="94" spans="1:86" hidden="1" x14ac:dyDescent="0.3">
      <c r="A94" s="2">
        <v>1969</v>
      </c>
      <c r="B94" s="2" t="s">
        <v>0</v>
      </c>
      <c r="C94" s="2" t="s">
        <v>21</v>
      </c>
      <c r="D94" s="123" t="s">
        <v>287</v>
      </c>
      <c r="E94" s="2">
        <v>300</v>
      </c>
      <c r="F94" s="2">
        <v>1.44E-2</v>
      </c>
      <c r="G94" s="2">
        <v>1.14E-2</v>
      </c>
      <c r="H94" s="4">
        <f t="shared" si="12"/>
        <v>0.20833333333333329</v>
      </c>
      <c r="I94" s="123" t="s">
        <v>86</v>
      </c>
      <c r="J94" s="2" t="s">
        <v>288</v>
      </c>
      <c r="K94" s="2" t="s">
        <v>90</v>
      </c>
      <c r="L94" s="2" t="s">
        <v>6</v>
      </c>
      <c r="M94" s="155"/>
      <c r="N94" s="155"/>
      <c r="O94" s="2">
        <v>4</v>
      </c>
      <c r="P94" s="6">
        <v>60</v>
      </c>
      <c r="Q94" s="132">
        <f t="shared" si="6"/>
        <v>6.4</v>
      </c>
      <c r="R94" s="33">
        <f t="shared" si="10"/>
        <v>60</v>
      </c>
      <c r="S94" s="132">
        <f t="shared" si="5"/>
        <v>7.5</v>
      </c>
      <c r="T94" s="132">
        <f t="shared" si="11"/>
        <v>7.5</v>
      </c>
      <c r="W94" s="13"/>
      <c r="AI94" s="20"/>
      <c r="CH94" s="2"/>
    </row>
    <row r="95" spans="1:86" hidden="1" x14ac:dyDescent="0.3">
      <c r="A95" s="2">
        <v>45</v>
      </c>
      <c r="B95" s="2" t="s">
        <v>84</v>
      </c>
      <c r="C95" s="2" t="s">
        <v>21</v>
      </c>
      <c r="D95" s="123" t="s">
        <v>289</v>
      </c>
      <c r="E95" s="2">
        <v>360</v>
      </c>
      <c r="F95" s="2">
        <v>2.7E-2</v>
      </c>
      <c r="G95" s="2">
        <v>2.1499999999999998E-2</v>
      </c>
      <c r="H95" s="4">
        <f t="shared" si="12"/>
        <v>0.20370370370370375</v>
      </c>
      <c r="I95" s="123" t="s">
        <v>86</v>
      </c>
      <c r="J95" s="2" t="s">
        <v>285</v>
      </c>
      <c r="K95" s="2" t="s">
        <v>105</v>
      </c>
      <c r="L95" s="2" t="s">
        <v>76</v>
      </c>
      <c r="M95" s="155"/>
      <c r="N95" s="155"/>
      <c r="O95" s="2">
        <v>2</v>
      </c>
      <c r="P95" s="6"/>
      <c r="Q95" s="132" t="str">
        <f t="shared" si="6"/>
        <v/>
      </c>
      <c r="R95" s="33" t="str">
        <f t="shared" si="10"/>
        <v/>
      </c>
      <c r="S95" s="132" t="str">
        <f t="shared" si="5"/>
        <v/>
      </c>
      <c r="T95" s="132" t="str">
        <f t="shared" si="11"/>
        <v/>
      </c>
      <c r="W95" s="13"/>
      <c r="Y95"/>
      <c r="CH95" s="2"/>
    </row>
    <row r="96" spans="1:86" hidden="1" x14ac:dyDescent="0.3">
      <c r="A96" s="2">
        <v>48</v>
      </c>
      <c r="B96" s="2" t="s">
        <v>84</v>
      </c>
      <c r="C96" s="2" t="s">
        <v>21</v>
      </c>
      <c r="D96" s="123" t="s">
        <v>290</v>
      </c>
      <c r="E96" s="2">
        <v>200</v>
      </c>
      <c r="F96" s="2">
        <v>3.9699999999999999E-2</v>
      </c>
      <c r="G96" s="2">
        <v>3.2800000000000003E-2</v>
      </c>
      <c r="H96" s="4">
        <f t="shared" si="12"/>
        <v>0.17380352644836264</v>
      </c>
      <c r="I96" s="123" t="s">
        <v>86</v>
      </c>
      <c r="J96" s="2" t="s">
        <v>291</v>
      </c>
      <c r="K96" s="2" t="s">
        <v>5</v>
      </c>
      <c r="L96" s="2" t="s">
        <v>6</v>
      </c>
      <c r="M96" s="155"/>
      <c r="N96" s="155"/>
      <c r="O96" s="2">
        <v>2</v>
      </c>
      <c r="P96" s="6"/>
      <c r="Q96" s="132" t="str">
        <f t="shared" si="6"/>
        <v/>
      </c>
      <c r="R96" s="33" t="str">
        <f t="shared" si="10"/>
        <v/>
      </c>
      <c r="S96" s="132" t="str">
        <f t="shared" si="5"/>
        <v/>
      </c>
      <c r="T96" s="132" t="str">
        <f t="shared" si="11"/>
        <v/>
      </c>
      <c r="W96" s="13"/>
      <c r="Y96"/>
      <c r="CH96" s="2"/>
    </row>
    <row r="97" spans="1:86" hidden="1" x14ac:dyDescent="0.3">
      <c r="A97" s="2">
        <v>50</v>
      </c>
      <c r="B97" s="2" t="s">
        <v>84</v>
      </c>
      <c r="C97" s="2" t="s">
        <v>21</v>
      </c>
      <c r="D97" s="123" t="s">
        <v>292</v>
      </c>
      <c r="E97" s="2">
        <v>200</v>
      </c>
      <c r="F97" s="2">
        <v>3.9699999999999999E-2</v>
      </c>
      <c r="G97" s="2">
        <v>3.2800000000000003E-2</v>
      </c>
      <c r="H97" s="4">
        <f t="shared" si="12"/>
        <v>0.17380352644836264</v>
      </c>
      <c r="I97" s="123" t="s">
        <v>86</v>
      </c>
      <c r="J97" s="2" t="s">
        <v>291</v>
      </c>
      <c r="K97" s="2" t="s">
        <v>5</v>
      </c>
      <c r="L97" s="2" t="s">
        <v>6</v>
      </c>
      <c r="M97" s="155"/>
      <c r="N97" s="155"/>
      <c r="O97" s="2">
        <v>2</v>
      </c>
      <c r="P97" s="6"/>
      <c r="Q97" s="132" t="str">
        <f t="shared" si="6"/>
        <v/>
      </c>
      <c r="R97" s="33" t="str">
        <f t="shared" si="10"/>
        <v/>
      </c>
      <c r="S97" s="132" t="str">
        <f t="shared" si="5"/>
        <v/>
      </c>
      <c r="T97" s="132" t="str">
        <f t="shared" si="11"/>
        <v/>
      </c>
      <c r="W97" s="13"/>
      <c r="CH97" s="2"/>
    </row>
    <row r="98" spans="1:86" hidden="1" x14ac:dyDescent="0.3">
      <c r="A98" s="2">
        <v>53</v>
      </c>
      <c r="B98" s="2" t="s">
        <v>84</v>
      </c>
      <c r="C98" s="2" t="s">
        <v>21</v>
      </c>
      <c r="D98" s="123" t="s">
        <v>293</v>
      </c>
      <c r="E98" s="2">
        <v>400</v>
      </c>
      <c r="F98" s="2">
        <v>2.9700000000000001E-2</v>
      </c>
      <c r="G98" s="2">
        <v>2.53E-2</v>
      </c>
      <c r="H98" s="4">
        <f t="shared" si="12"/>
        <v>0.1481481481481482</v>
      </c>
      <c r="I98" s="123" t="s">
        <v>86</v>
      </c>
      <c r="J98" s="2" t="s">
        <v>294</v>
      </c>
      <c r="K98" s="2" t="s">
        <v>222</v>
      </c>
      <c r="L98" s="2" t="s">
        <v>76</v>
      </c>
      <c r="M98" s="155"/>
      <c r="N98" s="155"/>
      <c r="O98" s="2">
        <v>2</v>
      </c>
      <c r="P98" s="6"/>
      <c r="Q98" s="132" t="str">
        <f t="shared" si="6"/>
        <v/>
      </c>
      <c r="R98" s="33" t="str">
        <f t="shared" si="10"/>
        <v/>
      </c>
      <c r="S98" s="132" t="str">
        <f t="shared" si="5"/>
        <v/>
      </c>
      <c r="T98" s="132" t="str">
        <f t="shared" si="11"/>
        <v/>
      </c>
      <c r="W98" s="13"/>
      <c r="CH98" s="2"/>
    </row>
    <row r="99" spans="1:86" hidden="1" x14ac:dyDescent="0.3">
      <c r="A99" s="2">
        <v>1970</v>
      </c>
      <c r="B99" s="2" t="s">
        <v>0</v>
      </c>
      <c r="C99" s="2" t="s">
        <v>21</v>
      </c>
      <c r="D99" s="123" t="s">
        <v>293</v>
      </c>
      <c r="E99" s="2">
        <v>200</v>
      </c>
      <c r="F99" s="2">
        <v>2.9700000000000001E-2</v>
      </c>
      <c r="G99" s="2">
        <v>2.53E-2</v>
      </c>
      <c r="H99" s="4">
        <f t="shared" si="12"/>
        <v>0.1481481481481482</v>
      </c>
      <c r="I99" s="123" t="s">
        <v>86</v>
      </c>
      <c r="J99" s="2" t="s">
        <v>294</v>
      </c>
      <c r="K99" s="2" t="s">
        <v>90</v>
      </c>
      <c r="L99" s="2" t="s">
        <v>6</v>
      </c>
      <c r="M99" s="155"/>
      <c r="N99" s="155"/>
      <c r="O99" s="2">
        <v>2</v>
      </c>
      <c r="P99" s="6">
        <v>60</v>
      </c>
      <c r="Q99" s="132">
        <f t="shared" si="6"/>
        <v>4.8</v>
      </c>
      <c r="R99" s="33">
        <f t="shared" si="10"/>
        <v>60</v>
      </c>
      <c r="S99" s="132">
        <f t="shared" si="5"/>
        <v>7.5</v>
      </c>
      <c r="T99" s="132">
        <f t="shared" si="11"/>
        <v>7.5</v>
      </c>
      <c r="W99" s="13"/>
      <c r="AI99" s="20"/>
      <c r="CH99" s="2"/>
    </row>
    <row r="100" spans="1:86" hidden="1" x14ac:dyDescent="0.3">
      <c r="A100" s="2">
        <v>115</v>
      </c>
      <c r="B100" s="2" t="s">
        <v>84</v>
      </c>
      <c r="C100" s="2" t="s">
        <v>21</v>
      </c>
      <c r="D100" s="123" t="s">
        <v>295</v>
      </c>
      <c r="E100" s="2">
        <v>60</v>
      </c>
      <c r="F100" s="2">
        <v>6.2899999999999998E-2</v>
      </c>
      <c r="G100" s="2">
        <v>5.2600000000000001E-2</v>
      </c>
      <c r="H100" s="4">
        <f t="shared" si="12"/>
        <v>0.163751987281399</v>
      </c>
      <c r="I100" s="123" t="s">
        <v>86</v>
      </c>
      <c r="J100" s="2" t="s">
        <v>296</v>
      </c>
      <c r="K100" s="2"/>
      <c r="L100" s="2"/>
      <c r="M100" s="155"/>
      <c r="N100" s="155"/>
      <c r="O100" s="2">
        <v>1</v>
      </c>
      <c r="P100" s="6"/>
      <c r="Q100" s="132" t="str">
        <f t="shared" si="6"/>
        <v/>
      </c>
      <c r="R100" s="33" t="str">
        <f t="shared" si="10"/>
        <v/>
      </c>
      <c r="S100" s="132" t="str">
        <f t="shared" si="5"/>
        <v/>
      </c>
      <c r="T100" s="132" t="str">
        <f t="shared" si="11"/>
        <v/>
      </c>
      <c r="W100" s="13"/>
      <c r="CH100" s="2"/>
    </row>
    <row r="101" spans="1:86" hidden="1" x14ac:dyDescent="0.3">
      <c r="A101" s="2">
        <v>116</v>
      </c>
      <c r="B101" s="2" t="s">
        <v>84</v>
      </c>
      <c r="C101" s="2" t="s">
        <v>21</v>
      </c>
      <c r="D101" s="123" t="s">
        <v>297</v>
      </c>
      <c r="E101" s="2">
        <v>160</v>
      </c>
      <c r="F101" s="2">
        <v>7.6899999999999996E-2</v>
      </c>
      <c r="G101" s="2">
        <v>6.3399999999999998E-2</v>
      </c>
      <c r="H101" s="4">
        <f t="shared" si="12"/>
        <v>0.17555266579973991</v>
      </c>
      <c r="I101" s="123" t="s">
        <v>86</v>
      </c>
      <c r="J101" s="2" t="s">
        <v>298</v>
      </c>
      <c r="K101" s="2" t="s">
        <v>222</v>
      </c>
      <c r="L101" s="2" t="s">
        <v>76</v>
      </c>
      <c r="M101" s="155"/>
      <c r="N101" s="155"/>
      <c r="O101" s="2">
        <v>1</v>
      </c>
      <c r="P101" s="6"/>
      <c r="Q101" s="132" t="str">
        <f t="shared" si="6"/>
        <v/>
      </c>
      <c r="R101" s="33" t="str">
        <f t="shared" si="10"/>
        <v/>
      </c>
      <c r="S101" s="132" t="str">
        <f t="shared" si="5"/>
        <v/>
      </c>
      <c r="T101" s="132" t="str">
        <f t="shared" si="11"/>
        <v/>
      </c>
      <c r="W101" s="13"/>
      <c r="CH101" s="2"/>
    </row>
    <row r="102" spans="1:86" hidden="1" x14ac:dyDescent="0.3">
      <c r="A102" s="2">
        <v>52</v>
      </c>
      <c r="B102" s="2" t="s">
        <v>84</v>
      </c>
      <c r="C102" s="2" t="s">
        <v>21</v>
      </c>
      <c r="D102" s="123" t="s">
        <v>299</v>
      </c>
      <c r="E102" s="2">
        <v>160</v>
      </c>
      <c r="F102" s="2">
        <v>5.3100000000000001E-2</v>
      </c>
      <c r="G102" s="2">
        <v>4.6199999999999998E-2</v>
      </c>
      <c r="H102" s="4">
        <f t="shared" si="12"/>
        <v>0.12994350282485881</v>
      </c>
      <c r="I102" s="123" t="s">
        <v>86</v>
      </c>
      <c r="J102" s="2" t="s">
        <v>300</v>
      </c>
      <c r="K102" s="2" t="s">
        <v>222</v>
      </c>
      <c r="L102" s="2" t="s">
        <v>76</v>
      </c>
      <c r="M102" s="155"/>
      <c r="N102" s="155"/>
      <c r="O102" s="2">
        <v>2</v>
      </c>
      <c r="P102" s="6"/>
      <c r="Q102" s="132" t="str">
        <f t="shared" si="6"/>
        <v/>
      </c>
      <c r="R102" s="33" t="str">
        <f t="shared" si="10"/>
        <v/>
      </c>
      <c r="S102" s="132" t="str">
        <f t="shared" si="5"/>
        <v/>
      </c>
      <c r="T102" s="132" t="str">
        <f t="shared" si="11"/>
        <v/>
      </c>
      <c r="W102" s="13"/>
      <c r="CH102" s="2"/>
    </row>
    <row r="103" spans="1:86" hidden="1" x14ac:dyDescent="0.3">
      <c r="A103" s="2">
        <v>117</v>
      </c>
      <c r="B103" s="2" t="s">
        <v>0</v>
      </c>
      <c r="C103" s="2" t="s">
        <v>21</v>
      </c>
      <c r="D103" s="123" t="s">
        <v>301</v>
      </c>
      <c r="E103" s="2">
        <v>200</v>
      </c>
      <c r="F103" s="2">
        <v>3.0700000000000002E-2</v>
      </c>
      <c r="G103" s="2">
        <v>1.95E-2</v>
      </c>
      <c r="H103" s="4">
        <f t="shared" si="12"/>
        <v>0.36482084690553751</v>
      </c>
      <c r="I103" s="123" t="s">
        <v>86</v>
      </c>
      <c r="J103" s="2" t="s">
        <v>302</v>
      </c>
      <c r="K103" s="2" t="s">
        <v>5</v>
      </c>
      <c r="L103" s="2" t="s">
        <v>6</v>
      </c>
      <c r="M103" s="155"/>
      <c r="N103" s="155"/>
      <c r="O103" s="2">
        <v>4</v>
      </c>
      <c r="P103" s="6">
        <v>60</v>
      </c>
      <c r="Q103" s="132">
        <f t="shared" si="6"/>
        <v>9.6</v>
      </c>
      <c r="R103" s="33">
        <f t="shared" si="10"/>
        <v>60</v>
      </c>
      <c r="S103" s="132">
        <f t="shared" si="5"/>
        <v>7.5</v>
      </c>
      <c r="T103" s="132">
        <f t="shared" si="11"/>
        <v>7.5</v>
      </c>
      <c r="W103" s="13"/>
      <c r="CH103" s="2"/>
    </row>
    <row r="104" spans="1:86" hidden="1" x14ac:dyDescent="0.3">
      <c r="A104" s="2">
        <v>118</v>
      </c>
      <c r="B104" s="2" t="s">
        <v>0</v>
      </c>
      <c r="C104" s="2" t="s">
        <v>21</v>
      </c>
      <c r="D104" s="123" t="s">
        <v>303</v>
      </c>
      <c r="E104" s="2">
        <v>200</v>
      </c>
      <c r="F104" s="2">
        <v>3.0700000000000002E-2</v>
      </c>
      <c r="G104" s="2">
        <v>1.95E-2</v>
      </c>
      <c r="H104" s="4">
        <f t="shared" si="12"/>
        <v>0.36482084690553751</v>
      </c>
      <c r="I104" s="123" t="s">
        <v>86</v>
      </c>
      <c r="J104" s="2" t="s">
        <v>302</v>
      </c>
      <c r="K104" s="2" t="s">
        <v>5</v>
      </c>
      <c r="L104" s="2" t="s">
        <v>6</v>
      </c>
      <c r="M104" s="155"/>
      <c r="N104" s="155"/>
      <c r="O104" s="2">
        <v>4</v>
      </c>
      <c r="P104" s="6">
        <v>60</v>
      </c>
      <c r="Q104" s="132">
        <f t="shared" si="6"/>
        <v>9.6</v>
      </c>
      <c r="R104" s="33">
        <f t="shared" si="10"/>
        <v>60</v>
      </c>
      <c r="S104" s="132">
        <f t="shared" si="5"/>
        <v>7.5</v>
      </c>
      <c r="T104" s="132">
        <f t="shared" si="11"/>
        <v>7.5</v>
      </c>
      <c r="W104" s="13"/>
      <c r="CH104" s="2"/>
    </row>
    <row r="105" spans="1:86" hidden="1" x14ac:dyDescent="0.3">
      <c r="A105" s="2">
        <v>120</v>
      </c>
      <c r="B105" s="2" t="s">
        <v>84</v>
      </c>
      <c r="C105" s="2" t="s">
        <v>21</v>
      </c>
      <c r="D105" s="123" t="s">
        <v>304</v>
      </c>
      <c r="E105" s="2">
        <v>200</v>
      </c>
      <c r="F105" s="2">
        <v>3.8800000000000001E-2</v>
      </c>
      <c r="G105" s="2">
        <v>2.4400000000000002E-2</v>
      </c>
      <c r="H105" s="4">
        <f t="shared" si="12"/>
        <v>0.37113402061855666</v>
      </c>
      <c r="I105" s="123" t="s">
        <v>86</v>
      </c>
      <c r="J105" s="2" t="s">
        <v>203</v>
      </c>
      <c r="K105" s="2" t="s">
        <v>305</v>
      </c>
      <c r="L105" s="2" t="s">
        <v>96</v>
      </c>
      <c r="M105" s="155"/>
      <c r="N105" s="155"/>
      <c r="O105" s="2">
        <v>2</v>
      </c>
      <c r="P105" s="6"/>
      <c r="Q105" s="132" t="str">
        <f t="shared" si="6"/>
        <v/>
      </c>
      <c r="R105" s="33" t="str">
        <f t="shared" si="10"/>
        <v/>
      </c>
      <c r="S105" s="132" t="str">
        <f t="shared" si="5"/>
        <v/>
      </c>
      <c r="T105" s="132" t="str">
        <f t="shared" si="11"/>
        <v/>
      </c>
      <c r="W105" s="13"/>
      <c r="CH105" s="2"/>
    </row>
    <row r="106" spans="1:86" hidden="1" x14ac:dyDescent="0.3">
      <c r="A106" s="2">
        <v>125</v>
      </c>
      <c r="B106" s="2" t="s">
        <v>84</v>
      </c>
      <c r="C106" s="2" t="s">
        <v>21</v>
      </c>
      <c r="D106" s="123" t="s">
        <v>306</v>
      </c>
      <c r="E106" s="2">
        <v>200</v>
      </c>
      <c r="F106" s="2">
        <v>4.7399999999999998E-2</v>
      </c>
      <c r="G106" s="2">
        <v>3.32E-2</v>
      </c>
      <c r="H106" s="4">
        <f t="shared" si="12"/>
        <v>0.29957805907172991</v>
      </c>
      <c r="I106" s="123" t="s">
        <v>86</v>
      </c>
      <c r="J106" s="2" t="s">
        <v>307</v>
      </c>
      <c r="K106" s="2" t="s">
        <v>305</v>
      </c>
      <c r="L106" s="2" t="s">
        <v>96</v>
      </c>
      <c r="M106" s="155"/>
      <c r="N106" s="155"/>
      <c r="O106" s="2">
        <v>2</v>
      </c>
      <c r="P106" s="6"/>
      <c r="Q106" s="132" t="str">
        <f t="shared" si="6"/>
        <v/>
      </c>
      <c r="R106" s="33" t="str">
        <f t="shared" si="10"/>
        <v/>
      </c>
      <c r="S106" s="132" t="str">
        <f t="shared" si="5"/>
        <v/>
      </c>
      <c r="T106" s="132" t="str">
        <f t="shared" si="11"/>
        <v/>
      </c>
      <c r="W106" s="13"/>
      <c r="CH106" s="2"/>
    </row>
    <row r="107" spans="1:86" hidden="1" x14ac:dyDescent="0.3">
      <c r="A107" s="2">
        <v>121</v>
      </c>
      <c r="B107" s="2" t="s">
        <v>84</v>
      </c>
      <c r="C107" s="2" t="s">
        <v>21</v>
      </c>
      <c r="D107" s="123" t="s">
        <v>308</v>
      </c>
      <c r="E107" s="2">
        <v>200</v>
      </c>
      <c r="F107" s="2">
        <v>2.58E-2</v>
      </c>
      <c r="G107" s="2">
        <v>1.84E-2</v>
      </c>
      <c r="H107" s="4">
        <f t="shared" si="12"/>
        <v>0.2868217054263566</v>
      </c>
      <c r="I107" s="123" t="s">
        <v>86</v>
      </c>
      <c r="J107" s="2" t="s">
        <v>309</v>
      </c>
      <c r="K107" s="2" t="s">
        <v>5</v>
      </c>
      <c r="L107" s="2" t="s">
        <v>6</v>
      </c>
      <c r="M107" s="155"/>
      <c r="N107" s="155"/>
      <c r="O107" s="2">
        <v>2</v>
      </c>
      <c r="P107" s="6"/>
      <c r="Q107" s="132" t="str">
        <f t="shared" si="6"/>
        <v/>
      </c>
      <c r="R107" s="33" t="str">
        <f t="shared" si="10"/>
        <v/>
      </c>
      <c r="S107" s="132" t="str">
        <f t="shared" si="5"/>
        <v/>
      </c>
      <c r="T107" s="132" t="str">
        <f t="shared" si="11"/>
        <v/>
      </c>
      <c r="W107" s="13"/>
      <c r="CH107" s="2"/>
    </row>
    <row r="108" spans="1:86" hidden="1" x14ac:dyDescent="0.3">
      <c r="A108" s="2">
        <v>127</v>
      </c>
      <c r="B108" s="2" t="s">
        <v>84</v>
      </c>
      <c r="C108" s="2" t="s">
        <v>21</v>
      </c>
      <c r="D108" s="123" t="s">
        <v>310</v>
      </c>
      <c r="E108" s="2">
        <v>200</v>
      </c>
      <c r="F108" s="2">
        <v>3.4500000000000003E-2</v>
      </c>
      <c r="G108" s="2">
        <v>2.4400000000000002E-2</v>
      </c>
      <c r="H108" s="4">
        <f t="shared" si="12"/>
        <v>0.29275362318840581</v>
      </c>
      <c r="I108" s="123" t="s">
        <v>86</v>
      </c>
      <c r="J108" s="2" t="s">
        <v>203</v>
      </c>
      <c r="K108" s="2" t="s">
        <v>5</v>
      </c>
      <c r="L108" s="2" t="s">
        <v>6</v>
      </c>
      <c r="M108" s="155"/>
      <c r="N108" s="155"/>
      <c r="O108" s="2">
        <v>2</v>
      </c>
      <c r="P108" s="6"/>
      <c r="Q108" s="132" t="str">
        <f t="shared" si="6"/>
        <v/>
      </c>
      <c r="R108" s="33" t="str">
        <f t="shared" si="10"/>
        <v/>
      </c>
      <c r="S108" s="132" t="str">
        <f t="shared" si="5"/>
        <v/>
      </c>
      <c r="T108" s="132" t="str">
        <f t="shared" si="11"/>
        <v/>
      </c>
      <c r="W108" s="13"/>
      <c r="CH108" s="2"/>
    </row>
    <row r="109" spans="1:86" hidden="1" x14ac:dyDescent="0.3">
      <c r="A109" s="2">
        <v>124</v>
      </c>
      <c r="B109" s="2" t="s">
        <v>84</v>
      </c>
      <c r="C109" s="2" t="s">
        <v>21</v>
      </c>
      <c r="D109" s="123" t="s">
        <v>311</v>
      </c>
      <c r="E109" s="2">
        <v>200</v>
      </c>
      <c r="F109" s="2">
        <v>3.0099999999999998E-2</v>
      </c>
      <c r="G109" s="2">
        <v>2.0899999999999998E-2</v>
      </c>
      <c r="H109" s="4">
        <f t="shared" si="12"/>
        <v>0.30564784053156147</v>
      </c>
      <c r="I109" s="123" t="s">
        <v>86</v>
      </c>
      <c r="J109" s="2" t="s">
        <v>196</v>
      </c>
      <c r="K109" s="2" t="s">
        <v>5</v>
      </c>
      <c r="L109" s="2" t="s">
        <v>6</v>
      </c>
      <c r="M109" s="155"/>
      <c r="N109" s="155"/>
      <c r="O109" s="2">
        <v>2</v>
      </c>
      <c r="P109" s="6"/>
      <c r="Q109" s="132" t="str">
        <f t="shared" si="6"/>
        <v/>
      </c>
      <c r="R109" s="33" t="str">
        <f t="shared" si="10"/>
        <v/>
      </c>
      <c r="S109" s="132" t="str">
        <f t="shared" si="5"/>
        <v/>
      </c>
      <c r="T109" s="132" t="str">
        <f t="shared" si="11"/>
        <v/>
      </c>
      <c r="W109" s="13"/>
      <c r="CH109" s="2"/>
    </row>
    <row r="110" spans="1:86" hidden="1" x14ac:dyDescent="0.3">
      <c r="A110" s="2">
        <v>128</v>
      </c>
      <c r="B110" s="2" t="s">
        <v>84</v>
      </c>
      <c r="C110" s="2" t="s">
        <v>21</v>
      </c>
      <c r="D110" s="123" t="s">
        <v>312</v>
      </c>
      <c r="E110" s="2">
        <v>200</v>
      </c>
      <c r="F110" s="2">
        <v>3.8800000000000001E-2</v>
      </c>
      <c r="G110" s="2">
        <v>2.7199999999999998E-2</v>
      </c>
      <c r="H110" s="4">
        <f t="shared" si="12"/>
        <v>0.2989690721649485</v>
      </c>
      <c r="I110" s="123" t="s">
        <v>86</v>
      </c>
      <c r="J110" s="2" t="s">
        <v>313</v>
      </c>
      <c r="K110" s="2" t="s">
        <v>5</v>
      </c>
      <c r="L110" s="2" t="s">
        <v>6</v>
      </c>
      <c r="M110" s="155"/>
      <c r="N110" s="155"/>
      <c r="O110" s="2">
        <v>2</v>
      </c>
      <c r="P110" s="6"/>
      <c r="Q110" s="132" t="str">
        <f t="shared" si="6"/>
        <v/>
      </c>
      <c r="R110" s="33" t="str">
        <f t="shared" si="10"/>
        <v/>
      </c>
      <c r="S110" s="132" t="str">
        <f t="shared" si="5"/>
        <v/>
      </c>
      <c r="T110" s="132" t="str">
        <f t="shared" si="11"/>
        <v/>
      </c>
      <c r="W110" s="13"/>
      <c r="CH110" s="2"/>
    </row>
    <row r="111" spans="1:86" hidden="1" x14ac:dyDescent="0.3">
      <c r="A111" s="2">
        <v>129</v>
      </c>
      <c r="B111" s="2" t="s">
        <v>84</v>
      </c>
      <c r="C111" s="2" t="s">
        <v>21</v>
      </c>
      <c r="D111" s="123" t="s">
        <v>314</v>
      </c>
      <c r="E111" s="2">
        <v>200</v>
      </c>
      <c r="F111" s="2">
        <v>4.0800000000000003E-2</v>
      </c>
      <c r="G111" s="2">
        <v>2.8199999999999999E-2</v>
      </c>
      <c r="H111" s="4">
        <f t="shared" si="12"/>
        <v>0.30882352941176477</v>
      </c>
      <c r="I111" s="123" t="s">
        <v>86</v>
      </c>
      <c r="J111" s="2" t="s">
        <v>315</v>
      </c>
      <c r="K111" s="2" t="s">
        <v>305</v>
      </c>
      <c r="L111" s="2" t="s">
        <v>96</v>
      </c>
      <c r="M111" s="155"/>
      <c r="N111" s="155"/>
      <c r="O111" s="2">
        <v>2</v>
      </c>
      <c r="P111" s="6"/>
      <c r="Q111" s="132" t="str">
        <f t="shared" si="6"/>
        <v/>
      </c>
      <c r="R111" s="33" t="str">
        <f t="shared" si="10"/>
        <v/>
      </c>
      <c r="S111" s="132" t="str">
        <f t="shared" si="5"/>
        <v/>
      </c>
      <c r="T111" s="132" t="str">
        <f t="shared" si="11"/>
        <v/>
      </c>
      <c r="W111" s="13"/>
      <c r="CH111" s="2"/>
    </row>
    <row r="112" spans="1:86" hidden="1" x14ac:dyDescent="0.3">
      <c r="A112" s="2">
        <v>130</v>
      </c>
      <c r="B112" s="2" t="s">
        <v>84</v>
      </c>
      <c r="C112" s="2" t="s">
        <v>21</v>
      </c>
      <c r="D112" s="123" t="s">
        <v>316</v>
      </c>
      <c r="E112" s="2">
        <v>200</v>
      </c>
      <c r="F112" s="2">
        <v>3.5700000000000003E-2</v>
      </c>
      <c r="G112" s="2">
        <v>2.06E-2</v>
      </c>
      <c r="H112" s="4">
        <f t="shared" si="12"/>
        <v>0.42296918767507008</v>
      </c>
      <c r="I112" s="123" t="s">
        <v>86</v>
      </c>
      <c r="J112" s="2" t="s">
        <v>317</v>
      </c>
      <c r="K112" s="2" t="s">
        <v>5</v>
      </c>
      <c r="L112" s="2" t="s">
        <v>6</v>
      </c>
      <c r="M112" s="155"/>
      <c r="N112" s="155"/>
      <c r="O112" s="2">
        <v>2</v>
      </c>
      <c r="P112" s="6"/>
      <c r="Q112" s="132" t="str">
        <f t="shared" si="6"/>
        <v/>
      </c>
      <c r="R112" s="33" t="str">
        <f t="shared" si="10"/>
        <v/>
      </c>
      <c r="S112" s="132" t="str">
        <f t="shared" si="5"/>
        <v/>
      </c>
      <c r="T112" s="132" t="str">
        <f t="shared" si="11"/>
        <v/>
      </c>
      <c r="W112" s="13"/>
      <c r="CH112" s="2"/>
    </row>
    <row r="113" spans="1:86" hidden="1" x14ac:dyDescent="0.3">
      <c r="A113" s="2">
        <v>131</v>
      </c>
      <c r="B113" s="2" t="s">
        <v>84</v>
      </c>
      <c r="C113" s="2" t="s">
        <v>21</v>
      </c>
      <c r="D113" s="123" t="s">
        <v>318</v>
      </c>
      <c r="E113" s="2">
        <v>200</v>
      </c>
      <c r="F113" s="2">
        <v>4.0800000000000003E-2</v>
      </c>
      <c r="G113" s="2">
        <v>2.41E-2</v>
      </c>
      <c r="H113" s="4">
        <f t="shared" si="12"/>
        <v>0.40931372549019612</v>
      </c>
      <c r="I113" s="123" t="s">
        <v>86</v>
      </c>
      <c r="J113" s="2" t="s">
        <v>315</v>
      </c>
      <c r="K113" s="2" t="s">
        <v>5</v>
      </c>
      <c r="L113" s="2" t="s">
        <v>6</v>
      </c>
      <c r="M113" s="155"/>
      <c r="N113" s="155"/>
      <c r="O113" s="2">
        <v>2</v>
      </c>
      <c r="P113" s="6"/>
      <c r="Q113" s="132" t="str">
        <f t="shared" si="6"/>
        <v/>
      </c>
      <c r="R113" s="33" t="str">
        <f t="shared" si="10"/>
        <v/>
      </c>
      <c r="S113" s="132" t="str">
        <f t="shared" ref="S113:S159" si="13">IFERROR(R113/8,"")</f>
        <v/>
      </c>
      <c r="T113" s="132" t="str">
        <f t="shared" si="11"/>
        <v/>
      </c>
      <c r="W113" s="13"/>
      <c r="CH113" s="2"/>
    </row>
    <row r="114" spans="1:86" hidden="1" x14ac:dyDescent="0.3">
      <c r="A114" s="2">
        <v>132</v>
      </c>
      <c r="B114" s="2" t="s">
        <v>84</v>
      </c>
      <c r="C114" s="2" t="s">
        <v>21</v>
      </c>
      <c r="D114" s="123" t="s">
        <v>319</v>
      </c>
      <c r="E114" s="2">
        <v>200</v>
      </c>
      <c r="F114" s="2">
        <v>6.93E-2</v>
      </c>
      <c r="G114" s="2">
        <v>4.3400000000000001E-2</v>
      </c>
      <c r="H114" s="4">
        <f t="shared" si="12"/>
        <v>0.3737373737373737</v>
      </c>
      <c r="I114" s="123" t="s">
        <v>86</v>
      </c>
      <c r="J114" s="2" t="s">
        <v>320</v>
      </c>
      <c r="K114" s="2" t="s">
        <v>261</v>
      </c>
      <c r="L114" s="2" t="s">
        <v>76</v>
      </c>
      <c r="M114" s="155"/>
      <c r="N114" s="155"/>
      <c r="O114" s="2">
        <v>1</v>
      </c>
      <c r="P114" s="6"/>
      <c r="Q114" s="132" t="str">
        <f t="shared" si="6"/>
        <v/>
      </c>
      <c r="R114" s="33" t="str">
        <f t="shared" si="10"/>
        <v/>
      </c>
      <c r="S114" s="132" t="str">
        <f t="shared" si="13"/>
        <v/>
      </c>
      <c r="T114" s="132" t="str">
        <f t="shared" si="11"/>
        <v/>
      </c>
      <c r="W114" s="13"/>
      <c r="CH114" s="2"/>
    </row>
    <row r="115" spans="1:86" hidden="1" x14ac:dyDescent="0.3">
      <c r="A115" s="2">
        <v>133</v>
      </c>
      <c r="B115" s="2" t="s">
        <v>84</v>
      </c>
      <c r="C115" s="2" t="s">
        <v>21</v>
      </c>
      <c r="D115" s="123" t="s">
        <v>321</v>
      </c>
      <c r="E115" s="2">
        <v>200</v>
      </c>
      <c r="F115" s="2">
        <v>5.5399999999999998E-2</v>
      </c>
      <c r="G115" s="2">
        <v>3.3500000000000002E-2</v>
      </c>
      <c r="H115" s="4">
        <f t="shared" si="12"/>
        <v>0.39530685920577613</v>
      </c>
      <c r="I115" s="123" t="s">
        <v>86</v>
      </c>
      <c r="J115" s="2" t="s">
        <v>322</v>
      </c>
      <c r="K115" s="2" t="s">
        <v>261</v>
      </c>
      <c r="L115" s="2" t="s">
        <v>76</v>
      </c>
      <c r="M115" s="155"/>
      <c r="N115" s="155"/>
      <c r="O115" s="2">
        <v>1</v>
      </c>
      <c r="P115" s="6"/>
      <c r="Q115" s="132" t="str">
        <f t="shared" si="6"/>
        <v/>
      </c>
      <c r="R115" s="33" t="str">
        <f t="shared" si="10"/>
        <v/>
      </c>
      <c r="S115" s="132" t="str">
        <f t="shared" si="13"/>
        <v/>
      </c>
      <c r="T115" s="132" t="str">
        <f t="shared" si="11"/>
        <v/>
      </c>
      <c r="W115" s="13"/>
      <c r="CH115" s="2"/>
    </row>
    <row r="116" spans="1:86" hidden="1" x14ac:dyDescent="0.3">
      <c r="A116" s="2">
        <v>135</v>
      </c>
      <c r="B116" s="2" t="s">
        <v>84</v>
      </c>
      <c r="C116" s="2" t="s">
        <v>21</v>
      </c>
      <c r="D116" s="123" t="s">
        <v>323</v>
      </c>
      <c r="E116" s="2">
        <v>200</v>
      </c>
      <c r="F116" s="2">
        <v>7.6200000000000004E-2</v>
      </c>
      <c r="G116" s="2">
        <v>5.1499999999999997E-2</v>
      </c>
      <c r="H116" s="4">
        <f t="shared" si="12"/>
        <v>0.32414698162729666</v>
      </c>
      <c r="I116" s="123" t="s">
        <v>86</v>
      </c>
      <c r="J116" s="2" t="s">
        <v>324</v>
      </c>
      <c r="K116" s="2" t="s">
        <v>261</v>
      </c>
      <c r="L116" s="2" t="s">
        <v>76</v>
      </c>
      <c r="M116" s="155"/>
      <c r="N116" s="155"/>
      <c r="O116" s="2">
        <v>1</v>
      </c>
      <c r="P116" s="6"/>
      <c r="Q116" s="132" t="str">
        <f t="shared" si="6"/>
        <v/>
      </c>
      <c r="R116" s="33" t="str">
        <f t="shared" si="10"/>
        <v/>
      </c>
      <c r="S116" s="132" t="str">
        <f t="shared" si="13"/>
        <v/>
      </c>
      <c r="T116" s="132" t="str">
        <f t="shared" si="11"/>
        <v/>
      </c>
      <c r="W116" s="13"/>
      <c r="CH116" s="2"/>
    </row>
    <row r="117" spans="1:86" hidden="1" x14ac:dyDescent="0.3">
      <c r="A117" s="2">
        <v>136</v>
      </c>
      <c r="B117" s="2" t="s">
        <v>84</v>
      </c>
      <c r="C117" s="2" t="s">
        <v>21</v>
      </c>
      <c r="D117" s="123" t="s">
        <v>325</v>
      </c>
      <c r="E117" s="2">
        <v>160</v>
      </c>
      <c r="F117" s="2">
        <v>8.3199999999999996E-2</v>
      </c>
      <c r="G117" s="2">
        <v>5.62E-2</v>
      </c>
      <c r="H117" s="4">
        <f t="shared" si="12"/>
        <v>0.32451923076923073</v>
      </c>
      <c r="I117" s="123" t="s">
        <v>86</v>
      </c>
      <c r="J117" s="2" t="s">
        <v>326</v>
      </c>
      <c r="K117" s="2" t="s">
        <v>261</v>
      </c>
      <c r="L117" s="2" t="s">
        <v>76</v>
      </c>
      <c r="M117" s="155"/>
      <c r="N117" s="155"/>
      <c r="O117" s="2">
        <v>1</v>
      </c>
      <c r="P117" s="6"/>
      <c r="Q117" s="132" t="str">
        <f t="shared" si="6"/>
        <v/>
      </c>
      <c r="R117" s="33" t="str">
        <f t="shared" si="10"/>
        <v/>
      </c>
      <c r="S117" s="132" t="str">
        <f t="shared" si="13"/>
        <v/>
      </c>
      <c r="T117" s="132" t="str">
        <f t="shared" si="11"/>
        <v/>
      </c>
      <c r="W117" s="13"/>
      <c r="CH117" s="2"/>
    </row>
    <row r="118" spans="1:86" hidden="1" x14ac:dyDescent="0.3">
      <c r="A118" s="2">
        <v>134</v>
      </c>
      <c r="B118" s="2" t="s">
        <v>84</v>
      </c>
      <c r="C118" s="2" t="s">
        <v>21</v>
      </c>
      <c r="D118" s="123" t="s">
        <v>327</v>
      </c>
      <c r="E118" s="2">
        <v>160</v>
      </c>
      <c r="F118" s="2">
        <v>6.93E-2</v>
      </c>
      <c r="G118" s="2">
        <v>4.3400000000000001E-2</v>
      </c>
      <c r="H118" s="4">
        <f t="shared" si="12"/>
        <v>0.3737373737373737</v>
      </c>
      <c r="I118" s="123" t="s">
        <v>86</v>
      </c>
      <c r="J118" s="2" t="s">
        <v>320</v>
      </c>
      <c r="K118" s="2" t="s">
        <v>261</v>
      </c>
      <c r="L118" s="2" t="s">
        <v>76</v>
      </c>
      <c r="M118" s="155"/>
      <c r="N118" s="155"/>
      <c r="O118" s="2">
        <v>1</v>
      </c>
      <c r="P118" s="6"/>
      <c r="Q118" s="132" t="str">
        <f t="shared" si="6"/>
        <v/>
      </c>
      <c r="R118" s="33" t="str">
        <f t="shared" si="10"/>
        <v/>
      </c>
      <c r="S118" s="132" t="str">
        <f t="shared" si="13"/>
        <v/>
      </c>
      <c r="T118" s="132" t="str">
        <f t="shared" si="11"/>
        <v/>
      </c>
      <c r="W118" s="13"/>
      <c r="CH118" s="2"/>
    </row>
    <row r="119" spans="1:86" hidden="1" x14ac:dyDescent="0.3">
      <c r="A119" s="2">
        <v>101</v>
      </c>
      <c r="B119" s="23" t="s">
        <v>0</v>
      </c>
      <c r="C119" s="2" t="s">
        <v>21</v>
      </c>
      <c r="D119" s="2" t="s">
        <v>328</v>
      </c>
      <c r="E119" s="2">
        <v>60</v>
      </c>
      <c r="F119" s="2">
        <v>7.1199999999999999E-2</v>
      </c>
      <c r="G119" s="2">
        <v>6.0499999999999998E-2</v>
      </c>
      <c r="H119" s="4">
        <f t="shared" si="12"/>
        <v>0.1502808988764045</v>
      </c>
      <c r="I119" s="2" t="s">
        <v>73</v>
      </c>
      <c r="J119" s="2" t="s">
        <v>329</v>
      </c>
      <c r="K119" s="2"/>
      <c r="L119" s="2"/>
      <c r="M119" s="155"/>
      <c r="N119" s="155"/>
      <c r="O119" s="2">
        <v>1</v>
      </c>
      <c r="P119" s="6">
        <v>85</v>
      </c>
      <c r="Q119" s="132">
        <f t="shared" si="6"/>
        <v>5.6470588235294112</v>
      </c>
      <c r="R119" s="33">
        <f t="shared" si="10"/>
        <v>85.000000000000014</v>
      </c>
      <c r="S119" s="132">
        <f t="shared" si="13"/>
        <v>10.625000000000002</v>
      </c>
      <c r="T119" s="132">
        <f t="shared" si="11"/>
        <v>10.625000000000002</v>
      </c>
      <c r="U119" s="35" t="s">
        <v>16</v>
      </c>
      <c r="W119" s="13"/>
      <c r="CH119" s="2"/>
    </row>
    <row r="120" spans="1:86" hidden="1" x14ac:dyDescent="0.3">
      <c r="A120" s="2">
        <v>38</v>
      </c>
      <c r="B120" s="2" t="s">
        <v>0</v>
      </c>
      <c r="C120" s="2" t="s">
        <v>21</v>
      </c>
      <c r="D120" s="2" t="s">
        <v>330</v>
      </c>
      <c r="E120" s="2">
        <v>160</v>
      </c>
      <c r="F120" s="2">
        <v>8.8999999999999996E-2</v>
      </c>
      <c r="G120" s="2">
        <v>7.4300000000000005E-2</v>
      </c>
      <c r="H120" s="4">
        <f t="shared" si="12"/>
        <v>0.16516853932584261</v>
      </c>
      <c r="I120" s="2" t="s">
        <v>73</v>
      </c>
      <c r="J120" s="2" t="s">
        <v>331</v>
      </c>
      <c r="K120" s="2" t="s">
        <v>222</v>
      </c>
      <c r="L120" s="2" t="s">
        <v>76</v>
      </c>
      <c r="M120" s="155"/>
      <c r="N120" s="155"/>
      <c r="O120" s="2">
        <v>1</v>
      </c>
      <c r="P120" s="6">
        <v>20</v>
      </c>
      <c r="Q120" s="132">
        <f t="shared" si="6"/>
        <v>9</v>
      </c>
      <c r="R120" s="33">
        <f t="shared" si="10"/>
        <v>20</v>
      </c>
      <c r="S120" s="132">
        <f t="shared" si="13"/>
        <v>2.5</v>
      </c>
      <c r="T120" s="132">
        <f t="shared" si="11"/>
        <v>2.5</v>
      </c>
      <c r="W120" s="13"/>
      <c r="Y120"/>
      <c r="CH120" s="2"/>
    </row>
    <row r="121" spans="1:86" hidden="1" x14ac:dyDescent="0.3">
      <c r="A121" s="23">
        <v>629</v>
      </c>
      <c r="B121" s="2" t="s">
        <v>0</v>
      </c>
      <c r="C121" s="2" t="s">
        <v>21</v>
      </c>
      <c r="D121" s="2" t="s">
        <v>332</v>
      </c>
      <c r="E121" s="2">
        <v>200</v>
      </c>
      <c r="F121" s="2">
        <v>6.2799999999999995E-2</v>
      </c>
      <c r="G121" s="2">
        <v>4.9299999999999997E-2</v>
      </c>
      <c r="H121" s="4">
        <f t="shared" si="12"/>
        <v>0.21496815286624202</v>
      </c>
      <c r="I121" s="2" t="s">
        <v>73</v>
      </c>
      <c r="J121" s="2" t="s">
        <v>333</v>
      </c>
      <c r="K121" s="2" t="s">
        <v>175</v>
      </c>
      <c r="L121" s="2" t="s">
        <v>96</v>
      </c>
      <c r="M121" s="155"/>
      <c r="N121" s="155"/>
      <c r="O121" s="2">
        <v>2</v>
      </c>
      <c r="P121" s="6">
        <v>26</v>
      </c>
      <c r="Q121" s="132">
        <f t="shared" si="6"/>
        <v>8.1</v>
      </c>
      <c r="R121" s="33">
        <f t="shared" si="10"/>
        <v>35.555555555555557</v>
      </c>
      <c r="S121" s="132">
        <f t="shared" si="13"/>
        <v>4.4444444444444446</v>
      </c>
      <c r="T121" s="132">
        <f t="shared" si="11"/>
        <v>4.4444444444444446</v>
      </c>
      <c r="W121" s="13"/>
      <c r="AD121" s="24">
        <v>45653</v>
      </c>
      <c r="AE121">
        <v>14</v>
      </c>
      <c r="AF121">
        <v>1.7</v>
      </c>
      <c r="AG121">
        <v>0.6</v>
      </c>
      <c r="AH121">
        <v>1.9</v>
      </c>
      <c r="AI121">
        <v>0.8</v>
      </c>
      <c r="AJ121">
        <v>1.2</v>
      </c>
      <c r="AK121">
        <v>0.2</v>
      </c>
      <c r="AL121">
        <v>0.15</v>
      </c>
      <c r="AM121">
        <v>0.55000000000000004</v>
      </c>
      <c r="AN121">
        <v>0.35</v>
      </c>
      <c r="AO121">
        <v>8.1</v>
      </c>
      <c r="AP121">
        <v>53</v>
      </c>
      <c r="AQ121">
        <v>125</v>
      </c>
      <c r="AR121">
        <v>125</v>
      </c>
      <c r="AS121">
        <v>116</v>
      </c>
      <c r="AT121">
        <v>52</v>
      </c>
      <c r="AU121">
        <v>20</v>
      </c>
      <c r="AV121">
        <v>40</v>
      </c>
      <c r="AW121">
        <v>20</v>
      </c>
      <c r="AX121">
        <v>70</v>
      </c>
      <c r="AY121">
        <v>270</v>
      </c>
      <c r="AZ121" t="s">
        <v>78</v>
      </c>
      <c r="BA121">
        <v>800</v>
      </c>
      <c r="BB121">
        <v>10</v>
      </c>
      <c r="CH121" s="2"/>
    </row>
    <row r="122" spans="1:86" hidden="1" x14ac:dyDescent="0.3">
      <c r="A122" s="2">
        <v>1877</v>
      </c>
      <c r="B122" s="2" t="s">
        <v>0</v>
      </c>
      <c r="C122" s="2" t="s">
        <v>21</v>
      </c>
      <c r="D122" s="2" t="s">
        <v>334</v>
      </c>
      <c r="E122" s="2">
        <v>200</v>
      </c>
      <c r="F122" s="2">
        <v>3.8699999999999998E-2</v>
      </c>
      <c r="G122" s="2">
        <v>2.24E-2</v>
      </c>
      <c r="H122" s="4">
        <f t="shared" si="12"/>
        <v>0.42118863049095606</v>
      </c>
      <c r="I122" s="2" t="s">
        <v>82</v>
      </c>
      <c r="J122" s="2" t="s">
        <v>335</v>
      </c>
      <c r="K122" s="2" t="s">
        <v>5</v>
      </c>
      <c r="L122" s="2" t="s">
        <v>6</v>
      </c>
      <c r="M122" s="155"/>
      <c r="N122" s="155"/>
      <c r="O122" s="2">
        <v>4</v>
      </c>
      <c r="P122" s="6">
        <v>45</v>
      </c>
      <c r="Q122" s="132">
        <f t="shared" si="6"/>
        <v>12.8</v>
      </c>
      <c r="R122" s="33">
        <f t="shared" si="10"/>
        <v>45</v>
      </c>
      <c r="S122" s="132">
        <f t="shared" si="13"/>
        <v>5.625</v>
      </c>
      <c r="T122" s="132">
        <f t="shared" si="11"/>
        <v>5.625</v>
      </c>
      <c r="W122" s="13"/>
      <c r="CH122" s="2"/>
    </row>
    <row r="123" spans="1:86" hidden="1" x14ac:dyDescent="0.3">
      <c r="A123" s="23">
        <v>1832</v>
      </c>
      <c r="B123" s="2" t="s">
        <v>0</v>
      </c>
      <c r="C123" s="2" t="s">
        <v>21</v>
      </c>
      <c r="D123" s="2" t="s">
        <v>336</v>
      </c>
      <c r="E123" s="2">
        <v>200</v>
      </c>
      <c r="F123" s="2">
        <v>4.3799999999999999E-2</v>
      </c>
      <c r="G123" s="2">
        <v>3.0800000000000001E-2</v>
      </c>
      <c r="H123" s="4">
        <f t="shared" si="12"/>
        <v>0.29680365296803651</v>
      </c>
      <c r="I123" s="2" t="s">
        <v>82</v>
      </c>
      <c r="J123" s="2" t="s">
        <v>337</v>
      </c>
      <c r="K123" s="2" t="s">
        <v>305</v>
      </c>
      <c r="L123" s="2" t="s">
        <v>96</v>
      </c>
      <c r="M123" s="155">
        <v>2</v>
      </c>
      <c r="N123" s="155">
        <v>100</v>
      </c>
      <c r="O123" s="2">
        <v>2</v>
      </c>
      <c r="P123" s="6">
        <v>43</v>
      </c>
      <c r="Q123" s="132">
        <f t="shared" si="6"/>
        <v>6.7</v>
      </c>
      <c r="R123" s="33">
        <f t="shared" si="10"/>
        <v>42.985074626865668</v>
      </c>
      <c r="S123" s="132">
        <f t="shared" si="13"/>
        <v>5.3731343283582085</v>
      </c>
      <c r="T123" s="132">
        <f t="shared" si="11"/>
        <v>5.3731343283582085</v>
      </c>
      <c r="W123" s="13"/>
      <c r="Z123" t="s">
        <v>7</v>
      </c>
      <c r="AD123" s="24">
        <v>45372</v>
      </c>
      <c r="AE123">
        <v>13</v>
      </c>
      <c r="AF123">
        <v>1.5</v>
      </c>
      <c r="AG123">
        <v>0.3</v>
      </c>
      <c r="AH123">
        <v>1.5</v>
      </c>
      <c r="AI123">
        <v>0.3</v>
      </c>
      <c r="AJ123">
        <v>0.8</v>
      </c>
      <c r="AK123">
        <v>0.33</v>
      </c>
      <c r="AL123">
        <v>0.3</v>
      </c>
      <c r="AM123">
        <v>0.9</v>
      </c>
      <c r="AN123">
        <v>0.45</v>
      </c>
      <c r="AO123">
        <v>6.7</v>
      </c>
      <c r="AP123">
        <v>54</v>
      </c>
      <c r="AQ123">
        <v>108</v>
      </c>
      <c r="AR123">
        <v>108</v>
      </c>
      <c r="AS123">
        <v>108</v>
      </c>
      <c r="AT123">
        <v>45</v>
      </c>
      <c r="AU123">
        <v>20</v>
      </c>
      <c r="AV123">
        <v>40</v>
      </c>
      <c r="AW123">
        <v>20</v>
      </c>
      <c r="AX123">
        <v>100</v>
      </c>
      <c r="AY123">
        <v>270</v>
      </c>
      <c r="AZ123" t="s">
        <v>78</v>
      </c>
      <c r="BA123">
        <v>700</v>
      </c>
      <c r="BB123">
        <v>10</v>
      </c>
      <c r="CH123" s="2"/>
    </row>
    <row r="124" spans="1:86" hidden="1" x14ac:dyDescent="0.3">
      <c r="A124" s="2">
        <v>1830</v>
      </c>
      <c r="B124" s="2" t="s">
        <v>0</v>
      </c>
      <c r="C124" s="2" t="s">
        <v>21</v>
      </c>
      <c r="D124" s="2" t="s">
        <v>338</v>
      </c>
      <c r="E124" s="2">
        <v>200</v>
      </c>
      <c r="F124" s="2">
        <v>3.2899999999999999E-2</v>
      </c>
      <c r="G124" s="2">
        <v>2.35E-2</v>
      </c>
      <c r="H124" s="4">
        <f t="shared" si="12"/>
        <v>0.2857142857142857</v>
      </c>
      <c r="I124" s="2" t="s">
        <v>82</v>
      </c>
      <c r="J124" s="2" t="s">
        <v>339</v>
      </c>
      <c r="K124" s="2" t="s">
        <v>5</v>
      </c>
      <c r="L124" s="2" t="s">
        <v>6</v>
      </c>
      <c r="M124" s="155"/>
      <c r="N124" s="155"/>
      <c r="O124" s="2">
        <v>2</v>
      </c>
      <c r="P124" s="6">
        <v>60</v>
      </c>
      <c r="Q124" s="132">
        <f t="shared" si="6"/>
        <v>4.8</v>
      </c>
      <c r="R124" s="33">
        <f t="shared" si="10"/>
        <v>60</v>
      </c>
      <c r="S124" s="132">
        <f t="shared" si="13"/>
        <v>7.5</v>
      </c>
      <c r="T124" s="132">
        <f t="shared" si="11"/>
        <v>7.5</v>
      </c>
      <c r="W124" s="13"/>
      <c r="CH124" s="2"/>
    </row>
    <row r="125" spans="1:86" hidden="1" x14ac:dyDescent="0.3">
      <c r="A125" s="23">
        <v>1831</v>
      </c>
      <c r="B125" s="2" t="s">
        <v>0</v>
      </c>
      <c r="C125" s="2" t="s">
        <v>21</v>
      </c>
      <c r="D125" s="2" t="s">
        <v>340</v>
      </c>
      <c r="E125" s="2">
        <v>200</v>
      </c>
      <c r="F125" s="2">
        <v>3.8399999999999997E-2</v>
      </c>
      <c r="G125" s="2">
        <v>2.7199999999999998E-2</v>
      </c>
      <c r="H125" s="4">
        <f t="shared" si="12"/>
        <v>0.29166666666666663</v>
      </c>
      <c r="I125" s="2" t="s">
        <v>82</v>
      </c>
      <c r="J125" s="2" t="s">
        <v>341</v>
      </c>
      <c r="K125" s="2" t="s">
        <v>5</v>
      </c>
      <c r="L125" s="2" t="s">
        <v>6</v>
      </c>
      <c r="M125" s="155"/>
      <c r="N125" s="155"/>
      <c r="O125" s="2">
        <v>2</v>
      </c>
      <c r="P125" s="6">
        <v>58</v>
      </c>
      <c r="Q125" s="132">
        <f t="shared" si="6"/>
        <v>5.4</v>
      </c>
      <c r="R125" s="33">
        <f t="shared" si="10"/>
        <v>53.333333333333329</v>
      </c>
      <c r="S125" s="132">
        <f t="shared" si="13"/>
        <v>6.6666666666666661</v>
      </c>
      <c r="T125" s="132">
        <f t="shared" si="11"/>
        <v>6.6666666666666661</v>
      </c>
      <c r="W125" s="13"/>
      <c r="Z125" t="s">
        <v>7</v>
      </c>
      <c r="AD125" s="22">
        <v>45390</v>
      </c>
      <c r="AE125">
        <v>13</v>
      </c>
      <c r="AF125">
        <v>1.2</v>
      </c>
      <c r="AG125">
        <v>0.1</v>
      </c>
      <c r="AH125">
        <v>1.2</v>
      </c>
      <c r="AI125">
        <v>0.1</v>
      </c>
      <c r="AJ125">
        <v>1.2</v>
      </c>
      <c r="AK125">
        <v>0.18</v>
      </c>
      <c r="AL125">
        <v>0.25</v>
      </c>
      <c r="AM125">
        <v>0.6</v>
      </c>
      <c r="AN125">
        <v>0.25</v>
      </c>
      <c r="AO125">
        <v>5.4</v>
      </c>
      <c r="AP125">
        <v>35</v>
      </c>
      <c r="AQ125">
        <v>101</v>
      </c>
      <c r="AR125">
        <v>102</v>
      </c>
      <c r="AS125">
        <v>107</v>
      </c>
      <c r="AT125">
        <v>48</v>
      </c>
      <c r="AU125">
        <v>20</v>
      </c>
      <c r="AV125">
        <v>40</v>
      </c>
      <c r="AW125">
        <v>20</v>
      </c>
      <c r="AX125">
        <v>100</v>
      </c>
      <c r="AY125">
        <v>263</v>
      </c>
      <c r="AZ125" t="s">
        <v>78</v>
      </c>
      <c r="BA125">
        <v>400</v>
      </c>
      <c r="BB125">
        <v>10</v>
      </c>
      <c r="CH125" s="2"/>
    </row>
    <row r="126" spans="1:86" hidden="1" x14ac:dyDescent="0.3">
      <c r="A126" s="2">
        <v>1835</v>
      </c>
      <c r="B126" s="23" t="s">
        <v>0</v>
      </c>
      <c r="C126" s="2" t="s">
        <v>21</v>
      </c>
      <c r="D126" s="2" t="s">
        <v>342</v>
      </c>
      <c r="E126" s="2">
        <v>200</v>
      </c>
      <c r="F126" s="2">
        <v>5.1999999999999998E-2</v>
      </c>
      <c r="G126" s="2">
        <v>3.6200000000000003E-2</v>
      </c>
      <c r="H126" s="4">
        <f t="shared" si="12"/>
        <v>0.30384615384615377</v>
      </c>
      <c r="I126" s="2" t="s">
        <v>82</v>
      </c>
      <c r="J126" s="2" t="s">
        <v>343</v>
      </c>
      <c r="K126" s="2" t="s">
        <v>305</v>
      </c>
      <c r="L126" s="2" t="s">
        <v>96</v>
      </c>
      <c r="M126" s="155"/>
      <c r="N126" s="155"/>
      <c r="O126" s="2">
        <v>2</v>
      </c>
      <c r="P126" s="6">
        <v>40</v>
      </c>
      <c r="Q126" s="132">
        <v>6.7</v>
      </c>
      <c r="R126" s="33">
        <f t="shared" si="10"/>
        <v>42.985074626865668</v>
      </c>
      <c r="S126" s="132">
        <f t="shared" si="13"/>
        <v>5.3731343283582085</v>
      </c>
      <c r="T126" s="132">
        <v>6</v>
      </c>
      <c r="W126" s="13"/>
      <c r="CH126" s="2"/>
    </row>
    <row r="127" spans="1:86" hidden="1" x14ac:dyDescent="0.3">
      <c r="A127" s="2">
        <v>1833</v>
      </c>
      <c r="B127" s="2" t="s">
        <v>0</v>
      </c>
      <c r="C127" s="2" t="s">
        <v>21</v>
      </c>
      <c r="D127" s="2" t="s">
        <v>344</v>
      </c>
      <c r="E127" s="2">
        <v>200</v>
      </c>
      <c r="F127" s="2">
        <v>3.9E-2</v>
      </c>
      <c r="G127" s="2">
        <v>2.58E-2</v>
      </c>
      <c r="H127" s="4">
        <f t="shared" si="12"/>
        <v>0.33846153846153848</v>
      </c>
      <c r="I127" s="2" t="s">
        <v>82</v>
      </c>
      <c r="J127" s="2" t="s">
        <v>345</v>
      </c>
      <c r="K127" s="2" t="s">
        <v>5</v>
      </c>
      <c r="L127" s="2" t="s">
        <v>6</v>
      </c>
      <c r="M127" s="155"/>
      <c r="N127" s="155"/>
      <c r="O127" s="2">
        <v>2</v>
      </c>
      <c r="P127" s="6">
        <v>53</v>
      </c>
      <c r="Q127" s="132">
        <f t="shared" ref="Q127:Q160" si="14">IFERROR(IF(AO127&gt;1,AO127,60*60*8*O127/P127/E127),"")</f>
        <v>5.433962264150944</v>
      </c>
      <c r="R127" s="33">
        <f t="shared" si="10"/>
        <v>52.999999999999993</v>
      </c>
      <c r="S127" s="132">
        <f t="shared" si="13"/>
        <v>6.6249999999999991</v>
      </c>
      <c r="T127" s="132">
        <f t="shared" ref="T127:T160" si="15">IFERROR(IF(R127&gt;2,S127,""),"")</f>
        <v>6.6249999999999991</v>
      </c>
      <c r="W127" s="13"/>
      <c r="CH127" s="2"/>
    </row>
    <row r="128" spans="1:86" hidden="1" x14ac:dyDescent="0.3">
      <c r="A128" s="2">
        <v>1834</v>
      </c>
      <c r="B128" s="2" t="s">
        <v>0</v>
      </c>
      <c r="C128" s="2" t="s">
        <v>21</v>
      </c>
      <c r="D128" s="2" t="s">
        <v>346</v>
      </c>
      <c r="E128" s="2">
        <v>200</v>
      </c>
      <c r="F128" s="2">
        <v>4.5499999999999999E-2</v>
      </c>
      <c r="G128" s="2">
        <v>3.2500000000000001E-2</v>
      </c>
      <c r="H128" s="4">
        <f t="shared" si="12"/>
        <v>0.2857142857142857</v>
      </c>
      <c r="I128" s="2" t="s">
        <v>82</v>
      </c>
      <c r="J128" s="2" t="s">
        <v>347</v>
      </c>
      <c r="K128" s="2" t="s">
        <v>5</v>
      </c>
      <c r="L128" s="2" t="s">
        <v>6</v>
      </c>
      <c r="M128" s="155"/>
      <c r="N128" s="155"/>
      <c r="O128" s="2">
        <v>2</v>
      </c>
      <c r="P128" s="6">
        <v>45</v>
      </c>
      <c r="Q128" s="132">
        <f t="shared" si="14"/>
        <v>6.4</v>
      </c>
      <c r="R128" s="33">
        <f t="shared" si="10"/>
        <v>45</v>
      </c>
      <c r="S128" s="132">
        <f t="shared" si="13"/>
        <v>5.625</v>
      </c>
      <c r="T128" s="132">
        <f t="shared" si="15"/>
        <v>5.625</v>
      </c>
      <c r="W128" s="13"/>
      <c r="CH128" s="2"/>
    </row>
    <row r="129" spans="1:86" hidden="1" x14ac:dyDescent="0.3">
      <c r="A129" s="2">
        <v>1858</v>
      </c>
      <c r="B129" s="23" t="s">
        <v>0</v>
      </c>
      <c r="C129" s="2" t="s">
        <v>21</v>
      </c>
      <c r="D129" s="2" t="s">
        <v>348</v>
      </c>
      <c r="E129" s="2">
        <v>200</v>
      </c>
      <c r="F129" s="2">
        <v>8.8200000000000001E-2</v>
      </c>
      <c r="G129" s="2">
        <v>5.5599999999999997E-2</v>
      </c>
      <c r="H129" s="4">
        <f t="shared" si="12"/>
        <v>0.36961451247165539</v>
      </c>
      <c r="I129" s="2" t="s">
        <v>82</v>
      </c>
      <c r="J129" s="2" t="s">
        <v>349</v>
      </c>
      <c r="K129" s="2" t="s">
        <v>261</v>
      </c>
      <c r="L129" s="2" t="s">
        <v>76</v>
      </c>
      <c r="M129" s="155"/>
      <c r="N129" s="155"/>
      <c r="O129" s="2">
        <v>1</v>
      </c>
      <c r="P129" s="6">
        <v>19</v>
      </c>
      <c r="Q129" s="132">
        <f t="shared" si="14"/>
        <v>7.5789473684210531</v>
      </c>
      <c r="R129" s="33">
        <f t="shared" si="10"/>
        <v>19</v>
      </c>
      <c r="S129" s="132">
        <f t="shared" si="13"/>
        <v>2.375</v>
      </c>
      <c r="T129" s="132">
        <f t="shared" si="15"/>
        <v>2.375</v>
      </c>
      <c r="W129" s="13"/>
      <c r="CH129" s="2"/>
    </row>
    <row r="130" spans="1:86" hidden="1" x14ac:dyDescent="0.3">
      <c r="A130" s="2">
        <v>1857</v>
      </c>
      <c r="B130" s="2" t="s">
        <v>0</v>
      </c>
      <c r="C130" s="2" t="s">
        <v>21</v>
      </c>
      <c r="D130" s="2" t="s">
        <v>350</v>
      </c>
      <c r="E130" s="2">
        <v>200</v>
      </c>
      <c r="F130" s="2">
        <v>7.0599999999999996E-2</v>
      </c>
      <c r="G130" s="2">
        <v>4.53E-2</v>
      </c>
      <c r="H130" s="4">
        <f t="shared" si="12"/>
        <v>0.35835694050991496</v>
      </c>
      <c r="I130" s="2" t="s">
        <v>82</v>
      </c>
      <c r="J130" s="2" t="s">
        <v>351</v>
      </c>
      <c r="K130" s="2" t="s">
        <v>261</v>
      </c>
      <c r="L130" s="2" t="s">
        <v>76</v>
      </c>
      <c r="M130" s="155"/>
      <c r="N130" s="155"/>
      <c r="O130" s="2">
        <v>1</v>
      </c>
      <c r="P130" s="6">
        <v>22</v>
      </c>
      <c r="Q130" s="132">
        <f t="shared" si="14"/>
        <v>6.545454545454545</v>
      </c>
      <c r="R130" s="33">
        <f t="shared" si="10"/>
        <v>22</v>
      </c>
      <c r="S130" s="132">
        <f t="shared" si="13"/>
        <v>2.75</v>
      </c>
      <c r="T130" s="132">
        <f t="shared" si="15"/>
        <v>2.75</v>
      </c>
      <c r="W130" s="13"/>
      <c r="CH130" s="2"/>
    </row>
    <row r="131" spans="1:86" hidden="1" x14ac:dyDescent="0.3">
      <c r="A131" s="2">
        <v>2020</v>
      </c>
      <c r="B131" s="2" t="s">
        <v>0</v>
      </c>
      <c r="C131" s="2" t="s">
        <v>21</v>
      </c>
      <c r="D131" s="2" t="s">
        <v>352</v>
      </c>
      <c r="E131" s="2">
        <v>200</v>
      </c>
      <c r="F131" s="2">
        <v>5.0599999999999999E-2</v>
      </c>
      <c r="G131" s="2">
        <v>4.2299999999999997E-2</v>
      </c>
      <c r="H131" s="4">
        <f t="shared" si="12"/>
        <v>0.16403162055335974</v>
      </c>
      <c r="I131" s="2" t="s">
        <v>82</v>
      </c>
      <c r="J131" s="2" t="s">
        <v>189</v>
      </c>
      <c r="K131" s="2" t="s">
        <v>5</v>
      </c>
      <c r="L131" s="2" t="s">
        <v>6</v>
      </c>
      <c r="M131" s="155"/>
      <c r="N131" s="155"/>
      <c r="O131" s="2">
        <v>2</v>
      </c>
      <c r="P131" s="6">
        <v>55</v>
      </c>
      <c r="Q131" s="132">
        <f t="shared" si="14"/>
        <v>5.2363636363636363</v>
      </c>
      <c r="R131" s="33">
        <f t="shared" si="10"/>
        <v>55</v>
      </c>
      <c r="S131" s="132">
        <f t="shared" si="13"/>
        <v>6.875</v>
      </c>
      <c r="T131" s="132">
        <f t="shared" si="15"/>
        <v>6.875</v>
      </c>
      <c r="W131" s="13"/>
      <c r="AI131" s="20"/>
      <c r="CH131" s="2"/>
    </row>
    <row r="132" spans="1:86" hidden="1" x14ac:dyDescent="0.3">
      <c r="A132" s="2">
        <v>1790</v>
      </c>
      <c r="B132" s="2" t="s">
        <v>84</v>
      </c>
      <c r="C132" s="2" t="s">
        <v>21</v>
      </c>
      <c r="D132" s="123" t="s">
        <v>353</v>
      </c>
      <c r="E132" s="2">
        <v>1800</v>
      </c>
      <c r="F132" s="2">
        <v>7.9000000000000008E-3</v>
      </c>
      <c r="G132" s="2">
        <v>6.1999999999999998E-3</v>
      </c>
      <c r="H132" s="4">
        <f t="shared" si="12"/>
        <v>0.21518987341772161</v>
      </c>
      <c r="I132" s="123" t="s">
        <v>86</v>
      </c>
      <c r="J132" s="2" t="s">
        <v>285</v>
      </c>
      <c r="K132" s="2" t="s">
        <v>222</v>
      </c>
      <c r="L132" s="2" t="s">
        <v>76</v>
      </c>
      <c r="M132" s="155"/>
      <c r="N132" s="155"/>
      <c r="O132" s="2">
        <v>8</v>
      </c>
      <c r="P132" s="6"/>
      <c r="Q132" s="132" t="str">
        <f t="shared" si="14"/>
        <v/>
      </c>
      <c r="R132" s="33" t="str">
        <f t="shared" si="10"/>
        <v/>
      </c>
      <c r="S132" s="132" t="str">
        <f t="shared" si="13"/>
        <v/>
      </c>
      <c r="T132" s="132" t="str">
        <f t="shared" si="15"/>
        <v/>
      </c>
      <c r="W132" s="13"/>
      <c r="CH132" s="2"/>
    </row>
    <row r="133" spans="1:86" hidden="1" x14ac:dyDescent="0.3">
      <c r="A133" s="2">
        <v>159</v>
      </c>
      <c r="B133" s="2" t="s">
        <v>0</v>
      </c>
      <c r="C133" s="2" t="s">
        <v>21</v>
      </c>
      <c r="D133" s="2" t="s">
        <v>354</v>
      </c>
      <c r="E133" s="2">
        <v>1800</v>
      </c>
      <c r="F133" s="2">
        <v>0.01</v>
      </c>
      <c r="G133" s="2">
        <v>8.0999999999999996E-3</v>
      </c>
      <c r="H133" s="4">
        <f t="shared" si="12"/>
        <v>0.19000000000000006</v>
      </c>
      <c r="I133" s="2" t="s">
        <v>82</v>
      </c>
      <c r="J133" s="2" t="s">
        <v>174</v>
      </c>
      <c r="K133" s="2" t="s">
        <v>222</v>
      </c>
      <c r="L133" s="2" t="s">
        <v>76</v>
      </c>
      <c r="M133" s="155"/>
      <c r="N133" s="155"/>
      <c r="O133" s="2">
        <v>8</v>
      </c>
      <c r="P133" s="6">
        <v>20</v>
      </c>
      <c r="Q133" s="132">
        <f t="shared" si="14"/>
        <v>6.4</v>
      </c>
      <c r="R133" s="33">
        <f t="shared" si="10"/>
        <v>20</v>
      </c>
      <c r="S133" s="132">
        <f t="shared" si="13"/>
        <v>2.5</v>
      </c>
      <c r="T133" s="132">
        <f t="shared" si="15"/>
        <v>2.5</v>
      </c>
      <c r="W133" s="13"/>
      <c r="CH133" s="2"/>
    </row>
    <row r="134" spans="1:86" hidden="1" x14ac:dyDescent="0.3">
      <c r="A134" s="23">
        <v>8</v>
      </c>
      <c r="B134" s="2" t="s">
        <v>0</v>
      </c>
      <c r="C134" s="2" t="s">
        <v>21</v>
      </c>
      <c r="D134" s="2" t="s">
        <v>355</v>
      </c>
      <c r="E134" s="2">
        <v>850</v>
      </c>
      <c r="F134" s="2">
        <v>9.4999999999999998E-3</v>
      </c>
      <c r="G134" s="2">
        <v>7.4000000000000003E-3</v>
      </c>
      <c r="H134" s="4">
        <f t="shared" si="12"/>
        <v>0.22105263157894731</v>
      </c>
      <c r="I134" s="2" t="s">
        <v>73</v>
      </c>
      <c r="J134" s="2" t="s">
        <v>356</v>
      </c>
      <c r="K134" s="2" t="s">
        <v>357</v>
      </c>
      <c r="L134" s="2" t="s">
        <v>6</v>
      </c>
      <c r="M134" s="155" t="s">
        <v>358</v>
      </c>
      <c r="N134" s="164"/>
      <c r="O134" s="2">
        <v>6</v>
      </c>
      <c r="P134" s="6">
        <v>25</v>
      </c>
      <c r="Q134" s="132">
        <f t="shared" si="14"/>
        <v>5.3</v>
      </c>
      <c r="R134" s="33">
        <f t="shared" si="10"/>
        <v>38.357380688124309</v>
      </c>
      <c r="S134" s="132">
        <f t="shared" si="13"/>
        <v>4.7946725860155386</v>
      </c>
      <c r="T134" s="132">
        <f t="shared" si="15"/>
        <v>4.7946725860155386</v>
      </c>
      <c r="W134" s="13"/>
      <c r="Y134"/>
      <c r="Z134" t="s">
        <v>359</v>
      </c>
      <c r="AD134" s="24">
        <v>45421</v>
      </c>
      <c r="AE134">
        <v>15</v>
      </c>
      <c r="AF134">
        <v>1.4</v>
      </c>
      <c r="AG134">
        <v>0.3</v>
      </c>
      <c r="AH134">
        <v>1.4</v>
      </c>
      <c r="AI134">
        <v>0.3</v>
      </c>
      <c r="AJ134">
        <v>0.5</v>
      </c>
      <c r="AK134">
        <v>0.18</v>
      </c>
      <c r="AL134">
        <v>0.15</v>
      </c>
      <c r="AM134">
        <v>0.4</v>
      </c>
      <c r="AN134">
        <v>0.25</v>
      </c>
      <c r="AO134">
        <v>5.3</v>
      </c>
      <c r="AP134">
        <v>48</v>
      </c>
      <c r="AQ134">
        <v>102</v>
      </c>
      <c r="AR134">
        <v>102</v>
      </c>
      <c r="AS134">
        <v>102</v>
      </c>
      <c r="AT134">
        <v>40</v>
      </c>
      <c r="AU134">
        <v>20</v>
      </c>
      <c r="AV134">
        <v>40</v>
      </c>
      <c r="AW134">
        <v>20</v>
      </c>
      <c r="AX134">
        <v>100</v>
      </c>
      <c r="AY134">
        <v>338</v>
      </c>
      <c r="AZ134" t="s">
        <v>78</v>
      </c>
      <c r="BA134">
        <v>1000</v>
      </c>
      <c r="BB134">
        <v>10</v>
      </c>
      <c r="CH134" s="2"/>
    </row>
    <row r="135" spans="1:86" hidden="1" x14ac:dyDescent="0.3">
      <c r="A135" s="2">
        <v>287</v>
      </c>
      <c r="B135" s="2" t="s">
        <v>0</v>
      </c>
      <c r="C135" s="2" t="s">
        <v>21</v>
      </c>
      <c r="D135" s="2" t="s">
        <v>360</v>
      </c>
      <c r="E135" s="2">
        <v>500</v>
      </c>
      <c r="F135" s="2">
        <v>2.4500000000000001E-2</v>
      </c>
      <c r="G135" s="2">
        <v>2.0400000000000001E-2</v>
      </c>
      <c r="H135" s="4">
        <f t="shared" si="12"/>
        <v>0.16734693877551018</v>
      </c>
      <c r="I135" s="2" t="s">
        <v>82</v>
      </c>
      <c r="J135" s="2" t="s">
        <v>361</v>
      </c>
      <c r="K135" s="2" t="s">
        <v>175</v>
      </c>
      <c r="L135" s="2" t="s">
        <v>96</v>
      </c>
      <c r="M135" s="155"/>
      <c r="N135" s="155"/>
      <c r="O135" s="2">
        <v>2</v>
      </c>
      <c r="P135" s="6">
        <v>21</v>
      </c>
      <c r="Q135" s="132">
        <f t="shared" si="14"/>
        <v>5.4857142857142858</v>
      </c>
      <c r="R135" s="33">
        <f t="shared" si="10"/>
        <v>21</v>
      </c>
      <c r="S135" s="132">
        <f t="shared" si="13"/>
        <v>2.625</v>
      </c>
      <c r="T135" s="132">
        <f t="shared" si="15"/>
        <v>2.625</v>
      </c>
      <c r="W135" s="13"/>
      <c r="CH135" s="2"/>
    </row>
    <row r="136" spans="1:86" hidden="1" x14ac:dyDescent="0.3">
      <c r="A136" s="2">
        <v>292</v>
      </c>
      <c r="B136" s="2" t="s">
        <v>84</v>
      </c>
      <c r="C136" s="2" t="s">
        <v>21</v>
      </c>
      <c r="D136" s="123" t="s">
        <v>362</v>
      </c>
      <c r="E136" s="2">
        <v>400</v>
      </c>
      <c r="F136" s="2">
        <v>2.8299999999999999E-2</v>
      </c>
      <c r="G136" s="2">
        <v>2.3099999999999999E-2</v>
      </c>
      <c r="H136" s="4">
        <f t="shared" si="12"/>
        <v>0.18374558303886926</v>
      </c>
      <c r="I136" s="123" t="s">
        <v>86</v>
      </c>
      <c r="J136" s="2" t="s">
        <v>363</v>
      </c>
      <c r="K136" s="2" t="s">
        <v>222</v>
      </c>
      <c r="L136" s="2" t="s">
        <v>76</v>
      </c>
      <c r="M136" s="155"/>
      <c r="N136" s="155"/>
      <c r="O136" s="2">
        <v>2</v>
      </c>
      <c r="P136" s="6"/>
      <c r="Q136" s="132" t="str">
        <f t="shared" si="14"/>
        <v/>
      </c>
      <c r="R136" s="33" t="str">
        <f t="shared" ref="R136:R159" si="16">IFERROR(60*60*8*O136/E136/Q136,"")</f>
        <v/>
      </c>
      <c r="S136" s="132" t="str">
        <f t="shared" si="13"/>
        <v/>
      </c>
      <c r="T136" s="132" t="str">
        <f t="shared" si="15"/>
        <v/>
      </c>
      <c r="W136" s="13"/>
      <c r="CH136" s="2"/>
    </row>
    <row r="137" spans="1:86" hidden="1" x14ac:dyDescent="0.3">
      <c r="A137" s="2">
        <v>336</v>
      </c>
      <c r="B137" s="2" t="s">
        <v>84</v>
      </c>
      <c r="C137" s="2" t="s">
        <v>21</v>
      </c>
      <c r="D137" s="123" t="s">
        <v>364</v>
      </c>
      <c r="E137" s="2">
        <v>2400</v>
      </c>
      <c r="F137" s="2">
        <v>6.8999999999999999E-3</v>
      </c>
      <c r="G137" s="2">
        <v>5.4000000000000003E-3</v>
      </c>
      <c r="H137" s="4">
        <f t="shared" si="12"/>
        <v>0.21739130434782603</v>
      </c>
      <c r="I137" s="123" t="s">
        <v>86</v>
      </c>
      <c r="J137" s="2" t="s">
        <v>216</v>
      </c>
      <c r="K137" s="2" t="s">
        <v>222</v>
      </c>
      <c r="L137" s="2" t="s">
        <v>76</v>
      </c>
      <c r="M137" s="155"/>
      <c r="N137" s="155"/>
      <c r="O137" s="2">
        <v>12</v>
      </c>
      <c r="P137" s="6">
        <v>24</v>
      </c>
      <c r="Q137" s="132">
        <f t="shared" si="14"/>
        <v>6</v>
      </c>
      <c r="R137" s="33">
        <f t="shared" si="16"/>
        <v>24</v>
      </c>
      <c r="S137" s="132">
        <f t="shared" si="13"/>
        <v>3</v>
      </c>
      <c r="T137" s="132">
        <f t="shared" si="15"/>
        <v>3</v>
      </c>
      <c r="W137" s="13"/>
      <c r="CH137" s="2"/>
    </row>
    <row r="138" spans="1:86" hidden="1" x14ac:dyDescent="0.3">
      <c r="A138" s="2">
        <v>388</v>
      </c>
      <c r="B138" s="2" t="s">
        <v>84</v>
      </c>
      <c r="C138" s="2" t="s">
        <v>21</v>
      </c>
      <c r="D138" s="2" t="s">
        <v>365</v>
      </c>
      <c r="E138" s="2">
        <v>2400</v>
      </c>
      <c r="F138" s="2">
        <v>8.3000000000000001E-3</v>
      </c>
      <c r="G138" s="2">
        <v>7.3000000000000001E-3</v>
      </c>
      <c r="H138" s="4">
        <f t="shared" si="12"/>
        <v>0.12048192771084337</v>
      </c>
      <c r="I138" s="2" t="s">
        <v>98</v>
      </c>
      <c r="J138" s="2" t="s">
        <v>99</v>
      </c>
      <c r="K138" s="2" t="s">
        <v>105</v>
      </c>
      <c r="L138" s="2" t="s">
        <v>76</v>
      </c>
      <c r="M138" s="155"/>
      <c r="N138" s="155"/>
      <c r="O138" s="2">
        <v>12</v>
      </c>
      <c r="P138" s="6"/>
      <c r="Q138" s="132" t="str">
        <f t="shared" si="14"/>
        <v/>
      </c>
      <c r="R138" s="33" t="str">
        <f t="shared" si="16"/>
        <v/>
      </c>
      <c r="S138" s="132" t="str">
        <f t="shared" si="13"/>
        <v/>
      </c>
      <c r="T138" s="132" t="str">
        <f t="shared" si="15"/>
        <v/>
      </c>
      <c r="W138" s="13"/>
      <c r="CH138" s="2"/>
    </row>
    <row r="139" spans="1:86" hidden="1" x14ac:dyDescent="0.3">
      <c r="A139" s="23">
        <v>906</v>
      </c>
      <c r="B139" s="2" t="s">
        <v>0</v>
      </c>
      <c r="C139" s="2" t="s">
        <v>21</v>
      </c>
      <c r="D139" s="2" t="s">
        <v>366</v>
      </c>
      <c r="E139" s="2">
        <v>1080</v>
      </c>
      <c r="F139" s="2">
        <v>1.32E-2</v>
      </c>
      <c r="G139" s="2">
        <v>1.04E-2</v>
      </c>
      <c r="H139" s="4">
        <f t="shared" si="12"/>
        <v>0.21212121212121215</v>
      </c>
      <c r="I139" s="2" t="s">
        <v>73</v>
      </c>
      <c r="J139" s="2" t="s">
        <v>367</v>
      </c>
      <c r="K139" s="2" t="s">
        <v>305</v>
      </c>
      <c r="L139" s="2" t="s">
        <v>96</v>
      </c>
      <c r="M139" s="155"/>
      <c r="N139" s="155"/>
      <c r="O139" s="2">
        <v>6</v>
      </c>
      <c r="P139" s="6">
        <v>24</v>
      </c>
      <c r="Q139" s="132">
        <f t="shared" si="14"/>
        <v>6.5</v>
      </c>
      <c r="R139" s="33">
        <f t="shared" si="16"/>
        <v>24.615384615384617</v>
      </c>
      <c r="S139" s="132">
        <f t="shared" si="13"/>
        <v>3.0769230769230771</v>
      </c>
      <c r="T139" s="132">
        <f t="shared" si="15"/>
        <v>3.0769230769230771</v>
      </c>
      <c r="W139" s="13"/>
      <c r="AD139" s="22">
        <v>45348</v>
      </c>
      <c r="AE139">
        <v>15</v>
      </c>
      <c r="AF139">
        <v>1.8</v>
      </c>
      <c r="AG139">
        <v>0.2</v>
      </c>
      <c r="AH139">
        <v>2</v>
      </c>
      <c r="AI139">
        <v>0.3</v>
      </c>
      <c r="AJ139">
        <v>0.6</v>
      </c>
      <c r="AK139">
        <v>0.16</v>
      </c>
      <c r="AL139">
        <v>0.18</v>
      </c>
      <c r="AM139">
        <v>0.7</v>
      </c>
      <c r="AN139">
        <v>0.28000000000000003</v>
      </c>
      <c r="AO139">
        <v>6.5</v>
      </c>
      <c r="AP139">
        <v>41</v>
      </c>
      <c r="AQ139">
        <v>100</v>
      </c>
      <c r="AR139">
        <v>100</v>
      </c>
      <c r="AS139">
        <v>100</v>
      </c>
      <c r="AT139">
        <v>45</v>
      </c>
      <c r="AU139">
        <v>20</v>
      </c>
      <c r="AV139">
        <v>40</v>
      </c>
      <c r="AW139">
        <v>20</v>
      </c>
      <c r="AX139">
        <v>100</v>
      </c>
      <c r="AY139">
        <v>368</v>
      </c>
      <c r="AZ139" t="s">
        <v>78</v>
      </c>
      <c r="BA139">
        <v>1200</v>
      </c>
      <c r="BB139">
        <v>10</v>
      </c>
      <c r="CH139" s="2"/>
    </row>
    <row r="140" spans="1:86" hidden="1" x14ac:dyDescent="0.3">
      <c r="A140" s="2">
        <v>923</v>
      </c>
      <c r="B140" s="2" t="s">
        <v>84</v>
      </c>
      <c r="C140" s="2" t="s">
        <v>21</v>
      </c>
      <c r="D140" s="123" t="s">
        <v>368</v>
      </c>
      <c r="E140" s="2">
        <v>1300</v>
      </c>
      <c r="F140" s="2">
        <v>1.04E-2</v>
      </c>
      <c r="G140" s="2">
        <v>8.0000000000000002E-3</v>
      </c>
      <c r="H140" s="4">
        <f t="shared" ref="H140:H203" si="17">(F140-G140)/F140</f>
        <v>0.23076923076923073</v>
      </c>
      <c r="I140" s="123" t="s">
        <v>86</v>
      </c>
      <c r="J140" s="2" t="s">
        <v>94</v>
      </c>
      <c r="K140" s="2" t="s">
        <v>105</v>
      </c>
      <c r="L140" s="2" t="s">
        <v>76</v>
      </c>
      <c r="M140" s="155"/>
      <c r="N140" s="155"/>
      <c r="O140" s="2">
        <v>6</v>
      </c>
      <c r="P140" s="6"/>
      <c r="Q140" s="132" t="str">
        <f t="shared" si="14"/>
        <v/>
      </c>
      <c r="R140" s="33" t="str">
        <f t="shared" si="16"/>
        <v/>
      </c>
      <c r="S140" s="132" t="str">
        <f t="shared" si="13"/>
        <v/>
      </c>
      <c r="T140" s="132" t="str">
        <f t="shared" si="15"/>
        <v/>
      </c>
      <c r="W140" s="13"/>
      <c r="CH140" s="2"/>
    </row>
    <row r="141" spans="1:86" hidden="1" x14ac:dyDescent="0.3">
      <c r="A141" s="2">
        <v>4</v>
      </c>
      <c r="B141" s="2" t="s">
        <v>84</v>
      </c>
      <c r="C141" s="2" t="s">
        <v>21</v>
      </c>
      <c r="D141" s="2" t="s">
        <v>369</v>
      </c>
      <c r="E141" s="2">
        <v>1200</v>
      </c>
      <c r="F141" s="2">
        <v>1.7100000000000001E-2</v>
      </c>
      <c r="G141" s="2"/>
      <c r="H141" s="4">
        <f t="shared" si="17"/>
        <v>1</v>
      </c>
      <c r="I141" s="2" t="s">
        <v>370</v>
      </c>
      <c r="J141" s="2" t="s">
        <v>371</v>
      </c>
      <c r="K141" s="2" t="s">
        <v>105</v>
      </c>
      <c r="L141" s="2" t="s">
        <v>76</v>
      </c>
      <c r="M141" s="155"/>
      <c r="N141" s="155"/>
      <c r="O141" s="2">
        <v>6</v>
      </c>
      <c r="P141" s="6"/>
      <c r="Q141" s="132" t="str">
        <f t="shared" si="14"/>
        <v/>
      </c>
      <c r="R141" s="33" t="str">
        <f t="shared" si="16"/>
        <v/>
      </c>
      <c r="S141" s="132" t="str">
        <f t="shared" si="13"/>
        <v/>
      </c>
      <c r="T141" s="132" t="str">
        <f t="shared" si="15"/>
        <v/>
      </c>
      <c r="W141" s="13"/>
      <c r="Y141"/>
      <c r="CH141" s="2"/>
    </row>
    <row r="142" spans="1:86" hidden="1" x14ac:dyDescent="0.3">
      <c r="A142" s="2">
        <v>5</v>
      </c>
      <c r="B142" s="2" t="s">
        <v>84</v>
      </c>
      <c r="C142" s="2" t="s">
        <v>21</v>
      </c>
      <c r="D142" s="2" t="s">
        <v>372</v>
      </c>
      <c r="E142" s="2">
        <v>1200</v>
      </c>
      <c r="F142" s="2">
        <v>1.84E-2</v>
      </c>
      <c r="G142" s="2"/>
      <c r="H142" s="4">
        <f t="shared" si="17"/>
        <v>1</v>
      </c>
      <c r="I142" s="2" t="s">
        <v>370</v>
      </c>
      <c r="J142" s="2" t="s">
        <v>373</v>
      </c>
      <c r="K142" s="2" t="s">
        <v>105</v>
      </c>
      <c r="L142" s="2" t="s">
        <v>76</v>
      </c>
      <c r="M142" s="155"/>
      <c r="N142" s="155"/>
      <c r="O142" s="2">
        <v>6</v>
      </c>
      <c r="P142" s="6"/>
      <c r="Q142" s="132" t="str">
        <f t="shared" si="14"/>
        <v/>
      </c>
      <c r="R142" s="33" t="str">
        <f t="shared" si="16"/>
        <v/>
      </c>
      <c r="S142" s="132" t="str">
        <f t="shared" si="13"/>
        <v/>
      </c>
      <c r="T142" s="132" t="str">
        <f t="shared" si="15"/>
        <v/>
      </c>
      <c r="W142" s="13"/>
      <c r="Y142"/>
      <c r="CH142" s="2"/>
    </row>
    <row r="143" spans="1:86" hidden="1" x14ac:dyDescent="0.3">
      <c r="A143" s="2">
        <v>46</v>
      </c>
      <c r="B143" s="2" t="s">
        <v>0</v>
      </c>
      <c r="C143" s="2" t="s">
        <v>21</v>
      </c>
      <c r="D143" s="2" t="s">
        <v>374</v>
      </c>
      <c r="E143" s="2">
        <v>4910</v>
      </c>
      <c r="F143" s="2">
        <v>3.5000000000000001E-3</v>
      </c>
      <c r="G143" s="2">
        <v>2.5000000000000001E-3</v>
      </c>
      <c r="H143" s="4">
        <f t="shared" si="17"/>
        <v>0.2857142857142857</v>
      </c>
      <c r="I143" s="2" t="s">
        <v>98</v>
      </c>
      <c r="J143" s="2" t="s">
        <v>375</v>
      </c>
      <c r="K143" s="2" t="s">
        <v>222</v>
      </c>
      <c r="L143" s="2" t="s">
        <v>76</v>
      </c>
      <c r="M143" s="155"/>
      <c r="N143" s="155"/>
      <c r="O143" s="2">
        <v>14</v>
      </c>
      <c r="P143" s="6">
        <v>12</v>
      </c>
      <c r="Q143" s="132">
        <f t="shared" si="14"/>
        <v>6.8431771894093689</v>
      </c>
      <c r="R143" s="33">
        <f t="shared" si="16"/>
        <v>11.999999999999998</v>
      </c>
      <c r="S143" s="132">
        <f t="shared" si="13"/>
        <v>1.4999999999999998</v>
      </c>
      <c r="T143" s="132">
        <f t="shared" si="15"/>
        <v>1.4999999999999998</v>
      </c>
      <c r="W143" s="13"/>
      <c r="Y143"/>
      <c r="CH143" s="2"/>
    </row>
    <row r="144" spans="1:86" hidden="1" x14ac:dyDescent="0.3">
      <c r="A144" s="2">
        <v>49</v>
      </c>
      <c r="B144" s="2" t="s">
        <v>0</v>
      </c>
      <c r="C144" s="2" t="s">
        <v>21</v>
      </c>
      <c r="D144" s="2" t="s">
        <v>376</v>
      </c>
      <c r="E144" s="2">
        <v>4910</v>
      </c>
      <c r="F144" s="2">
        <v>3.5000000000000001E-3</v>
      </c>
      <c r="G144" s="2">
        <v>2.5000000000000001E-3</v>
      </c>
      <c r="H144" s="4">
        <f t="shared" si="17"/>
        <v>0.2857142857142857</v>
      </c>
      <c r="I144" s="2" t="s">
        <v>98</v>
      </c>
      <c r="J144" s="2" t="s">
        <v>377</v>
      </c>
      <c r="K144" s="2" t="s">
        <v>222</v>
      </c>
      <c r="L144" s="2" t="s">
        <v>76</v>
      </c>
      <c r="M144" s="155"/>
      <c r="N144" s="155"/>
      <c r="O144" s="2">
        <v>14</v>
      </c>
      <c r="P144" s="6">
        <v>12</v>
      </c>
      <c r="Q144" s="132">
        <f t="shared" si="14"/>
        <v>6.8431771894093689</v>
      </c>
      <c r="R144" s="33">
        <f t="shared" si="16"/>
        <v>11.999999999999998</v>
      </c>
      <c r="S144" s="132">
        <f t="shared" si="13"/>
        <v>1.4999999999999998</v>
      </c>
      <c r="T144" s="132">
        <f t="shared" si="15"/>
        <v>1.4999999999999998</v>
      </c>
      <c r="W144" s="13"/>
      <c r="Y144"/>
      <c r="CH144" s="2"/>
    </row>
    <row r="145" spans="1:86" hidden="1" x14ac:dyDescent="0.3">
      <c r="A145" s="2">
        <v>1971</v>
      </c>
      <c r="B145" s="2" t="s">
        <v>0</v>
      </c>
      <c r="C145" s="2" t="s">
        <v>21</v>
      </c>
      <c r="D145" s="123" t="s">
        <v>378</v>
      </c>
      <c r="E145" s="2">
        <v>4910</v>
      </c>
      <c r="F145" s="2">
        <v>3.5000000000000001E-3</v>
      </c>
      <c r="G145" s="2">
        <v>2.5000000000000001E-3</v>
      </c>
      <c r="H145" s="4">
        <f t="shared" si="17"/>
        <v>0.2857142857142857</v>
      </c>
      <c r="I145" s="123" t="s">
        <v>86</v>
      </c>
      <c r="J145" s="2" t="s">
        <v>379</v>
      </c>
      <c r="K145" s="2" t="s">
        <v>105</v>
      </c>
      <c r="L145" s="2" t="s">
        <v>76</v>
      </c>
      <c r="M145" s="155"/>
      <c r="N145" s="155"/>
      <c r="O145" s="2">
        <v>14</v>
      </c>
      <c r="P145" s="6">
        <v>12</v>
      </c>
      <c r="Q145" s="132">
        <f t="shared" si="14"/>
        <v>6.8431771894093689</v>
      </c>
      <c r="R145" s="33">
        <f t="shared" si="16"/>
        <v>11.999999999999998</v>
      </c>
      <c r="S145" s="132">
        <f t="shared" si="13"/>
        <v>1.4999999999999998</v>
      </c>
      <c r="T145" s="132">
        <f t="shared" si="15"/>
        <v>1.4999999999999998</v>
      </c>
      <c r="W145" s="13"/>
      <c r="AI145" s="20"/>
      <c r="CH145" s="2"/>
    </row>
    <row r="146" spans="1:86" hidden="1" x14ac:dyDescent="0.3">
      <c r="A146" s="2">
        <v>454</v>
      </c>
      <c r="B146" s="2" t="s">
        <v>84</v>
      </c>
      <c r="C146" s="2" t="s">
        <v>21</v>
      </c>
      <c r="D146" s="123" t="s">
        <v>380</v>
      </c>
      <c r="E146" s="2">
        <v>4000</v>
      </c>
      <c r="F146" s="2">
        <v>3.7000000000000002E-3</v>
      </c>
      <c r="G146" s="2">
        <v>2.7000000000000001E-3</v>
      </c>
      <c r="H146" s="4">
        <f t="shared" si="17"/>
        <v>0.27027027027027029</v>
      </c>
      <c r="I146" s="123" t="s">
        <v>86</v>
      </c>
      <c r="J146" s="2" t="s">
        <v>379</v>
      </c>
      <c r="K146" s="2" t="s">
        <v>105</v>
      </c>
      <c r="L146" s="2" t="s">
        <v>76</v>
      </c>
      <c r="M146" s="155"/>
      <c r="N146" s="155"/>
      <c r="O146" s="2">
        <v>14</v>
      </c>
      <c r="P146" s="6">
        <v>16</v>
      </c>
      <c r="Q146" s="132">
        <f t="shared" si="14"/>
        <v>6.3</v>
      </c>
      <c r="R146" s="33">
        <f t="shared" si="16"/>
        <v>16</v>
      </c>
      <c r="S146" s="132">
        <f t="shared" si="13"/>
        <v>2</v>
      </c>
      <c r="T146" s="132">
        <f t="shared" si="15"/>
        <v>2</v>
      </c>
      <c r="W146" s="13"/>
      <c r="CH146" s="2"/>
    </row>
    <row r="147" spans="1:86" hidden="1" x14ac:dyDescent="0.3">
      <c r="A147" s="2">
        <v>169</v>
      </c>
      <c r="B147" s="2" t="s">
        <v>0</v>
      </c>
      <c r="C147" s="2" t="s">
        <v>21</v>
      </c>
      <c r="D147" s="2" t="s">
        <v>381</v>
      </c>
      <c r="E147" s="2">
        <v>4000</v>
      </c>
      <c r="F147" s="2">
        <v>3.7000000000000002E-3</v>
      </c>
      <c r="G147" s="2">
        <v>2.7000000000000001E-3</v>
      </c>
      <c r="H147" s="4">
        <f t="shared" si="17"/>
        <v>0.27027027027027029</v>
      </c>
      <c r="I147" s="2" t="s">
        <v>98</v>
      </c>
      <c r="J147" s="2" t="s">
        <v>382</v>
      </c>
      <c r="K147" s="2" t="s">
        <v>105</v>
      </c>
      <c r="L147" s="2" t="s">
        <v>76</v>
      </c>
      <c r="M147" s="155"/>
      <c r="N147" s="155"/>
      <c r="O147" s="2">
        <v>14</v>
      </c>
      <c r="P147" s="6">
        <v>16</v>
      </c>
      <c r="Q147" s="132">
        <f t="shared" si="14"/>
        <v>6.3</v>
      </c>
      <c r="R147" s="33">
        <f t="shared" si="16"/>
        <v>16</v>
      </c>
      <c r="S147" s="132">
        <f t="shared" si="13"/>
        <v>2</v>
      </c>
      <c r="T147" s="132">
        <f t="shared" si="15"/>
        <v>2</v>
      </c>
      <c r="W147" s="13"/>
      <c r="CH147" s="2"/>
    </row>
    <row r="148" spans="1:86" hidden="1" x14ac:dyDescent="0.3">
      <c r="A148" s="2">
        <v>170</v>
      </c>
      <c r="B148" s="2" t="s">
        <v>0</v>
      </c>
      <c r="C148" s="2" t="s">
        <v>21</v>
      </c>
      <c r="D148" s="2" t="s">
        <v>383</v>
      </c>
      <c r="E148" s="2">
        <v>4000</v>
      </c>
      <c r="F148" s="2">
        <v>3.7000000000000002E-3</v>
      </c>
      <c r="G148" s="2">
        <v>2.7000000000000001E-3</v>
      </c>
      <c r="H148" s="4">
        <f t="shared" si="17"/>
        <v>0.27027027027027029</v>
      </c>
      <c r="I148" s="2" t="s">
        <v>98</v>
      </c>
      <c r="J148" s="2" t="s">
        <v>377</v>
      </c>
      <c r="K148" s="2" t="s">
        <v>105</v>
      </c>
      <c r="L148" s="2" t="s">
        <v>76</v>
      </c>
      <c r="M148" s="155" t="s">
        <v>384</v>
      </c>
      <c r="N148" s="155"/>
      <c r="O148" s="2">
        <v>14</v>
      </c>
      <c r="P148" s="6">
        <v>16</v>
      </c>
      <c r="Q148" s="132">
        <f t="shared" si="14"/>
        <v>6.3</v>
      </c>
      <c r="R148" s="33">
        <f t="shared" si="16"/>
        <v>16</v>
      </c>
      <c r="S148" s="132">
        <f t="shared" si="13"/>
        <v>2</v>
      </c>
      <c r="T148" s="132">
        <f t="shared" si="15"/>
        <v>2</v>
      </c>
      <c r="W148" s="13"/>
      <c r="CH148" s="2"/>
    </row>
    <row r="149" spans="1:86" hidden="1" x14ac:dyDescent="0.3">
      <c r="A149" s="2">
        <v>492</v>
      </c>
      <c r="B149" s="2" t="s">
        <v>84</v>
      </c>
      <c r="C149" s="2" t="s">
        <v>21</v>
      </c>
      <c r="D149" s="123" t="s">
        <v>385</v>
      </c>
      <c r="E149" s="2">
        <v>4030</v>
      </c>
      <c r="F149" s="2">
        <v>2E-3</v>
      </c>
      <c r="G149" s="2">
        <v>1.4E-3</v>
      </c>
      <c r="H149" s="4">
        <f t="shared" si="17"/>
        <v>0.30000000000000004</v>
      </c>
      <c r="I149" s="123" t="s">
        <v>86</v>
      </c>
      <c r="J149" s="2" t="s">
        <v>379</v>
      </c>
      <c r="K149" s="2" t="s">
        <v>5</v>
      </c>
      <c r="L149" s="2" t="s">
        <v>6</v>
      </c>
      <c r="M149" s="155"/>
      <c r="N149" s="155"/>
      <c r="O149" s="2">
        <v>21</v>
      </c>
      <c r="P149" s="6">
        <v>15</v>
      </c>
      <c r="Q149" s="132">
        <f t="shared" si="14"/>
        <v>10.004962779156328</v>
      </c>
      <c r="R149" s="33">
        <f t="shared" si="16"/>
        <v>15</v>
      </c>
      <c r="S149" s="132">
        <f t="shared" si="13"/>
        <v>1.875</v>
      </c>
      <c r="T149" s="132">
        <f t="shared" si="15"/>
        <v>1.875</v>
      </c>
      <c r="W149" s="13"/>
      <c r="CH149" s="2"/>
    </row>
    <row r="150" spans="1:86" hidden="1" x14ac:dyDescent="0.3">
      <c r="A150" s="2">
        <v>188</v>
      </c>
      <c r="B150" s="2" t="s">
        <v>0</v>
      </c>
      <c r="C150" s="2" t="s">
        <v>21</v>
      </c>
      <c r="D150" s="2" t="s">
        <v>386</v>
      </c>
      <c r="E150" s="2">
        <v>4030</v>
      </c>
      <c r="F150" s="2">
        <v>2.3999999999999998E-3</v>
      </c>
      <c r="G150" s="2">
        <v>1.6999999999999999E-3</v>
      </c>
      <c r="H150" s="4">
        <f t="shared" si="17"/>
        <v>0.29166666666666663</v>
      </c>
      <c r="I150" s="2" t="s">
        <v>98</v>
      </c>
      <c r="J150" s="2" t="s">
        <v>387</v>
      </c>
      <c r="K150" s="2" t="s">
        <v>5</v>
      </c>
      <c r="L150" s="2" t="s">
        <v>6</v>
      </c>
      <c r="M150" s="155"/>
      <c r="N150" s="155"/>
      <c r="O150" s="2">
        <v>21</v>
      </c>
      <c r="P150" s="6">
        <v>15</v>
      </c>
      <c r="Q150" s="132">
        <f t="shared" si="14"/>
        <v>10.004962779156328</v>
      </c>
      <c r="R150" s="33">
        <f t="shared" si="16"/>
        <v>15</v>
      </c>
      <c r="S150" s="132">
        <f t="shared" si="13"/>
        <v>1.875</v>
      </c>
      <c r="T150" s="132">
        <f t="shared" si="15"/>
        <v>1.875</v>
      </c>
      <c r="W150" s="13"/>
      <c r="CH150" s="2"/>
    </row>
    <row r="151" spans="1:86" hidden="1" x14ac:dyDescent="0.3">
      <c r="A151" s="2">
        <v>189</v>
      </c>
      <c r="B151" s="2" t="s">
        <v>0</v>
      </c>
      <c r="C151" s="2" t="s">
        <v>21</v>
      </c>
      <c r="D151" s="2" t="s">
        <v>388</v>
      </c>
      <c r="E151" s="2">
        <v>4030</v>
      </c>
      <c r="F151" s="2">
        <v>2.3999999999999998E-3</v>
      </c>
      <c r="G151" s="2">
        <v>1.6999999999999999E-3</v>
      </c>
      <c r="H151" s="4">
        <f t="shared" si="17"/>
        <v>0.29166666666666663</v>
      </c>
      <c r="I151" s="2" t="s">
        <v>98</v>
      </c>
      <c r="J151" s="2" t="s">
        <v>389</v>
      </c>
      <c r="K151" s="2" t="s">
        <v>5</v>
      </c>
      <c r="L151" s="2" t="s">
        <v>6</v>
      </c>
      <c r="M151" s="155"/>
      <c r="N151" s="155"/>
      <c r="O151" s="2">
        <v>21</v>
      </c>
      <c r="P151" s="6">
        <v>15</v>
      </c>
      <c r="Q151" s="132">
        <f t="shared" si="14"/>
        <v>10.004962779156328</v>
      </c>
      <c r="R151" s="33">
        <f t="shared" si="16"/>
        <v>15</v>
      </c>
      <c r="S151" s="132">
        <f t="shared" si="13"/>
        <v>1.875</v>
      </c>
      <c r="T151" s="132">
        <f t="shared" si="15"/>
        <v>1.875</v>
      </c>
      <c r="W151" s="13"/>
      <c r="CH151" s="2"/>
    </row>
    <row r="152" spans="1:86" hidden="1" x14ac:dyDescent="0.3">
      <c r="A152" s="2">
        <v>1716</v>
      </c>
      <c r="B152" s="2" t="s">
        <v>84</v>
      </c>
      <c r="C152" s="2" t="s">
        <v>21</v>
      </c>
      <c r="D152" s="123" t="s">
        <v>390</v>
      </c>
      <c r="E152" s="2">
        <v>1200</v>
      </c>
      <c r="F152" s="2">
        <v>8.3999999999999995E-3</v>
      </c>
      <c r="G152" s="2">
        <v>6.7000000000000002E-3</v>
      </c>
      <c r="H152" s="4">
        <f t="shared" si="17"/>
        <v>0.2023809523809523</v>
      </c>
      <c r="I152" s="123" t="s">
        <v>86</v>
      </c>
      <c r="J152" s="2" t="s">
        <v>391</v>
      </c>
      <c r="K152" s="2" t="s">
        <v>95</v>
      </c>
      <c r="L152" s="2" t="s">
        <v>76</v>
      </c>
      <c r="M152" s="155"/>
      <c r="N152" s="155"/>
      <c r="O152" s="2">
        <v>6</v>
      </c>
      <c r="P152" s="6">
        <v>22</v>
      </c>
      <c r="Q152" s="132">
        <f t="shared" si="14"/>
        <v>6.5454545454545459</v>
      </c>
      <c r="R152" s="33">
        <f t="shared" si="16"/>
        <v>22</v>
      </c>
      <c r="S152" s="132">
        <f t="shared" si="13"/>
        <v>2.75</v>
      </c>
      <c r="T152" s="132">
        <f t="shared" si="15"/>
        <v>2.75</v>
      </c>
      <c r="W152" s="13"/>
      <c r="CH152" s="2"/>
    </row>
    <row r="153" spans="1:86" hidden="1" x14ac:dyDescent="0.3">
      <c r="A153" s="2">
        <v>526</v>
      </c>
      <c r="B153" s="2" t="s">
        <v>0</v>
      </c>
      <c r="C153" s="2" t="s">
        <v>21</v>
      </c>
      <c r="D153" s="2" t="s">
        <v>392</v>
      </c>
      <c r="E153" s="2">
        <v>1200</v>
      </c>
      <c r="F153" s="2">
        <v>7.9000000000000008E-3</v>
      </c>
      <c r="G153" s="2">
        <v>7.0000000000000001E-3</v>
      </c>
      <c r="H153" s="4">
        <f t="shared" si="17"/>
        <v>0.11392405063291146</v>
      </c>
      <c r="I153" s="2" t="s">
        <v>98</v>
      </c>
      <c r="J153" s="2" t="s">
        <v>393</v>
      </c>
      <c r="K153" s="2" t="s">
        <v>95</v>
      </c>
      <c r="L153" s="2" t="s">
        <v>96</v>
      </c>
      <c r="M153" s="155"/>
      <c r="N153" s="155"/>
      <c r="O153" s="2">
        <v>6</v>
      </c>
      <c r="P153" s="6">
        <v>22</v>
      </c>
      <c r="Q153" s="132">
        <f t="shared" si="14"/>
        <v>6.5454545454545459</v>
      </c>
      <c r="R153" s="33">
        <f t="shared" si="16"/>
        <v>22</v>
      </c>
      <c r="S153" s="132">
        <f t="shared" si="13"/>
        <v>2.75</v>
      </c>
      <c r="T153" s="132">
        <f t="shared" si="15"/>
        <v>2.75</v>
      </c>
      <c r="W153" s="13"/>
      <c r="CH153" s="2"/>
    </row>
    <row r="154" spans="1:86" hidden="1" x14ac:dyDescent="0.3">
      <c r="A154" s="2">
        <v>1800</v>
      </c>
      <c r="B154" s="2" t="s">
        <v>84</v>
      </c>
      <c r="C154" s="2" t="s">
        <v>21</v>
      </c>
      <c r="D154" s="123" t="s">
        <v>394</v>
      </c>
      <c r="E154" s="2">
        <v>900</v>
      </c>
      <c r="F154" s="2">
        <v>2.18E-2</v>
      </c>
      <c r="G154" s="2">
        <v>1.35E-2</v>
      </c>
      <c r="H154" s="4">
        <f t="shared" si="17"/>
        <v>0.38073394495412843</v>
      </c>
      <c r="I154" s="123" t="s">
        <v>86</v>
      </c>
      <c r="J154" s="2" t="s">
        <v>363</v>
      </c>
      <c r="K154" s="2" t="s">
        <v>105</v>
      </c>
      <c r="L154" s="2" t="s">
        <v>76</v>
      </c>
      <c r="M154" s="155"/>
      <c r="N154" s="155"/>
      <c r="O154" s="2">
        <v>2</v>
      </c>
      <c r="P154" s="6"/>
      <c r="Q154" s="132" t="str">
        <f t="shared" si="14"/>
        <v/>
      </c>
      <c r="R154" s="33" t="str">
        <f t="shared" si="16"/>
        <v/>
      </c>
      <c r="S154" s="132" t="str">
        <f t="shared" si="13"/>
        <v/>
      </c>
      <c r="T154" s="132" t="str">
        <f t="shared" si="15"/>
        <v/>
      </c>
      <c r="W154" s="13"/>
      <c r="CH154" s="2"/>
    </row>
    <row r="155" spans="1:86" hidden="1" x14ac:dyDescent="0.3">
      <c r="A155" s="2">
        <v>533</v>
      </c>
      <c r="B155" s="2" t="s">
        <v>84</v>
      </c>
      <c r="C155" s="2" t="s">
        <v>21</v>
      </c>
      <c r="D155" s="123" t="s">
        <v>395</v>
      </c>
      <c r="E155" s="2">
        <v>900</v>
      </c>
      <c r="F155" s="2">
        <v>1.8200000000000001E-2</v>
      </c>
      <c r="G155" s="2">
        <v>1.1299999999999999E-2</v>
      </c>
      <c r="H155" s="4">
        <f t="shared" si="17"/>
        <v>0.37912087912087922</v>
      </c>
      <c r="I155" s="123" t="s">
        <v>86</v>
      </c>
      <c r="J155" s="2" t="s">
        <v>396</v>
      </c>
      <c r="K155" s="2" t="s">
        <v>105</v>
      </c>
      <c r="L155" s="2" t="s">
        <v>76</v>
      </c>
      <c r="M155" s="155"/>
      <c r="N155" s="155"/>
      <c r="O155" s="2">
        <v>2</v>
      </c>
      <c r="P155" s="6"/>
      <c r="Q155" s="132" t="str">
        <f t="shared" si="14"/>
        <v/>
      </c>
      <c r="R155" s="33" t="str">
        <f t="shared" si="16"/>
        <v/>
      </c>
      <c r="S155" s="132" t="str">
        <f t="shared" si="13"/>
        <v/>
      </c>
      <c r="T155" s="132" t="str">
        <f t="shared" si="15"/>
        <v/>
      </c>
      <c r="W155" s="13"/>
      <c r="CH155" s="2"/>
    </row>
    <row r="156" spans="1:86" hidden="1" x14ac:dyDescent="0.3">
      <c r="A156" s="2">
        <v>530</v>
      </c>
      <c r="B156" s="2" t="s">
        <v>84</v>
      </c>
      <c r="C156" s="2" t="s">
        <v>21</v>
      </c>
      <c r="D156" s="123" t="s">
        <v>397</v>
      </c>
      <c r="E156" s="2">
        <v>600</v>
      </c>
      <c r="F156" s="2">
        <v>3.78E-2</v>
      </c>
      <c r="G156" s="2">
        <v>2.35E-2</v>
      </c>
      <c r="H156" s="4">
        <f t="shared" si="17"/>
        <v>0.37830687830687831</v>
      </c>
      <c r="I156" s="123" t="s">
        <v>86</v>
      </c>
      <c r="J156" s="2" t="s">
        <v>398</v>
      </c>
      <c r="K156" s="2" t="s">
        <v>305</v>
      </c>
      <c r="L156" s="2" t="s">
        <v>96</v>
      </c>
      <c r="M156" s="155"/>
      <c r="N156" s="155"/>
      <c r="O156" s="2">
        <v>10</v>
      </c>
      <c r="P156" s="6"/>
      <c r="Q156" s="132" t="str">
        <f t="shared" si="14"/>
        <v/>
      </c>
      <c r="R156" s="33" t="str">
        <f t="shared" si="16"/>
        <v/>
      </c>
      <c r="S156" s="132" t="str">
        <f t="shared" si="13"/>
        <v/>
      </c>
      <c r="T156" s="132" t="str">
        <f t="shared" si="15"/>
        <v/>
      </c>
      <c r="W156" s="13"/>
      <c r="CH156" s="2"/>
    </row>
    <row r="157" spans="1:86" hidden="1" x14ac:dyDescent="0.3">
      <c r="A157" s="2">
        <v>534</v>
      </c>
      <c r="B157" s="2" t="s">
        <v>84</v>
      </c>
      <c r="C157" s="2" t="s">
        <v>21</v>
      </c>
      <c r="D157" s="123" t="s">
        <v>399</v>
      </c>
      <c r="E157" s="2">
        <v>900</v>
      </c>
      <c r="F157" s="2">
        <v>1.8200000000000001E-2</v>
      </c>
      <c r="G157" s="2">
        <v>1.1299999999999999E-2</v>
      </c>
      <c r="H157" s="4">
        <f t="shared" si="17"/>
        <v>0.37912087912087922</v>
      </c>
      <c r="I157" s="123" t="s">
        <v>86</v>
      </c>
      <c r="J157" s="2" t="s">
        <v>396</v>
      </c>
      <c r="K157" s="2" t="s">
        <v>305</v>
      </c>
      <c r="L157" s="2" t="s">
        <v>96</v>
      </c>
      <c r="M157" s="155"/>
      <c r="N157" s="155"/>
      <c r="O157" s="2">
        <v>2</v>
      </c>
      <c r="P157" s="6"/>
      <c r="Q157" s="132" t="str">
        <f t="shared" si="14"/>
        <v/>
      </c>
      <c r="R157" s="33" t="str">
        <f t="shared" si="16"/>
        <v/>
      </c>
      <c r="S157" s="132" t="str">
        <f t="shared" si="13"/>
        <v/>
      </c>
      <c r="T157" s="132" t="str">
        <f t="shared" si="15"/>
        <v/>
      </c>
      <c r="W157" s="13"/>
      <c r="CH157" s="2"/>
    </row>
    <row r="158" spans="1:86" hidden="1" x14ac:dyDescent="0.3">
      <c r="A158" s="2">
        <v>1795</v>
      </c>
      <c r="B158" s="2" t="s">
        <v>0</v>
      </c>
      <c r="C158" s="2" t="s">
        <v>21</v>
      </c>
      <c r="D158" s="123" t="s">
        <v>400</v>
      </c>
      <c r="E158" s="2">
        <v>900</v>
      </c>
      <c r="F158" s="2">
        <v>2.3099999999999999E-2</v>
      </c>
      <c r="G158" s="2">
        <v>1.43E-2</v>
      </c>
      <c r="H158" s="4">
        <f t="shared" si="17"/>
        <v>0.38095238095238093</v>
      </c>
      <c r="I158" s="123" t="s">
        <v>86</v>
      </c>
      <c r="J158" s="2" t="s">
        <v>401</v>
      </c>
      <c r="K158" s="2" t="s">
        <v>305</v>
      </c>
      <c r="L158" s="2" t="s">
        <v>96</v>
      </c>
      <c r="M158" s="155"/>
      <c r="N158" s="155"/>
      <c r="O158" s="2">
        <v>4</v>
      </c>
      <c r="P158" s="6">
        <v>12</v>
      </c>
      <c r="Q158" s="132">
        <f t="shared" si="14"/>
        <v>10.666666666666666</v>
      </c>
      <c r="R158" s="33">
        <f t="shared" si="16"/>
        <v>12</v>
      </c>
      <c r="S158" s="132">
        <f t="shared" si="13"/>
        <v>1.5</v>
      </c>
      <c r="T158" s="132">
        <f t="shared" si="15"/>
        <v>1.5</v>
      </c>
      <c r="W158" s="13"/>
      <c r="CH158" s="2"/>
    </row>
    <row r="159" spans="1:86" hidden="1" x14ac:dyDescent="0.3">
      <c r="A159" s="2">
        <v>1972</v>
      </c>
      <c r="B159" s="2" t="s">
        <v>0</v>
      </c>
      <c r="C159" s="2" t="s">
        <v>21</v>
      </c>
      <c r="D159" s="123" t="s">
        <v>402</v>
      </c>
      <c r="E159" s="2">
        <v>900</v>
      </c>
      <c r="F159" s="2">
        <v>2.18E-2</v>
      </c>
      <c r="G159" s="2">
        <v>1.35E-2</v>
      </c>
      <c r="H159" s="4">
        <f t="shared" si="17"/>
        <v>0.38073394495412843</v>
      </c>
      <c r="I159" s="123" t="s">
        <v>86</v>
      </c>
      <c r="J159" s="2" t="s">
        <v>363</v>
      </c>
      <c r="K159" s="2" t="s">
        <v>105</v>
      </c>
      <c r="L159" s="2" t="s">
        <v>76</v>
      </c>
      <c r="M159" s="155"/>
      <c r="N159" s="155"/>
      <c r="O159" s="2">
        <v>2</v>
      </c>
      <c r="P159" s="6">
        <v>11</v>
      </c>
      <c r="Q159" s="132">
        <f t="shared" si="14"/>
        <v>5.8181818181818175</v>
      </c>
      <c r="R159" s="33">
        <f t="shared" si="16"/>
        <v>11.000000000000002</v>
      </c>
      <c r="S159" s="132">
        <f t="shared" si="13"/>
        <v>1.3750000000000002</v>
      </c>
      <c r="T159" s="132">
        <f t="shared" si="15"/>
        <v>1.3750000000000002</v>
      </c>
      <c r="W159" s="13"/>
      <c r="AI159" s="20"/>
      <c r="CH159" s="2"/>
    </row>
    <row r="160" spans="1:86" hidden="1" x14ac:dyDescent="0.3">
      <c r="A160" s="2">
        <v>9</v>
      </c>
      <c r="B160" s="2" t="s">
        <v>84</v>
      </c>
      <c r="C160" s="2" t="s">
        <v>21</v>
      </c>
      <c r="D160" s="123" t="s">
        <v>403</v>
      </c>
      <c r="E160" s="2">
        <v>1950</v>
      </c>
      <c r="F160" s="2">
        <v>1.0500000000000001E-2</v>
      </c>
      <c r="G160" s="2">
        <v>7.4999999999999997E-3</v>
      </c>
      <c r="H160" s="4">
        <f t="shared" si="17"/>
        <v>0.28571428571428581</v>
      </c>
      <c r="I160" s="123" t="s">
        <v>86</v>
      </c>
      <c r="J160" s="2" t="s">
        <v>404</v>
      </c>
      <c r="K160" s="2" t="s">
        <v>105</v>
      </c>
      <c r="L160" s="2" t="s">
        <v>76</v>
      </c>
      <c r="M160" s="155"/>
      <c r="N160" s="155"/>
      <c r="O160" s="2">
        <v>8</v>
      </c>
      <c r="P160" s="6"/>
      <c r="Q160" s="132" t="str">
        <f t="shared" si="14"/>
        <v/>
      </c>
      <c r="R160" s="33"/>
      <c r="S160" s="132"/>
      <c r="T160" s="132" t="str">
        <f t="shared" si="15"/>
        <v/>
      </c>
      <c r="W160" s="13"/>
      <c r="Y160"/>
      <c r="CH160" s="2"/>
    </row>
    <row r="161" spans="1:86" hidden="1" x14ac:dyDescent="0.3">
      <c r="A161" s="2">
        <v>10</v>
      </c>
      <c r="B161" s="2" t="s">
        <v>84</v>
      </c>
      <c r="C161" s="2" t="s">
        <v>21</v>
      </c>
      <c r="D161" s="2" t="s">
        <v>405</v>
      </c>
      <c r="E161" s="2">
        <v>1200</v>
      </c>
      <c r="F161" s="2">
        <v>1.6199999999999999E-2</v>
      </c>
      <c r="G161" s="2"/>
      <c r="H161" s="4">
        <f t="shared" si="17"/>
        <v>1</v>
      </c>
      <c r="I161" s="2" t="s">
        <v>370</v>
      </c>
      <c r="J161" s="2" t="s">
        <v>373</v>
      </c>
      <c r="K161" s="2" t="s">
        <v>222</v>
      </c>
      <c r="L161" s="2" t="s">
        <v>76</v>
      </c>
      <c r="M161" s="155"/>
      <c r="N161" s="155"/>
      <c r="O161" s="2">
        <v>6</v>
      </c>
      <c r="P161" s="6"/>
      <c r="Q161" s="132"/>
      <c r="R161" s="33"/>
      <c r="S161" s="132"/>
      <c r="T161" s="132"/>
      <c r="W161" s="13"/>
      <c r="Y161"/>
      <c r="CH161" s="2"/>
    </row>
    <row r="162" spans="1:86" hidden="1" x14ac:dyDescent="0.3">
      <c r="A162" s="2">
        <v>252</v>
      </c>
      <c r="B162" s="2" t="s">
        <v>0</v>
      </c>
      <c r="C162" s="2" t="s">
        <v>21</v>
      </c>
      <c r="D162" s="2" t="s">
        <v>406</v>
      </c>
      <c r="E162" s="2">
        <v>560</v>
      </c>
      <c r="F162" s="2">
        <v>2.07E-2</v>
      </c>
      <c r="G162" s="2">
        <v>1.7399999999999999E-2</v>
      </c>
      <c r="H162" s="4">
        <f t="shared" si="17"/>
        <v>0.15942028985507251</v>
      </c>
      <c r="I162" s="2" t="s">
        <v>73</v>
      </c>
      <c r="J162" s="2" t="s">
        <v>407</v>
      </c>
      <c r="K162" s="2" t="s">
        <v>75</v>
      </c>
      <c r="L162" s="2" t="s">
        <v>76</v>
      </c>
      <c r="M162" s="155" t="s">
        <v>408</v>
      </c>
      <c r="N162" s="155"/>
      <c r="O162" s="2">
        <v>6</v>
      </c>
      <c r="P162" s="6">
        <v>30</v>
      </c>
      <c r="Q162" s="132">
        <f t="shared" ref="Q162:Q203" si="18">IFERROR(IF(AO162&gt;1,AO162,60*60*8*O162/P162/E162),"")</f>
        <v>10.285714285714286</v>
      </c>
      <c r="R162" s="33">
        <f t="shared" ref="R162:R225" si="19">IFERROR(60*60*8*O162/E162/Q162,"")</f>
        <v>29.999999999999996</v>
      </c>
      <c r="S162" s="132">
        <f t="shared" ref="S162:S225" si="20">IFERROR(R162/8,"")</f>
        <v>3.7499999999999996</v>
      </c>
      <c r="T162" s="132">
        <f t="shared" ref="T162:T174" si="21">IFERROR(IF(R162&gt;2,S162,""),"")</f>
        <v>3.7499999999999996</v>
      </c>
      <c r="W162" s="13"/>
      <c r="CH162" s="2"/>
    </row>
    <row r="163" spans="1:86" hidden="1" x14ac:dyDescent="0.3">
      <c r="A163" s="2">
        <v>236</v>
      </c>
      <c r="B163" s="2" t="s">
        <v>84</v>
      </c>
      <c r="C163" s="2" t="s">
        <v>21</v>
      </c>
      <c r="D163" s="2" t="s">
        <v>409</v>
      </c>
      <c r="E163" s="2">
        <v>2000</v>
      </c>
      <c r="F163" s="2">
        <v>1.46E-2</v>
      </c>
      <c r="G163" s="2"/>
      <c r="H163" s="4">
        <f t="shared" si="17"/>
        <v>1</v>
      </c>
      <c r="I163" s="2" t="s">
        <v>370</v>
      </c>
      <c r="J163" s="2" t="s">
        <v>410</v>
      </c>
      <c r="K163" s="2" t="s">
        <v>105</v>
      </c>
      <c r="L163" s="2" t="s">
        <v>76</v>
      </c>
      <c r="M163" s="155"/>
      <c r="N163" s="155"/>
      <c r="O163" s="2">
        <v>6</v>
      </c>
      <c r="P163" s="6"/>
      <c r="Q163" s="132" t="str">
        <f t="shared" si="18"/>
        <v/>
      </c>
      <c r="R163" s="33" t="str">
        <f t="shared" si="19"/>
        <v/>
      </c>
      <c r="S163" s="132" t="str">
        <f t="shared" si="20"/>
        <v/>
      </c>
      <c r="T163" s="132" t="str">
        <f t="shared" si="21"/>
        <v/>
      </c>
      <c r="W163" s="13"/>
      <c r="CH163" s="2"/>
    </row>
    <row r="164" spans="1:86" hidden="1" x14ac:dyDescent="0.3">
      <c r="A164" s="2">
        <v>1730</v>
      </c>
      <c r="B164" s="2" t="s">
        <v>84</v>
      </c>
      <c r="C164" s="2" t="s">
        <v>21</v>
      </c>
      <c r="D164" s="2" t="s">
        <v>411</v>
      </c>
      <c r="E164" s="2">
        <v>1500</v>
      </c>
      <c r="F164" s="2">
        <v>1.6500000000000001E-2</v>
      </c>
      <c r="G164" s="2"/>
      <c r="H164" s="4">
        <f t="shared" si="17"/>
        <v>1</v>
      </c>
      <c r="I164" s="2" t="s">
        <v>98</v>
      </c>
      <c r="J164" s="2" t="s">
        <v>412</v>
      </c>
      <c r="K164" s="2" t="s">
        <v>413</v>
      </c>
      <c r="L164" s="2" t="s">
        <v>76</v>
      </c>
      <c r="M164" s="155"/>
      <c r="N164" s="155"/>
      <c r="O164" s="2">
        <v>8</v>
      </c>
      <c r="P164" s="6"/>
      <c r="Q164" s="132" t="str">
        <f t="shared" si="18"/>
        <v/>
      </c>
      <c r="R164" s="33" t="str">
        <f t="shared" si="19"/>
        <v/>
      </c>
      <c r="S164" s="132" t="str">
        <f t="shared" si="20"/>
        <v/>
      </c>
      <c r="T164" s="132" t="str">
        <f t="shared" si="21"/>
        <v/>
      </c>
      <c r="W164" s="13"/>
      <c r="CH164" s="2"/>
    </row>
    <row r="165" spans="1:86" hidden="1" x14ac:dyDescent="0.3">
      <c r="A165" s="2">
        <v>598</v>
      </c>
      <c r="B165" s="2" t="s">
        <v>84</v>
      </c>
      <c r="C165" s="2" t="s">
        <v>21</v>
      </c>
      <c r="D165" s="2" t="s">
        <v>414</v>
      </c>
      <c r="E165" s="2">
        <v>1500</v>
      </c>
      <c r="F165" s="2">
        <v>1.2699999999999999E-2</v>
      </c>
      <c r="G165" s="2"/>
      <c r="H165" s="4">
        <f t="shared" si="17"/>
        <v>1</v>
      </c>
      <c r="I165" s="2" t="s">
        <v>370</v>
      </c>
      <c r="J165" s="2" t="s">
        <v>415</v>
      </c>
      <c r="K165" s="2" t="s">
        <v>413</v>
      </c>
      <c r="L165" s="2" t="s">
        <v>76</v>
      </c>
      <c r="M165" s="155"/>
      <c r="N165" s="155"/>
      <c r="O165" s="2">
        <v>8</v>
      </c>
      <c r="P165" s="6"/>
      <c r="Q165" s="132" t="str">
        <f t="shared" si="18"/>
        <v/>
      </c>
      <c r="R165" s="33" t="str">
        <f t="shared" si="19"/>
        <v/>
      </c>
      <c r="S165" s="132" t="str">
        <f t="shared" si="20"/>
        <v/>
      </c>
      <c r="T165" s="132" t="str">
        <f t="shared" si="21"/>
        <v/>
      </c>
      <c r="W165" s="13"/>
      <c r="CH165" s="2"/>
    </row>
    <row r="166" spans="1:86" hidden="1" x14ac:dyDescent="0.3">
      <c r="A166" s="2">
        <v>625</v>
      </c>
      <c r="B166" s="2" t="s">
        <v>84</v>
      </c>
      <c r="C166" s="2" t="s">
        <v>21</v>
      </c>
      <c r="D166" s="123" t="s">
        <v>416</v>
      </c>
      <c r="E166" s="2">
        <v>700</v>
      </c>
      <c r="F166" s="2">
        <v>1.5699999999999999E-2</v>
      </c>
      <c r="G166" s="2">
        <v>1.32E-2</v>
      </c>
      <c r="H166" s="4">
        <f t="shared" si="17"/>
        <v>0.15923566878980885</v>
      </c>
      <c r="I166" s="123" t="s">
        <v>86</v>
      </c>
      <c r="J166" s="2" t="s">
        <v>291</v>
      </c>
      <c r="K166" s="2" t="s">
        <v>105</v>
      </c>
      <c r="L166" s="2" t="s">
        <v>76</v>
      </c>
      <c r="M166" s="155"/>
      <c r="N166" s="155"/>
      <c r="O166" s="2">
        <v>6</v>
      </c>
      <c r="P166" s="6"/>
      <c r="Q166" s="132" t="str">
        <f t="shared" si="18"/>
        <v/>
      </c>
      <c r="R166" s="33" t="str">
        <f t="shared" si="19"/>
        <v/>
      </c>
      <c r="S166" s="132" t="str">
        <f t="shared" si="20"/>
        <v/>
      </c>
      <c r="T166" s="132" t="str">
        <f t="shared" si="21"/>
        <v/>
      </c>
      <c r="W166" s="13"/>
      <c r="CH166" s="2"/>
    </row>
    <row r="167" spans="1:86" hidden="1" x14ac:dyDescent="0.3">
      <c r="A167" s="2">
        <v>632</v>
      </c>
      <c r="B167" s="2" t="s">
        <v>0</v>
      </c>
      <c r="C167" s="2" t="s">
        <v>21</v>
      </c>
      <c r="D167" s="2" t="s">
        <v>417</v>
      </c>
      <c r="E167" s="2">
        <v>700</v>
      </c>
      <c r="F167" s="2">
        <v>1.6799999999999999E-2</v>
      </c>
      <c r="G167" s="2">
        <v>1.32E-2</v>
      </c>
      <c r="H167" s="4">
        <f t="shared" si="17"/>
        <v>0.21428571428571425</v>
      </c>
      <c r="I167" s="2" t="s">
        <v>98</v>
      </c>
      <c r="J167" s="2" t="s">
        <v>418</v>
      </c>
      <c r="K167" s="2" t="s">
        <v>105</v>
      </c>
      <c r="L167" s="2" t="s">
        <v>76</v>
      </c>
      <c r="M167" s="155"/>
      <c r="N167" s="155"/>
      <c r="O167" s="2">
        <v>6</v>
      </c>
      <c r="P167" s="6">
        <v>30</v>
      </c>
      <c r="Q167" s="132">
        <f t="shared" si="18"/>
        <v>8.2285714285714278</v>
      </c>
      <c r="R167" s="33">
        <f t="shared" si="19"/>
        <v>30.000000000000004</v>
      </c>
      <c r="S167" s="132">
        <f t="shared" si="20"/>
        <v>3.7500000000000004</v>
      </c>
      <c r="T167" s="132">
        <f t="shared" si="21"/>
        <v>3.7500000000000004</v>
      </c>
      <c r="W167" s="13"/>
      <c r="CH167" s="2"/>
    </row>
    <row r="168" spans="1:86" hidden="1" x14ac:dyDescent="0.3">
      <c r="A168" s="2">
        <v>626</v>
      </c>
      <c r="B168" s="2" t="s">
        <v>84</v>
      </c>
      <c r="C168" s="2" t="s">
        <v>21</v>
      </c>
      <c r="D168" s="123" t="s">
        <v>419</v>
      </c>
      <c r="E168" s="2">
        <v>2700</v>
      </c>
      <c r="F168" s="2">
        <v>6.0000000000000001E-3</v>
      </c>
      <c r="G168" s="2">
        <v>4.4999999999999997E-3</v>
      </c>
      <c r="H168" s="4">
        <f t="shared" si="17"/>
        <v>0.25000000000000006</v>
      </c>
      <c r="I168" s="123" t="s">
        <v>86</v>
      </c>
      <c r="J168" s="2" t="s">
        <v>420</v>
      </c>
      <c r="K168" s="2" t="s">
        <v>105</v>
      </c>
      <c r="L168" s="2" t="s">
        <v>76</v>
      </c>
      <c r="M168" s="155"/>
      <c r="N168" s="155"/>
      <c r="O168" s="2">
        <v>5</v>
      </c>
      <c r="P168" s="6"/>
      <c r="Q168" s="132" t="str">
        <f t="shared" si="18"/>
        <v/>
      </c>
      <c r="R168" s="33" t="str">
        <f t="shared" si="19"/>
        <v/>
      </c>
      <c r="S168" s="132" t="str">
        <f t="shared" si="20"/>
        <v/>
      </c>
      <c r="T168" s="132" t="str">
        <f t="shared" si="21"/>
        <v/>
      </c>
      <c r="W168" s="13"/>
      <c r="CH168" s="2"/>
    </row>
    <row r="169" spans="1:86" hidden="1" x14ac:dyDescent="0.3">
      <c r="A169" s="2">
        <v>635</v>
      </c>
      <c r="B169" s="2" t="s">
        <v>0</v>
      </c>
      <c r="C169" s="2" t="s">
        <v>21</v>
      </c>
      <c r="D169" s="123" t="s">
        <v>421</v>
      </c>
      <c r="E169" s="2">
        <v>2300</v>
      </c>
      <c r="F169" s="2">
        <v>9.5999999999999992E-3</v>
      </c>
      <c r="G169" s="2">
        <v>7.1999999999999998E-3</v>
      </c>
      <c r="H169" s="4">
        <f t="shared" si="17"/>
        <v>0.24999999999999994</v>
      </c>
      <c r="I169" s="123" t="s">
        <v>86</v>
      </c>
      <c r="J169" s="2" t="s">
        <v>216</v>
      </c>
      <c r="K169" s="2" t="s">
        <v>261</v>
      </c>
      <c r="L169" s="2" t="s">
        <v>76</v>
      </c>
      <c r="M169" s="155"/>
      <c r="N169" s="155"/>
      <c r="O169" s="2">
        <v>5</v>
      </c>
      <c r="P169" s="6">
        <v>14</v>
      </c>
      <c r="Q169" s="132">
        <f t="shared" si="18"/>
        <v>4.4720496894409942</v>
      </c>
      <c r="R169" s="33">
        <f t="shared" si="19"/>
        <v>13.999999999999998</v>
      </c>
      <c r="S169" s="132">
        <f t="shared" si="20"/>
        <v>1.7499999999999998</v>
      </c>
      <c r="T169" s="132">
        <f t="shared" si="21"/>
        <v>1.7499999999999998</v>
      </c>
      <c r="W169" s="13"/>
      <c r="CH169" s="2"/>
    </row>
    <row r="170" spans="1:86" hidden="1" x14ac:dyDescent="0.3">
      <c r="A170" s="2">
        <v>639</v>
      </c>
      <c r="B170" s="2" t="s">
        <v>0</v>
      </c>
      <c r="C170" s="2" t="s">
        <v>21</v>
      </c>
      <c r="D170" s="2" t="s">
        <v>422</v>
      </c>
      <c r="E170" s="2">
        <v>2300</v>
      </c>
      <c r="F170" s="2">
        <v>9.9000000000000008E-3</v>
      </c>
      <c r="G170" s="2">
        <v>7.1999999999999998E-3</v>
      </c>
      <c r="H170" s="4">
        <f t="shared" si="17"/>
        <v>0.27272727272727282</v>
      </c>
      <c r="I170" s="2" t="s">
        <v>98</v>
      </c>
      <c r="J170" s="2" t="s">
        <v>418</v>
      </c>
      <c r="K170" s="2" t="s">
        <v>261</v>
      </c>
      <c r="L170" s="2" t="s">
        <v>76</v>
      </c>
      <c r="M170" s="155"/>
      <c r="N170" s="155"/>
      <c r="O170" s="2">
        <v>5</v>
      </c>
      <c r="P170" s="6">
        <v>14</v>
      </c>
      <c r="Q170" s="132">
        <f t="shared" si="18"/>
        <v>4.4720496894409942</v>
      </c>
      <c r="R170" s="33">
        <f t="shared" si="19"/>
        <v>13.999999999999998</v>
      </c>
      <c r="S170" s="132">
        <f t="shared" si="20"/>
        <v>1.7499999999999998</v>
      </c>
      <c r="T170" s="132">
        <f t="shared" si="21"/>
        <v>1.7499999999999998</v>
      </c>
      <c r="W170" s="13"/>
      <c r="CH170" s="2"/>
    </row>
    <row r="171" spans="1:86" hidden="1" x14ac:dyDescent="0.3">
      <c r="A171" s="2">
        <v>627</v>
      </c>
      <c r="B171" s="2" t="s">
        <v>84</v>
      </c>
      <c r="C171" s="2" t="s">
        <v>21</v>
      </c>
      <c r="D171" s="123" t="s">
        <v>423</v>
      </c>
      <c r="E171" s="2">
        <v>1800</v>
      </c>
      <c r="F171" s="2">
        <v>9.5999999999999992E-3</v>
      </c>
      <c r="G171" s="2">
        <v>7.1999999999999998E-3</v>
      </c>
      <c r="H171" s="4">
        <f t="shared" si="17"/>
        <v>0.24999999999999994</v>
      </c>
      <c r="I171" s="123" t="s">
        <v>86</v>
      </c>
      <c r="J171" s="2" t="s">
        <v>216</v>
      </c>
      <c r="K171" s="2" t="s">
        <v>261</v>
      </c>
      <c r="L171" s="2" t="s">
        <v>76</v>
      </c>
      <c r="M171" s="155"/>
      <c r="N171" s="155"/>
      <c r="O171" s="2">
        <v>5</v>
      </c>
      <c r="P171" s="6"/>
      <c r="Q171" s="132" t="str">
        <f t="shared" si="18"/>
        <v/>
      </c>
      <c r="R171" s="33" t="str">
        <f t="shared" si="19"/>
        <v/>
      </c>
      <c r="S171" s="132" t="str">
        <f t="shared" si="20"/>
        <v/>
      </c>
      <c r="T171" s="132" t="str">
        <f t="shared" si="21"/>
        <v/>
      </c>
      <c r="W171" s="13"/>
      <c r="CH171" s="2"/>
    </row>
    <row r="172" spans="1:86" hidden="1" x14ac:dyDescent="0.3">
      <c r="A172" s="2">
        <v>641</v>
      </c>
      <c r="B172" s="2" t="s">
        <v>0</v>
      </c>
      <c r="C172" s="2" t="s">
        <v>21</v>
      </c>
      <c r="D172" s="2" t="s">
        <v>424</v>
      </c>
      <c r="E172" s="2">
        <v>1800</v>
      </c>
      <c r="F172" s="2">
        <v>9.9000000000000008E-3</v>
      </c>
      <c r="G172" s="2">
        <v>7.1999999999999998E-3</v>
      </c>
      <c r="H172" s="4">
        <f t="shared" si="17"/>
        <v>0.27272727272727282</v>
      </c>
      <c r="I172" s="2" t="s">
        <v>98</v>
      </c>
      <c r="J172" s="2" t="s">
        <v>418</v>
      </c>
      <c r="K172" s="2" t="s">
        <v>261</v>
      </c>
      <c r="L172" s="2" t="s">
        <v>76</v>
      </c>
      <c r="M172" s="155"/>
      <c r="N172" s="155"/>
      <c r="O172" s="2">
        <v>5</v>
      </c>
      <c r="P172" s="6">
        <v>19</v>
      </c>
      <c r="Q172" s="132">
        <f t="shared" si="18"/>
        <v>4.2105263157894735</v>
      </c>
      <c r="R172" s="33">
        <f t="shared" si="19"/>
        <v>19</v>
      </c>
      <c r="S172" s="132">
        <f t="shared" si="20"/>
        <v>2.375</v>
      </c>
      <c r="T172" s="132">
        <f t="shared" si="21"/>
        <v>2.375</v>
      </c>
      <c r="W172" s="13"/>
      <c r="CH172" s="2"/>
    </row>
    <row r="173" spans="1:86" hidden="1" x14ac:dyDescent="0.3">
      <c r="A173" s="23">
        <v>1033</v>
      </c>
      <c r="B173" s="2" t="s">
        <v>0</v>
      </c>
      <c r="C173" s="2" t="s">
        <v>21</v>
      </c>
      <c r="D173" s="2" t="s">
        <v>425</v>
      </c>
      <c r="E173" s="2">
        <v>960</v>
      </c>
      <c r="F173" s="2">
        <v>1.2699999999999999E-2</v>
      </c>
      <c r="G173" s="2">
        <v>9.4999999999999998E-3</v>
      </c>
      <c r="H173" s="4">
        <f t="shared" si="17"/>
        <v>0.25196850393700787</v>
      </c>
      <c r="I173" s="2" t="s">
        <v>73</v>
      </c>
      <c r="J173" s="2" t="s">
        <v>426</v>
      </c>
      <c r="K173" s="2" t="s">
        <v>105</v>
      </c>
      <c r="L173" s="2" t="s">
        <v>76</v>
      </c>
      <c r="M173" s="155"/>
      <c r="N173" s="155"/>
      <c r="O173" s="2">
        <v>10</v>
      </c>
      <c r="P173" s="6">
        <v>25</v>
      </c>
      <c r="Q173" s="132">
        <f t="shared" si="18"/>
        <v>8.5</v>
      </c>
      <c r="R173" s="33">
        <f t="shared" si="19"/>
        <v>35.294117647058826</v>
      </c>
      <c r="S173" s="132">
        <f t="shared" si="20"/>
        <v>4.4117647058823533</v>
      </c>
      <c r="T173" s="132">
        <f t="shared" si="21"/>
        <v>4.4117647058823533</v>
      </c>
      <c r="W173" s="13"/>
      <c r="AD173" s="22">
        <v>45360</v>
      </c>
      <c r="AE173">
        <v>14</v>
      </c>
      <c r="AF173">
        <v>2.5</v>
      </c>
      <c r="AG173">
        <v>0.5</v>
      </c>
      <c r="AH173">
        <v>2</v>
      </c>
      <c r="AI173">
        <v>0.55000000000000004</v>
      </c>
      <c r="AJ173">
        <v>0.5</v>
      </c>
      <c r="AK173">
        <v>0.16</v>
      </c>
      <c r="AL173">
        <v>0.3</v>
      </c>
      <c r="AM173">
        <v>0.9</v>
      </c>
      <c r="AN173">
        <v>0.6</v>
      </c>
      <c r="AO173">
        <v>8.5</v>
      </c>
      <c r="AP173">
        <v>39</v>
      </c>
      <c r="AQ173">
        <v>119</v>
      </c>
      <c r="AR173">
        <v>119</v>
      </c>
      <c r="AS173">
        <v>119</v>
      </c>
      <c r="AT173">
        <v>45</v>
      </c>
      <c r="AU173">
        <v>20</v>
      </c>
      <c r="AV173">
        <v>40</v>
      </c>
      <c r="AW173">
        <v>20</v>
      </c>
      <c r="AX173">
        <v>100</v>
      </c>
      <c r="AY173">
        <v>340</v>
      </c>
      <c r="AZ173" t="s">
        <v>78</v>
      </c>
      <c r="BA173">
        <v>700</v>
      </c>
      <c r="BB173">
        <v>10</v>
      </c>
      <c r="CH173" s="2"/>
    </row>
    <row r="174" spans="1:86" hidden="1" x14ac:dyDescent="0.3">
      <c r="A174" s="2">
        <v>648</v>
      </c>
      <c r="B174" s="2" t="s">
        <v>84</v>
      </c>
      <c r="C174" s="2" t="s">
        <v>21</v>
      </c>
      <c r="D174" s="123" t="s">
        <v>427</v>
      </c>
      <c r="E174" s="2">
        <v>960</v>
      </c>
      <c r="F174" s="2">
        <v>9.7999999999999997E-3</v>
      </c>
      <c r="G174" s="2">
        <v>7.4000000000000003E-3</v>
      </c>
      <c r="H174" s="4">
        <f t="shared" si="17"/>
        <v>0.24489795918367341</v>
      </c>
      <c r="I174" s="123" t="s">
        <v>86</v>
      </c>
      <c r="J174" s="2" t="s">
        <v>428</v>
      </c>
      <c r="K174" s="2" t="s">
        <v>105</v>
      </c>
      <c r="L174" s="2" t="s">
        <v>76</v>
      </c>
      <c r="M174" s="155"/>
      <c r="N174" s="155"/>
      <c r="O174" s="2">
        <v>10</v>
      </c>
      <c r="P174" s="6"/>
      <c r="Q174" s="132" t="str">
        <f t="shared" si="18"/>
        <v/>
      </c>
      <c r="R174" s="33" t="str">
        <f t="shared" si="19"/>
        <v/>
      </c>
      <c r="S174" s="132" t="str">
        <f t="shared" si="20"/>
        <v/>
      </c>
      <c r="T174" s="132" t="str">
        <f t="shared" si="21"/>
        <v/>
      </c>
      <c r="W174" s="13"/>
      <c r="CH174" s="2"/>
    </row>
    <row r="175" spans="1:86" hidden="1" x14ac:dyDescent="0.3">
      <c r="A175" s="23">
        <v>591</v>
      </c>
      <c r="B175" s="2" t="s">
        <v>0</v>
      </c>
      <c r="C175" s="2" t="s">
        <v>21</v>
      </c>
      <c r="D175" s="2" t="s">
        <v>429</v>
      </c>
      <c r="E175" s="2">
        <v>1080</v>
      </c>
      <c r="F175" s="2">
        <v>7.1000000000000004E-3</v>
      </c>
      <c r="G175" s="2">
        <v>5.4999999999999997E-3</v>
      </c>
      <c r="H175" s="4">
        <f t="shared" si="17"/>
        <v>0.22535211267605643</v>
      </c>
      <c r="I175" s="2" t="s">
        <v>82</v>
      </c>
      <c r="J175" s="2" t="s">
        <v>107</v>
      </c>
      <c r="K175" s="2" t="s">
        <v>95</v>
      </c>
      <c r="L175" s="2" t="s">
        <v>96</v>
      </c>
      <c r="M175" s="155">
        <v>12</v>
      </c>
      <c r="N175" s="155">
        <v>90</v>
      </c>
      <c r="O175" s="2">
        <v>15</v>
      </c>
      <c r="P175" s="6">
        <v>30</v>
      </c>
      <c r="Q175" s="132">
        <f t="shared" si="18"/>
        <v>8.6999999999999993</v>
      </c>
      <c r="R175" s="33">
        <f t="shared" si="19"/>
        <v>45.977011494252878</v>
      </c>
      <c r="S175" s="132">
        <f t="shared" si="20"/>
        <v>5.7471264367816097</v>
      </c>
      <c r="T175" s="132">
        <v>23</v>
      </c>
      <c r="W175" s="13"/>
      <c r="AD175" s="22">
        <v>45351</v>
      </c>
      <c r="AE175">
        <v>12</v>
      </c>
      <c r="AF175">
        <v>1.9</v>
      </c>
      <c r="AG175">
        <v>0.5</v>
      </c>
      <c r="AH175">
        <v>2</v>
      </c>
      <c r="AI175">
        <v>0.8</v>
      </c>
      <c r="AJ175">
        <v>1.3</v>
      </c>
      <c r="AK175">
        <v>0.16</v>
      </c>
      <c r="AL175">
        <v>0.14000000000000001</v>
      </c>
      <c r="AM175">
        <v>0.9</v>
      </c>
      <c r="AN175">
        <v>0.6</v>
      </c>
      <c r="AO175">
        <v>8.6999999999999993</v>
      </c>
      <c r="AP175">
        <v>52</v>
      </c>
      <c r="AQ175">
        <v>100</v>
      </c>
      <c r="AR175">
        <v>100</v>
      </c>
      <c r="AS175">
        <v>100</v>
      </c>
      <c r="AT175">
        <v>44</v>
      </c>
      <c r="AU175">
        <v>30</v>
      </c>
      <c r="AV175">
        <v>40</v>
      </c>
      <c r="AW175">
        <v>40</v>
      </c>
      <c r="AX175">
        <v>66</v>
      </c>
      <c r="AY175">
        <v>510</v>
      </c>
      <c r="AZ175" t="s">
        <v>78</v>
      </c>
      <c r="BA175">
        <v>2500</v>
      </c>
      <c r="BB175">
        <v>10</v>
      </c>
      <c r="CH175" s="2"/>
    </row>
    <row r="176" spans="1:86" hidden="1" x14ac:dyDescent="0.3">
      <c r="A176" s="2">
        <v>649</v>
      </c>
      <c r="B176" s="2" t="s">
        <v>84</v>
      </c>
      <c r="C176" s="2" t="s">
        <v>21</v>
      </c>
      <c r="D176" s="123" t="s">
        <v>430</v>
      </c>
      <c r="E176" s="2">
        <v>1080</v>
      </c>
      <c r="F176" s="2">
        <v>5.4999999999999997E-3</v>
      </c>
      <c r="G176" s="2">
        <v>4.1999999999999997E-3</v>
      </c>
      <c r="H176" s="4">
        <f t="shared" si="17"/>
        <v>0.23636363636363636</v>
      </c>
      <c r="I176" s="123" t="s">
        <v>86</v>
      </c>
      <c r="J176" s="2" t="s">
        <v>431</v>
      </c>
      <c r="K176" s="2" t="s">
        <v>95</v>
      </c>
      <c r="L176" s="2" t="s">
        <v>96</v>
      </c>
      <c r="M176" s="155"/>
      <c r="N176" s="155"/>
      <c r="O176" s="2">
        <v>15</v>
      </c>
      <c r="P176" s="6"/>
      <c r="Q176" s="132" t="str">
        <f t="shared" si="18"/>
        <v/>
      </c>
      <c r="R176" s="33" t="str">
        <f t="shared" si="19"/>
        <v/>
      </c>
      <c r="S176" s="132" t="str">
        <f t="shared" si="20"/>
        <v/>
      </c>
      <c r="T176" s="132" t="str">
        <f t="shared" ref="T176:T238" si="22">IFERROR(IF(R176&gt;2,S176,""),"")</f>
        <v/>
      </c>
      <c r="W176" s="13"/>
      <c r="CH176" s="2"/>
    </row>
    <row r="177" spans="1:86" hidden="1" x14ac:dyDescent="0.3">
      <c r="A177" s="2">
        <v>690</v>
      </c>
      <c r="B177" s="2" t="s">
        <v>84</v>
      </c>
      <c r="C177" s="2" t="s">
        <v>21</v>
      </c>
      <c r="D177" s="123" t="s">
        <v>432</v>
      </c>
      <c r="E177" s="2">
        <v>2100</v>
      </c>
      <c r="F177" s="2">
        <v>8.8000000000000005E-3</v>
      </c>
      <c r="G177" s="2">
        <v>7.6E-3</v>
      </c>
      <c r="H177" s="4">
        <f t="shared" si="17"/>
        <v>0.13636363636363641</v>
      </c>
      <c r="I177" s="123" t="s">
        <v>86</v>
      </c>
      <c r="J177" s="2" t="s">
        <v>218</v>
      </c>
      <c r="K177" s="2" t="s">
        <v>105</v>
      </c>
      <c r="L177" s="2" t="s">
        <v>76</v>
      </c>
      <c r="M177" s="155"/>
      <c r="N177" s="155"/>
      <c r="O177" s="2">
        <v>8</v>
      </c>
      <c r="P177" s="6"/>
      <c r="Q177" s="132" t="str">
        <f t="shared" si="18"/>
        <v/>
      </c>
      <c r="R177" s="33" t="str">
        <f t="shared" si="19"/>
        <v/>
      </c>
      <c r="S177" s="132" t="str">
        <f t="shared" si="20"/>
        <v/>
      </c>
      <c r="T177" s="132" t="str">
        <f t="shared" si="22"/>
        <v/>
      </c>
      <c r="W177" s="13"/>
      <c r="CH177" s="2"/>
    </row>
    <row r="178" spans="1:86" hidden="1" x14ac:dyDescent="0.3">
      <c r="A178" s="2">
        <v>35</v>
      </c>
      <c r="B178" s="2" t="s">
        <v>84</v>
      </c>
      <c r="C178" s="2" t="s">
        <v>21</v>
      </c>
      <c r="D178" s="2" t="s">
        <v>433</v>
      </c>
      <c r="E178" s="2">
        <v>400</v>
      </c>
      <c r="F178" s="2">
        <v>6.9400000000000003E-2</v>
      </c>
      <c r="G178" s="2">
        <v>4.5400000000000003E-2</v>
      </c>
      <c r="H178" s="4">
        <f t="shared" si="17"/>
        <v>0.345821325648415</v>
      </c>
      <c r="I178" s="2" t="s">
        <v>73</v>
      </c>
      <c r="J178" s="2" t="s">
        <v>434</v>
      </c>
      <c r="K178" s="2" t="s">
        <v>435</v>
      </c>
      <c r="L178" s="2" t="s">
        <v>436</v>
      </c>
      <c r="M178" s="155"/>
      <c r="N178" s="155"/>
      <c r="O178" s="2">
        <v>6</v>
      </c>
      <c r="P178" s="6"/>
      <c r="Q178" s="132" t="str">
        <f t="shared" si="18"/>
        <v/>
      </c>
      <c r="R178" s="33" t="str">
        <f t="shared" si="19"/>
        <v/>
      </c>
      <c r="S178" s="132" t="str">
        <f t="shared" si="20"/>
        <v/>
      </c>
      <c r="T178" s="132" t="str">
        <f t="shared" si="22"/>
        <v/>
      </c>
      <c r="W178" s="13"/>
      <c r="AI178" s="20"/>
      <c r="CH178" s="2"/>
    </row>
    <row r="179" spans="1:86" hidden="1" x14ac:dyDescent="0.3">
      <c r="A179" s="2">
        <v>770</v>
      </c>
      <c r="B179" s="2" t="s">
        <v>84</v>
      </c>
      <c r="C179" s="2" t="s">
        <v>21</v>
      </c>
      <c r="D179" s="123" t="s">
        <v>437</v>
      </c>
      <c r="E179" s="2">
        <v>1080</v>
      </c>
      <c r="F179" s="2">
        <v>1.5699999999999999E-2</v>
      </c>
      <c r="G179" s="2">
        <v>1.24E-2</v>
      </c>
      <c r="H179" s="4">
        <f t="shared" si="17"/>
        <v>0.21019108280254772</v>
      </c>
      <c r="I179" s="123" t="s">
        <v>86</v>
      </c>
      <c r="J179" s="2" t="s">
        <v>315</v>
      </c>
      <c r="K179" s="2" t="s">
        <v>200</v>
      </c>
      <c r="L179" s="2" t="s">
        <v>76</v>
      </c>
      <c r="M179" s="155"/>
      <c r="N179" s="155"/>
      <c r="O179" s="2">
        <v>6</v>
      </c>
      <c r="P179" s="6"/>
      <c r="Q179" s="132" t="str">
        <f t="shared" si="18"/>
        <v/>
      </c>
      <c r="R179" s="33" t="str">
        <f t="shared" si="19"/>
        <v/>
      </c>
      <c r="S179" s="132" t="str">
        <f t="shared" si="20"/>
        <v/>
      </c>
      <c r="T179" s="132" t="str">
        <f t="shared" si="22"/>
        <v/>
      </c>
      <c r="W179" s="13"/>
      <c r="CH179" s="2"/>
    </row>
    <row r="180" spans="1:86" hidden="1" x14ac:dyDescent="0.3">
      <c r="A180" s="2">
        <v>1798</v>
      </c>
      <c r="B180" s="2" t="s">
        <v>84</v>
      </c>
      <c r="C180" s="2" t="s">
        <v>21</v>
      </c>
      <c r="D180" s="123" t="s">
        <v>438</v>
      </c>
      <c r="E180" s="2">
        <v>510</v>
      </c>
      <c r="F180" s="2">
        <v>1.9800000000000002E-2</v>
      </c>
      <c r="G180" s="2">
        <v>1.6199999999999999E-2</v>
      </c>
      <c r="H180" s="4">
        <f t="shared" si="17"/>
        <v>0.18181818181818193</v>
      </c>
      <c r="I180" s="123" t="s">
        <v>86</v>
      </c>
      <c r="J180" s="2" t="s">
        <v>203</v>
      </c>
      <c r="K180" s="2" t="s">
        <v>105</v>
      </c>
      <c r="L180" s="2" t="s">
        <v>76</v>
      </c>
      <c r="M180" s="155"/>
      <c r="N180" s="155"/>
      <c r="O180" s="2">
        <v>6</v>
      </c>
      <c r="P180" s="6"/>
      <c r="Q180" s="132" t="str">
        <f t="shared" si="18"/>
        <v/>
      </c>
      <c r="R180" s="33" t="str">
        <f t="shared" si="19"/>
        <v/>
      </c>
      <c r="S180" s="132" t="str">
        <f t="shared" si="20"/>
        <v/>
      </c>
      <c r="T180" s="132" t="str">
        <f t="shared" si="22"/>
        <v/>
      </c>
      <c r="W180" s="13"/>
      <c r="CH180" s="2"/>
    </row>
    <row r="181" spans="1:86" hidden="1" x14ac:dyDescent="0.3">
      <c r="A181" s="2">
        <v>12</v>
      </c>
      <c r="B181" s="2" t="s">
        <v>84</v>
      </c>
      <c r="C181" s="2" t="s">
        <v>21</v>
      </c>
      <c r="D181" s="2" t="s">
        <v>439</v>
      </c>
      <c r="E181" s="2">
        <v>2200</v>
      </c>
      <c r="F181" s="2">
        <v>1.5100000000000001E-2</v>
      </c>
      <c r="G181" s="2"/>
      <c r="H181" s="4">
        <f t="shared" si="17"/>
        <v>1</v>
      </c>
      <c r="I181" s="2" t="s">
        <v>370</v>
      </c>
      <c r="J181" s="2" t="s">
        <v>440</v>
      </c>
      <c r="K181" s="2"/>
      <c r="L181" s="2"/>
      <c r="M181" s="155"/>
      <c r="N181" s="155"/>
      <c r="O181" s="2">
        <v>6</v>
      </c>
      <c r="P181" s="6"/>
      <c r="Q181" s="132" t="str">
        <f t="shared" si="18"/>
        <v/>
      </c>
      <c r="R181" s="33" t="str">
        <f t="shared" si="19"/>
        <v/>
      </c>
      <c r="S181" s="132" t="str">
        <f t="shared" si="20"/>
        <v/>
      </c>
      <c r="T181" s="132" t="str">
        <f t="shared" si="22"/>
        <v/>
      </c>
      <c r="W181" s="13"/>
      <c r="Y181"/>
      <c r="CH181" s="2"/>
    </row>
    <row r="182" spans="1:86" hidden="1" x14ac:dyDescent="0.3">
      <c r="A182" s="2">
        <v>793</v>
      </c>
      <c r="B182" s="2" t="s">
        <v>84</v>
      </c>
      <c r="C182" s="2" t="s">
        <v>21</v>
      </c>
      <c r="D182" s="123" t="s">
        <v>441</v>
      </c>
      <c r="E182" s="2">
        <v>1680</v>
      </c>
      <c r="F182" s="2">
        <v>9.7999999999999997E-3</v>
      </c>
      <c r="G182" s="2">
        <v>7.4999999999999997E-3</v>
      </c>
      <c r="H182" s="4">
        <f t="shared" si="17"/>
        <v>0.23469387755102042</v>
      </c>
      <c r="I182" s="123" t="s">
        <v>86</v>
      </c>
      <c r="J182" s="2" t="s">
        <v>442</v>
      </c>
      <c r="K182" s="2" t="s">
        <v>261</v>
      </c>
      <c r="L182" s="2" t="s">
        <v>76</v>
      </c>
      <c r="M182" s="155"/>
      <c r="N182" s="155"/>
      <c r="O182" s="2">
        <v>5</v>
      </c>
      <c r="P182" s="6"/>
      <c r="Q182" s="132" t="str">
        <f t="shared" si="18"/>
        <v/>
      </c>
      <c r="R182" s="33" t="str">
        <f t="shared" si="19"/>
        <v/>
      </c>
      <c r="S182" s="132" t="str">
        <f t="shared" si="20"/>
        <v/>
      </c>
      <c r="T182" s="132" t="str">
        <f t="shared" si="22"/>
        <v/>
      </c>
      <c r="W182" s="13"/>
      <c r="CH182" s="2"/>
    </row>
    <row r="183" spans="1:86" hidden="1" x14ac:dyDescent="0.3">
      <c r="A183" s="2">
        <v>790</v>
      </c>
      <c r="B183" s="2" t="s">
        <v>0</v>
      </c>
      <c r="C183" s="2" t="s">
        <v>21</v>
      </c>
      <c r="D183" s="2" t="s">
        <v>443</v>
      </c>
      <c r="E183" s="2">
        <v>1680</v>
      </c>
      <c r="F183" s="2">
        <v>1.32E-2</v>
      </c>
      <c r="G183" s="2">
        <v>6.7999999999999996E-3</v>
      </c>
      <c r="H183" s="4">
        <f t="shared" si="17"/>
        <v>0.48484848484848486</v>
      </c>
      <c r="I183" s="2" t="s">
        <v>98</v>
      </c>
      <c r="J183" s="2" t="s">
        <v>444</v>
      </c>
      <c r="K183" s="2" t="s">
        <v>261</v>
      </c>
      <c r="L183" s="2" t="s">
        <v>76</v>
      </c>
      <c r="M183" s="155"/>
      <c r="N183" s="155"/>
      <c r="O183" s="2">
        <v>5</v>
      </c>
      <c r="P183" s="6">
        <v>23</v>
      </c>
      <c r="Q183" s="132">
        <f t="shared" si="18"/>
        <v>3.7267080745341614</v>
      </c>
      <c r="R183" s="33">
        <f t="shared" si="19"/>
        <v>23</v>
      </c>
      <c r="S183" s="132">
        <f t="shared" si="20"/>
        <v>2.875</v>
      </c>
      <c r="T183" s="132">
        <f t="shared" si="22"/>
        <v>2.875</v>
      </c>
      <c r="W183" s="13"/>
      <c r="CH183" s="2"/>
    </row>
    <row r="184" spans="1:86" hidden="1" x14ac:dyDescent="0.3">
      <c r="A184" s="2">
        <v>786</v>
      </c>
      <c r="B184" s="2" t="s">
        <v>84</v>
      </c>
      <c r="C184" s="2" t="s">
        <v>21</v>
      </c>
      <c r="D184" s="123" t="s">
        <v>445</v>
      </c>
      <c r="E184" s="2">
        <v>700</v>
      </c>
      <c r="F184" s="2">
        <v>1.5699999999999999E-2</v>
      </c>
      <c r="G184" s="2">
        <v>1.32E-2</v>
      </c>
      <c r="H184" s="4">
        <f t="shared" si="17"/>
        <v>0.15923566878980885</v>
      </c>
      <c r="I184" s="123" t="s">
        <v>86</v>
      </c>
      <c r="J184" s="2" t="s">
        <v>291</v>
      </c>
      <c r="K184" s="2" t="s">
        <v>105</v>
      </c>
      <c r="L184" s="2" t="s">
        <v>76</v>
      </c>
      <c r="M184" s="155"/>
      <c r="N184" s="155"/>
      <c r="O184" s="2">
        <v>6</v>
      </c>
      <c r="P184" s="6"/>
      <c r="Q184" s="132" t="str">
        <f t="shared" si="18"/>
        <v/>
      </c>
      <c r="R184" s="33" t="str">
        <f t="shared" si="19"/>
        <v/>
      </c>
      <c r="S184" s="132" t="str">
        <f t="shared" si="20"/>
        <v/>
      </c>
      <c r="T184" s="132" t="str">
        <f t="shared" si="22"/>
        <v/>
      </c>
      <c r="W184" s="13"/>
      <c r="CH184" s="2"/>
    </row>
    <row r="185" spans="1:86" hidden="1" x14ac:dyDescent="0.3">
      <c r="A185" s="2">
        <v>796</v>
      </c>
      <c r="B185" s="2" t="s">
        <v>0</v>
      </c>
      <c r="C185" s="2" t="s">
        <v>21</v>
      </c>
      <c r="D185" s="2" t="s">
        <v>446</v>
      </c>
      <c r="E185" s="2">
        <v>700</v>
      </c>
      <c r="F185" s="2">
        <v>1.6799999999999999E-2</v>
      </c>
      <c r="G185" s="2">
        <v>1.32E-2</v>
      </c>
      <c r="H185" s="4">
        <f t="shared" si="17"/>
        <v>0.21428571428571425</v>
      </c>
      <c r="I185" s="2" t="s">
        <v>98</v>
      </c>
      <c r="J185" s="2" t="s">
        <v>418</v>
      </c>
      <c r="K185" s="2" t="s">
        <v>105</v>
      </c>
      <c r="L185" s="2" t="s">
        <v>76</v>
      </c>
      <c r="M185" s="155"/>
      <c r="N185" s="155"/>
      <c r="O185" s="2">
        <v>6</v>
      </c>
      <c r="P185" s="6">
        <v>30</v>
      </c>
      <c r="Q185" s="132">
        <f t="shared" si="18"/>
        <v>8.2285714285714278</v>
      </c>
      <c r="R185" s="33">
        <f t="shared" si="19"/>
        <v>30.000000000000004</v>
      </c>
      <c r="S185" s="132">
        <f t="shared" si="20"/>
        <v>3.7500000000000004</v>
      </c>
      <c r="T185" s="132">
        <f t="shared" si="22"/>
        <v>3.7500000000000004</v>
      </c>
      <c r="W185" s="13"/>
      <c r="CH185" s="2"/>
    </row>
    <row r="186" spans="1:86" hidden="1" x14ac:dyDescent="0.3">
      <c r="A186" s="2">
        <v>797</v>
      </c>
      <c r="B186" s="2" t="s">
        <v>84</v>
      </c>
      <c r="C186" s="2" t="s">
        <v>21</v>
      </c>
      <c r="D186" s="123" t="s">
        <v>447</v>
      </c>
      <c r="E186" s="2">
        <v>840</v>
      </c>
      <c r="F186" s="2">
        <v>1.23E-2</v>
      </c>
      <c r="G186" s="2">
        <v>9.2999999999999992E-3</v>
      </c>
      <c r="H186" s="4">
        <f t="shared" si="17"/>
        <v>0.24390243902439032</v>
      </c>
      <c r="I186" s="123" t="s">
        <v>86</v>
      </c>
      <c r="J186" s="2" t="s">
        <v>315</v>
      </c>
      <c r="K186" s="2" t="s">
        <v>105</v>
      </c>
      <c r="L186" s="2" t="s">
        <v>76</v>
      </c>
      <c r="M186" s="155"/>
      <c r="N186" s="155"/>
      <c r="O186" s="2">
        <v>6</v>
      </c>
      <c r="P186" s="6"/>
      <c r="Q186" s="132" t="str">
        <f t="shared" si="18"/>
        <v/>
      </c>
      <c r="R186" s="33" t="str">
        <f t="shared" si="19"/>
        <v/>
      </c>
      <c r="S186" s="132" t="str">
        <f t="shared" si="20"/>
        <v/>
      </c>
      <c r="T186" s="132" t="str">
        <f t="shared" si="22"/>
        <v/>
      </c>
      <c r="W186" s="13"/>
      <c r="CH186" s="2"/>
    </row>
    <row r="187" spans="1:86" hidden="1" x14ac:dyDescent="0.3">
      <c r="A187" s="2">
        <v>798</v>
      </c>
      <c r="B187" s="2" t="s">
        <v>0</v>
      </c>
      <c r="C187" s="2" t="s">
        <v>21</v>
      </c>
      <c r="D187" s="2" t="s">
        <v>448</v>
      </c>
      <c r="E187" s="2">
        <v>840</v>
      </c>
      <c r="F187" s="2">
        <v>1.23E-2</v>
      </c>
      <c r="G187" s="2">
        <v>9.2999999999999992E-3</v>
      </c>
      <c r="H187" s="4">
        <f t="shared" si="17"/>
        <v>0.24390243902439032</v>
      </c>
      <c r="I187" s="2" t="s">
        <v>98</v>
      </c>
      <c r="J187" s="2" t="s">
        <v>412</v>
      </c>
      <c r="K187" s="2" t="s">
        <v>105</v>
      </c>
      <c r="L187" s="2" t="s">
        <v>76</v>
      </c>
      <c r="M187" s="155"/>
      <c r="N187" s="155"/>
      <c r="O187" s="2">
        <v>6</v>
      </c>
      <c r="P187" s="6">
        <v>30</v>
      </c>
      <c r="Q187" s="132">
        <f t="shared" si="18"/>
        <v>6.8571428571428568</v>
      </c>
      <c r="R187" s="33">
        <f t="shared" si="19"/>
        <v>30.000000000000004</v>
      </c>
      <c r="S187" s="132">
        <f t="shared" si="20"/>
        <v>3.7500000000000004</v>
      </c>
      <c r="T187" s="132">
        <f t="shared" si="22"/>
        <v>3.7500000000000004</v>
      </c>
      <c r="W187" s="13"/>
      <c r="CH187" s="2"/>
    </row>
    <row r="188" spans="1:86" hidden="1" x14ac:dyDescent="0.3">
      <c r="A188" s="23">
        <v>1135</v>
      </c>
      <c r="B188" s="2" t="s">
        <v>0</v>
      </c>
      <c r="C188" s="2" t="s">
        <v>21</v>
      </c>
      <c r="D188" s="2" t="s">
        <v>449</v>
      </c>
      <c r="E188" s="2">
        <v>500</v>
      </c>
      <c r="F188" s="2">
        <v>1.18E-2</v>
      </c>
      <c r="G188" s="2">
        <v>7.4999999999999997E-3</v>
      </c>
      <c r="H188" s="4">
        <f t="shared" si="17"/>
        <v>0.36440677966101698</v>
      </c>
      <c r="I188" s="2" t="s">
        <v>73</v>
      </c>
      <c r="J188" s="2" t="s">
        <v>74</v>
      </c>
      <c r="K188" s="23" t="s">
        <v>5</v>
      </c>
      <c r="L188" s="2" t="s">
        <v>6</v>
      </c>
      <c r="M188" s="155">
        <v>5</v>
      </c>
      <c r="N188" s="155">
        <v>100</v>
      </c>
      <c r="O188" s="2">
        <v>6</v>
      </c>
      <c r="P188" s="6">
        <v>40</v>
      </c>
      <c r="Q188" s="132">
        <f t="shared" si="18"/>
        <v>8.1</v>
      </c>
      <c r="R188" s="33">
        <f t="shared" si="19"/>
        <v>42.666666666666671</v>
      </c>
      <c r="S188" s="132">
        <f t="shared" si="20"/>
        <v>5.3333333333333339</v>
      </c>
      <c r="T188" s="132">
        <f t="shared" si="22"/>
        <v>5.3333333333333339</v>
      </c>
      <c r="W188" s="13"/>
      <c r="Z188" t="s">
        <v>359</v>
      </c>
      <c r="AD188" s="22">
        <v>45499</v>
      </c>
      <c r="AE188">
        <v>14</v>
      </c>
      <c r="AF188">
        <v>2.2999999999999998</v>
      </c>
      <c r="AG188">
        <v>0.5</v>
      </c>
      <c r="AH188">
        <v>2.2999999999999998</v>
      </c>
      <c r="AI188">
        <v>0.5</v>
      </c>
      <c r="AJ188">
        <v>1</v>
      </c>
      <c r="AK188">
        <v>0.16</v>
      </c>
      <c r="AL188">
        <v>0.17</v>
      </c>
      <c r="AM188">
        <v>0.4</v>
      </c>
      <c r="AN188" s="42">
        <v>0.25</v>
      </c>
      <c r="AO188">
        <v>8.1</v>
      </c>
      <c r="AP188">
        <v>54</v>
      </c>
      <c r="AQ188">
        <v>97</v>
      </c>
      <c r="AR188">
        <v>97</v>
      </c>
      <c r="AS188">
        <v>97</v>
      </c>
      <c r="AT188">
        <v>40</v>
      </c>
      <c r="AU188">
        <v>20</v>
      </c>
      <c r="AV188">
        <v>40</v>
      </c>
      <c r="AW188">
        <v>20</v>
      </c>
      <c r="AX188">
        <v>70</v>
      </c>
      <c r="AY188">
        <v>315</v>
      </c>
      <c r="AZ188" t="s">
        <v>78</v>
      </c>
      <c r="BA188">
        <v>900</v>
      </c>
      <c r="BB188">
        <v>10</v>
      </c>
      <c r="CH188" s="2"/>
    </row>
    <row r="189" spans="1:86" hidden="1" x14ac:dyDescent="0.3">
      <c r="A189" s="2">
        <v>856</v>
      </c>
      <c r="B189" s="2" t="s">
        <v>84</v>
      </c>
      <c r="C189" s="2" t="s">
        <v>21</v>
      </c>
      <c r="D189" s="123" t="s">
        <v>450</v>
      </c>
      <c r="E189" s="2">
        <v>500</v>
      </c>
      <c r="F189" s="2">
        <v>9.2999999999999992E-3</v>
      </c>
      <c r="G189" s="2">
        <v>5.4999999999999997E-3</v>
      </c>
      <c r="H189" s="4">
        <f t="shared" si="17"/>
        <v>0.40860215053763438</v>
      </c>
      <c r="I189" s="123" t="s">
        <v>86</v>
      </c>
      <c r="J189" s="2" t="s">
        <v>218</v>
      </c>
      <c r="K189" s="2" t="s">
        <v>90</v>
      </c>
      <c r="L189" s="2" t="s">
        <v>6</v>
      </c>
      <c r="M189" s="155"/>
      <c r="N189" s="155"/>
      <c r="O189" s="2">
        <v>6</v>
      </c>
      <c r="P189" s="6">
        <v>40</v>
      </c>
      <c r="Q189" s="132">
        <f t="shared" si="18"/>
        <v>8.64</v>
      </c>
      <c r="R189" s="33">
        <f t="shared" si="19"/>
        <v>40</v>
      </c>
      <c r="S189" s="132">
        <f t="shared" si="20"/>
        <v>5</v>
      </c>
      <c r="T189" s="132">
        <f t="shared" si="22"/>
        <v>5</v>
      </c>
      <c r="W189" s="13"/>
      <c r="CH189" s="2"/>
    </row>
    <row r="190" spans="1:86" hidden="1" x14ac:dyDescent="0.3">
      <c r="A190" s="23">
        <v>1136</v>
      </c>
      <c r="B190" s="2" t="s">
        <v>0</v>
      </c>
      <c r="C190" s="2" t="s">
        <v>21</v>
      </c>
      <c r="D190" s="2" t="s">
        <v>451</v>
      </c>
      <c r="E190" s="2">
        <v>500</v>
      </c>
      <c r="F190" s="2">
        <v>1.4200000000000001E-2</v>
      </c>
      <c r="G190" s="2">
        <v>8.8000000000000005E-3</v>
      </c>
      <c r="H190" s="4">
        <f t="shared" si="17"/>
        <v>0.38028169014084506</v>
      </c>
      <c r="I190" s="2" t="s">
        <v>73</v>
      </c>
      <c r="J190" s="2" t="s">
        <v>452</v>
      </c>
      <c r="K190" s="2" t="s">
        <v>5</v>
      </c>
      <c r="L190" s="2" t="s">
        <v>6</v>
      </c>
      <c r="M190" s="155">
        <v>5</v>
      </c>
      <c r="N190" s="155">
        <v>100</v>
      </c>
      <c r="O190" s="2">
        <v>6</v>
      </c>
      <c r="P190" s="6">
        <v>35</v>
      </c>
      <c r="Q190" s="132">
        <f t="shared" si="18"/>
        <v>7.3</v>
      </c>
      <c r="R190" s="33">
        <f t="shared" si="19"/>
        <v>47.342465753424662</v>
      </c>
      <c r="S190" s="132">
        <f t="shared" si="20"/>
        <v>5.9178082191780828</v>
      </c>
      <c r="T190" s="132">
        <f t="shared" si="22"/>
        <v>5.9178082191780828</v>
      </c>
      <c r="W190" s="13"/>
      <c r="Z190" t="s">
        <v>359</v>
      </c>
      <c r="AD190" s="22">
        <v>45532</v>
      </c>
      <c r="AE190">
        <v>14</v>
      </c>
      <c r="AF190">
        <v>2</v>
      </c>
      <c r="AG190">
        <v>0.4</v>
      </c>
      <c r="AH190">
        <v>2</v>
      </c>
      <c r="AI190">
        <v>0.4</v>
      </c>
      <c r="AJ190">
        <v>0.65</v>
      </c>
      <c r="AK190">
        <v>0.16</v>
      </c>
      <c r="AL190">
        <v>0.18</v>
      </c>
      <c r="AM190">
        <v>0.6</v>
      </c>
      <c r="AN190">
        <v>0.3</v>
      </c>
      <c r="AO190">
        <v>7.3</v>
      </c>
      <c r="AP190">
        <v>49</v>
      </c>
      <c r="AQ190">
        <v>95</v>
      </c>
      <c r="AR190">
        <v>95</v>
      </c>
      <c r="AS190">
        <v>95</v>
      </c>
      <c r="AT190">
        <v>45</v>
      </c>
      <c r="AU190">
        <v>20</v>
      </c>
      <c r="AV190">
        <v>40</v>
      </c>
      <c r="AW190">
        <v>20</v>
      </c>
      <c r="AX190">
        <v>70</v>
      </c>
      <c r="AY190">
        <v>315</v>
      </c>
      <c r="AZ190" t="s">
        <v>78</v>
      </c>
      <c r="BA190">
        <v>900</v>
      </c>
      <c r="BB190">
        <v>10</v>
      </c>
      <c r="BE190" s="116">
        <f>AO190/BQ190-1</f>
        <v>-8.7500000000000022E-2</v>
      </c>
      <c r="BF190" s="22">
        <v>45423</v>
      </c>
      <c r="BG190">
        <v>14</v>
      </c>
      <c r="BH190">
        <v>2</v>
      </c>
      <c r="BI190">
        <v>0.5</v>
      </c>
      <c r="BJ190">
        <v>2</v>
      </c>
      <c r="BK190">
        <v>0.5</v>
      </c>
      <c r="BL190">
        <v>1.2</v>
      </c>
      <c r="BM190">
        <v>0.15</v>
      </c>
      <c r="BN190">
        <v>0.17</v>
      </c>
      <c r="BO190">
        <v>0.6</v>
      </c>
      <c r="BP190">
        <v>0.3</v>
      </c>
      <c r="BQ190">
        <v>8</v>
      </c>
      <c r="BR190">
        <v>55</v>
      </c>
      <c r="BS190">
        <v>99</v>
      </c>
      <c r="BT190">
        <v>99</v>
      </c>
      <c r="BU190">
        <v>99</v>
      </c>
      <c r="BV190">
        <v>40</v>
      </c>
      <c r="BW190">
        <v>20</v>
      </c>
      <c r="BX190">
        <v>40</v>
      </c>
      <c r="BY190">
        <v>20</v>
      </c>
      <c r="BZ190">
        <v>100</v>
      </c>
      <c r="CA190">
        <v>315</v>
      </c>
      <c r="CB190" t="s">
        <v>78</v>
      </c>
      <c r="CC190">
        <v>700</v>
      </c>
      <c r="CD190">
        <v>10</v>
      </c>
      <c r="CH190" s="2"/>
    </row>
    <row r="191" spans="1:86" hidden="1" x14ac:dyDescent="0.3">
      <c r="A191" s="2">
        <v>858</v>
      </c>
      <c r="B191" s="2" t="s">
        <v>84</v>
      </c>
      <c r="C191" s="2" t="s">
        <v>21</v>
      </c>
      <c r="D191" s="123" t="s">
        <v>453</v>
      </c>
      <c r="E191" s="2">
        <v>500</v>
      </c>
      <c r="F191" s="2">
        <v>1.15E-2</v>
      </c>
      <c r="G191" s="2">
        <v>6.6E-3</v>
      </c>
      <c r="H191" s="4">
        <f t="shared" si="17"/>
        <v>0.42608695652173911</v>
      </c>
      <c r="I191" s="123" t="s">
        <v>86</v>
      </c>
      <c r="J191" s="2" t="s">
        <v>216</v>
      </c>
      <c r="K191" s="2" t="s">
        <v>90</v>
      </c>
      <c r="L191" s="2" t="s">
        <v>6</v>
      </c>
      <c r="M191" s="155"/>
      <c r="N191" s="155"/>
      <c r="O191" s="2">
        <v>6</v>
      </c>
      <c r="P191" s="6">
        <v>35</v>
      </c>
      <c r="Q191" s="132">
        <f t="shared" si="18"/>
        <v>9.8742857142857137</v>
      </c>
      <c r="R191" s="33">
        <f t="shared" si="19"/>
        <v>35.000000000000007</v>
      </c>
      <c r="S191" s="132">
        <f t="shared" si="20"/>
        <v>4.3750000000000009</v>
      </c>
      <c r="T191" s="132">
        <f t="shared" si="22"/>
        <v>4.3750000000000009</v>
      </c>
      <c r="W191" s="13"/>
      <c r="CH191" s="2"/>
    </row>
    <row r="192" spans="1:86" hidden="1" x14ac:dyDescent="0.3">
      <c r="A192" s="2">
        <v>869</v>
      </c>
      <c r="B192" s="2" t="s">
        <v>0</v>
      </c>
      <c r="C192" s="2" t="s">
        <v>21</v>
      </c>
      <c r="D192" s="2" t="s">
        <v>454</v>
      </c>
      <c r="E192" s="2">
        <v>540</v>
      </c>
      <c r="F192" s="2">
        <v>2.53E-2</v>
      </c>
      <c r="G192" s="2">
        <v>1.55E-2</v>
      </c>
      <c r="H192" s="4">
        <f t="shared" si="17"/>
        <v>0.38735177865612647</v>
      </c>
      <c r="I192" s="2" t="s">
        <v>455</v>
      </c>
      <c r="J192" s="2" t="s">
        <v>456</v>
      </c>
      <c r="K192" s="2" t="s">
        <v>200</v>
      </c>
      <c r="L192" s="2" t="s">
        <v>76</v>
      </c>
      <c r="M192" s="155"/>
      <c r="N192" s="155"/>
      <c r="O192" s="2">
        <v>6</v>
      </c>
      <c r="P192" s="6">
        <v>30</v>
      </c>
      <c r="Q192" s="132">
        <f t="shared" si="18"/>
        <v>10.666666666666666</v>
      </c>
      <c r="R192" s="33">
        <f t="shared" si="19"/>
        <v>30</v>
      </c>
      <c r="S192" s="132">
        <f t="shared" si="20"/>
        <v>3.75</v>
      </c>
      <c r="T192" s="132">
        <f t="shared" si="22"/>
        <v>3.75</v>
      </c>
      <c r="W192" s="13"/>
      <c r="CH192" s="2"/>
    </row>
    <row r="193" spans="1:86" hidden="1" x14ac:dyDescent="0.3">
      <c r="A193" s="2">
        <v>870</v>
      </c>
      <c r="B193" s="2" t="s">
        <v>0</v>
      </c>
      <c r="C193" s="2" t="s">
        <v>21</v>
      </c>
      <c r="D193" s="2" t="s">
        <v>457</v>
      </c>
      <c r="E193" s="2">
        <v>540</v>
      </c>
      <c r="F193" s="2">
        <v>2.53E-2</v>
      </c>
      <c r="G193" s="2">
        <v>1.55E-2</v>
      </c>
      <c r="H193" s="4">
        <f t="shared" si="17"/>
        <v>0.38735177865612647</v>
      </c>
      <c r="I193" s="2" t="s">
        <v>455</v>
      </c>
      <c r="J193" s="2" t="s">
        <v>456</v>
      </c>
      <c r="K193" s="2" t="s">
        <v>200</v>
      </c>
      <c r="L193" s="2" t="s">
        <v>76</v>
      </c>
      <c r="M193" s="155"/>
      <c r="N193" s="155"/>
      <c r="O193" s="2">
        <v>6</v>
      </c>
      <c r="P193" s="6">
        <v>35</v>
      </c>
      <c r="Q193" s="132">
        <f t="shared" si="18"/>
        <v>9.1428571428571423</v>
      </c>
      <c r="R193" s="33">
        <f t="shared" si="19"/>
        <v>35</v>
      </c>
      <c r="S193" s="132">
        <f t="shared" si="20"/>
        <v>4.375</v>
      </c>
      <c r="T193" s="132">
        <f t="shared" si="22"/>
        <v>4.375</v>
      </c>
      <c r="W193" s="13"/>
      <c r="CH193" s="2"/>
    </row>
    <row r="194" spans="1:86" hidden="1" x14ac:dyDescent="0.3">
      <c r="A194" s="2">
        <v>206</v>
      </c>
      <c r="B194" s="2" t="s">
        <v>0</v>
      </c>
      <c r="C194" s="2" t="s">
        <v>21</v>
      </c>
      <c r="D194" s="2" t="s">
        <v>458</v>
      </c>
      <c r="E194" s="2">
        <v>1600</v>
      </c>
      <c r="F194" s="2">
        <v>8.8999999999999999E-3</v>
      </c>
      <c r="G194" s="2">
        <v>6.8999999999999999E-3</v>
      </c>
      <c r="H194" s="4">
        <f t="shared" si="17"/>
        <v>0.2247191011235955</v>
      </c>
      <c r="I194" s="2" t="s">
        <v>82</v>
      </c>
      <c r="J194" s="2" t="s">
        <v>134</v>
      </c>
      <c r="K194" s="2" t="s">
        <v>105</v>
      </c>
      <c r="L194" s="2" t="s">
        <v>76</v>
      </c>
      <c r="M194" s="155"/>
      <c r="N194" s="155"/>
      <c r="O194" s="2">
        <v>10</v>
      </c>
      <c r="P194" s="6">
        <v>20</v>
      </c>
      <c r="Q194" s="132">
        <f t="shared" si="18"/>
        <v>9</v>
      </c>
      <c r="R194" s="33">
        <f t="shared" si="19"/>
        <v>20</v>
      </c>
      <c r="S194" s="132">
        <f t="shared" si="20"/>
        <v>2.5</v>
      </c>
      <c r="T194" s="132">
        <f t="shared" si="22"/>
        <v>2.5</v>
      </c>
      <c r="W194" s="13"/>
      <c r="CH194" s="2"/>
    </row>
    <row r="195" spans="1:86" hidden="1" x14ac:dyDescent="0.3">
      <c r="A195" s="2">
        <v>900</v>
      </c>
      <c r="B195" s="2" t="s">
        <v>84</v>
      </c>
      <c r="C195" s="2" t="s">
        <v>21</v>
      </c>
      <c r="D195" s="123" t="s">
        <v>459</v>
      </c>
      <c r="E195" s="2">
        <v>1650</v>
      </c>
      <c r="F195" s="2">
        <v>7.0000000000000001E-3</v>
      </c>
      <c r="G195" s="2">
        <v>5.4000000000000003E-3</v>
      </c>
      <c r="H195" s="4">
        <f t="shared" si="17"/>
        <v>0.22857142857142854</v>
      </c>
      <c r="I195" s="123" t="s">
        <v>86</v>
      </c>
      <c r="J195" s="2" t="s">
        <v>136</v>
      </c>
      <c r="K195" s="2" t="s">
        <v>105</v>
      </c>
      <c r="L195" s="2" t="s">
        <v>76</v>
      </c>
      <c r="M195" s="155"/>
      <c r="N195" s="155"/>
      <c r="O195" s="2">
        <v>10</v>
      </c>
      <c r="P195" s="6"/>
      <c r="Q195" s="132" t="str">
        <f t="shared" si="18"/>
        <v/>
      </c>
      <c r="R195" s="33" t="str">
        <f t="shared" si="19"/>
        <v/>
      </c>
      <c r="S195" s="132" t="str">
        <f t="shared" si="20"/>
        <v/>
      </c>
      <c r="T195" s="132" t="str">
        <f t="shared" si="22"/>
        <v/>
      </c>
      <c r="W195" s="13"/>
      <c r="CH195" s="2"/>
    </row>
    <row r="196" spans="1:86" hidden="1" x14ac:dyDescent="0.3">
      <c r="A196" s="2">
        <v>901</v>
      </c>
      <c r="B196" s="2" t="s">
        <v>0</v>
      </c>
      <c r="C196" s="2" t="s">
        <v>21</v>
      </c>
      <c r="D196" s="2" t="s">
        <v>460</v>
      </c>
      <c r="E196" s="2">
        <v>1500</v>
      </c>
      <c r="F196" s="2">
        <v>9.7000000000000003E-3</v>
      </c>
      <c r="G196" s="2">
        <v>6.4000000000000003E-3</v>
      </c>
      <c r="H196" s="4">
        <f t="shared" si="17"/>
        <v>0.34020618556701032</v>
      </c>
      <c r="I196" s="2" t="s">
        <v>98</v>
      </c>
      <c r="J196" s="2" t="s">
        <v>194</v>
      </c>
      <c r="K196" s="2" t="s">
        <v>105</v>
      </c>
      <c r="L196" s="2" t="s">
        <v>76</v>
      </c>
      <c r="M196" s="155"/>
      <c r="N196" s="155"/>
      <c r="O196" s="2">
        <v>10</v>
      </c>
      <c r="P196" s="6">
        <v>25</v>
      </c>
      <c r="Q196" s="132">
        <f t="shared" si="18"/>
        <v>7.68</v>
      </c>
      <c r="R196" s="33">
        <f t="shared" si="19"/>
        <v>25</v>
      </c>
      <c r="S196" s="132">
        <f t="shared" si="20"/>
        <v>3.125</v>
      </c>
      <c r="T196" s="132">
        <f t="shared" si="22"/>
        <v>3.125</v>
      </c>
      <c r="W196" s="13"/>
      <c r="CH196" s="2"/>
    </row>
    <row r="197" spans="1:86" hidden="1" x14ac:dyDescent="0.3">
      <c r="A197" s="2">
        <v>907</v>
      </c>
      <c r="B197" s="2" t="s">
        <v>84</v>
      </c>
      <c r="C197" s="2" t="s">
        <v>21</v>
      </c>
      <c r="D197" s="2" t="s">
        <v>461</v>
      </c>
      <c r="E197" s="2">
        <v>750</v>
      </c>
      <c r="F197" s="2">
        <v>1.09E-2</v>
      </c>
      <c r="G197" s="2">
        <v>9.1000000000000004E-3</v>
      </c>
      <c r="H197" s="4">
        <f t="shared" si="17"/>
        <v>0.16513761467889904</v>
      </c>
      <c r="I197" s="2" t="s">
        <v>98</v>
      </c>
      <c r="J197" s="2" t="s">
        <v>418</v>
      </c>
      <c r="K197" s="2" t="s">
        <v>105</v>
      </c>
      <c r="L197" s="2" t="s">
        <v>76</v>
      </c>
      <c r="M197" s="155"/>
      <c r="N197" s="155"/>
      <c r="O197" s="2">
        <v>8</v>
      </c>
      <c r="P197" s="6">
        <v>45</v>
      </c>
      <c r="Q197" s="132">
        <f t="shared" si="18"/>
        <v>6.8266666666666671</v>
      </c>
      <c r="R197" s="33">
        <f t="shared" si="19"/>
        <v>44.999999999999993</v>
      </c>
      <c r="S197" s="132">
        <f t="shared" si="20"/>
        <v>5.6249999999999991</v>
      </c>
      <c r="T197" s="132">
        <f t="shared" si="22"/>
        <v>5.6249999999999991</v>
      </c>
      <c r="W197" s="13"/>
      <c r="CH197" s="2"/>
    </row>
    <row r="198" spans="1:86" hidden="1" x14ac:dyDescent="0.3">
      <c r="A198" s="2">
        <v>1895</v>
      </c>
      <c r="B198" s="2" t="s">
        <v>0</v>
      </c>
      <c r="C198" s="2" t="s">
        <v>21</v>
      </c>
      <c r="D198" s="2" t="s">
        <v>462</v>
      </c>
      <c r="E198" s="2">
        <v>850</v>
      </c>
      <c r="F198" s="2">
        <v>9.4999999999999998E-3</v>
      </c>
      <c r="G198" s="2">
        <v>7.4000000000000003E-3</v>
      </c>
      <c r="H198" s="4">
        <f t="shared" si="17"/>
        <v>0.22105263157894731</v>
      </c>
      <c r="I198" s="2" t="s">
        <v>73</v>
      </c>
      <c r="J198" s="2" t="s">
        <v>356</v>
      </c>
      <c r="K198" s="2" t="s">
        <v>357</v>
      </c>
      <c r="L198" s="2" t="s">
        <v>6</v>
      </c>
      <c r="M198" s="155" t="s">
        <v>463</v>
      </c>
      <c r="N198" s="155"/>
      <c r="O198" s="2">
        <v>6</v>
      </c>
      <c r="P198" s="6">
        <v>25</v>
      </c>
      <c r="Q198" s="132">
        <f t="shared" si="18"/>
        <v>8.1317647058823521</v>
      </c>
      <c r="R198" s="33">
        <f t="shared" si="19"/>
        <v>25</v>
      </c>
      <c r="S198" s="132">
        <f t="shared" si="20"/>
        <v>3.125</v>
      </c>
      <c r="T198" s="132">
        <f t="shared" si="22"/>
        <v>3.125</v>
      </c>
      <c r="W198" s="13"/>
      <c r="CH198" s="2"/>
    </row>
    <row r="199" spans="1:86" hidden="1" x14ac:dyDescent="0.3">
      <c r="A199" s="2">
        <v>13</v>
      </c>
      <c r="B199" s="2" t="s">
        <v>84</v>
      </c>
      <c r="C199" s="2" t="s">
        <v>21</v>
      </c>
      <c r="D199" s="2" t="s">
        <v>464</v>
      </c>
      <c r="E199" s="2">
        <v>1000</v>
      </c>
      <c r="F199" s="2">
        <v>1.6899999999999998E-2</v>
      </c>
      <c r="G199" s="2"/>
      <c r="H199" s="4">
        <f t="shared" si="17"/>
        <v>1</v>
      </c>
      <c r="I199" s="2" t="s">
        <v>370</v>
      </c>
      <c r="J199" s="2" t="s">
        <v>373</v>
      </c>
      <c r="K199" s="2" t="s">
        <v>222</v>
      </c>
      <c r="L199" s="2" t="s">
        <v>76</v>
      </c>
      <c r="M199" s="155"/>
      <c r="N199" s="155"/>
      <c r="O199" s="2">
        <v>6</v>
      </c>
      <c r="P199" s="6"/>
      <c r="Q199" s="132" t="str">
        <f t="shared" si="18"/>
        <v/>
      </c>
      <c r="R199" s="33" t="str">
        <f t="shared" si="19"/>
        <v/>
      </c>
      <c r="S199" s="132" t="str">
        <f t="shared" si="20"/>
        <v/>
      </c>
      <c r="T199" s="132" t="str">
        <f t="shared" si="22"/>
        <v/>
      </c>
      <c r="W199" s="13"/>
      <c r="Y199"/>
      <c r="CH199" s="2"/>
    </row>
    <row r="200" spans="1:86" hidden="1" x14ac:dyDescent="0.3">
      <c r="A200" s="2">
        <v>915</v>
      </c>
      <c r="B200" s="2" t="s">
        <v>84</v>
      </c>
      <c r="C200" s="2" t="s">
        <v>21</v>
      </c>
      <c r="D200" s="123" t="s">
        <v>465</v>
      </c>
      <c r="E200" s="2">
        <v>600</v>
      </c>
      <c r="F200" s="2">
        <v>3.1699999999999999E-2</v>
      </c>
      <c r="G200" s="2">
        <v>2.24E-2</v>
      </c>
      <c r="H200" s="4">
        <f t="shared" si="17"/>
        <v>0.29337539432176657</v>
      </c>
      <c r="I200" s="123" t="s">
        <v>86</v>
      </c>
      <c r="J200" s="2" t="s">
        <v>87</v>
      </c>
      <c r="K200" s="2" t="s">
        <v>222</v>
      </c>
      <c r="L200" s="2" t="s">
        <v>76</v>
      </c>
      <c r="M200" s="155"/>
      <c r="N200" s="155"/>
      <c r="O200" s="2">
        <v>2</v>
      </c>
      <c r="P200" s="6"/>
      <c r="Q200" s="132" t="str">
        <f t="shared" si="18"/>
        <v/>
      </c>
      <c r="R200" s="33" t="str">
        <f t="shared" si="19"/>
        <v/>
      </c>
      <c r="S200" s="132" t="str">
        <f t="shared" si="20"/>
        <v/>
      </c>
      <c r="T200" s="132" t="str">
        <f t="shared" si="22"/>
        <v/>
      </c>
      <c r="W200" s="13"/>
      <c r="CH200" s="2"/>
    </row>
    <row r="201" spans="1:86" hidden="1" x14ac:dyDescent="0.3">
      <c r="A201" s="2">
        <v>1030</v>
      </c>
      <c r="B201" s="2" t="s">
        <v>0</v>
      </c>
      <c r="C201" s="2" t="s">
        <v>21</v>
      </c>
      <c r="D201" s="2" t="s">
        <v>466</v>
      </c>
      <c r="E201" s="2">
        <v>400</v>
      </c>
      <c r="F201" s="2">
        <v>3.6799999999999999E-2</v>
      </c>
      <c r="G201" s="2">
        <v>2.6599999999999999E-2</v>
      </c>
      <c r="H201" s="4">
        <f t="shared" si="17"/>
        <v>0.27717391304347827</v>
      </c>
      <c r="I201" s="2" t="s">
        <v>82</v>
      </c>
      <c r="J201" s="2" t="s">
        <v>467</v>
      </c>
      <c r="K201" s="2" t="s">
        <v>222</v>
      </c>
      <c r="L201" s="2" t="s">
        <v>76</v>
      </c>
      <c r="M201" s="155"/>
      <c r="N201" s="155"/>
      <c r="O201" s="2">
        <v>2</v>
      </c>
      <c r="P201" s="6">
        <v>18</v>
      </c>
      <c r="Q201" s="132">
        <f t="shared" si="18"/>
        <v>8</v>
      </c>
      <c r="R201" s="33">
        <f t="shared" si="19"/>
        <v>18</v>
      </c>
      <c r="S201" s="132">
        <f t="shared" si="20"/>
        <v>2.25</v>
      </c>
      <c r="T201" s="132">
        <f t="shared" si="22"/>
        <v>2.25</v>
      </c>
      <c r="W201" s="13"/>
      <c r="CH201" s="2"/>
    </row>
    <row r="202" spans="1:86" hidden="1" x14ac:dyDescent="0.3">
      <c r="A202" s="23">
        <v>1093</v>
      </c>
      <c r="B202" s="93" t="s">
        <v>0</v>
      </c>
      <c r="C202" s="93" t="s">
        <v>21</v>
      </c>
      <c r="D202" s="93" t="s">
        <v>468</v>
      </c>
      <c r="E202" s="93">
        <v>300</v>
      </c>
      <c r="F202" s="2">
        <v>1.09E-2</v>
      </c>
      <c r="G202" s="2">
        <v>6.4000000000000003E-3</v>
      </c>
      <c r="H202" s="4">
        <f t="shared" si="17"/>
        <v>0.41284403669724767</v>
      </c>
      <c r="I202" s="2" t="s">
        <v>82</v>
      </c>
      <c r="J202" s="2" t="s">
        <v>134</v>
      </c>
      <c r="K202" s="2" t="s">
        <v>469</v>
      </c>
      <c r="L202" s="2" t="s">
        <v>6</v>
      </c>
      <c r="M202" s="155">
        <v>4</v>
      </c>
      <c r="N202" s="155">
        <v>75</v>
      </c>
      <c r="O202" s="2">
        <v>6</v>
      </c>
      <c r="P202" s="6">
        <v>75</v>
      </c>
      <c r="Q202" s="132">
        <f t="shared" si="18"/>
        <v>5.8</v>
      </c>
      <c r="R202" s="33">
        <f t="shared" si="19"/>
        <v>99.310344827586206</v>
      </c>
      <c r="S202" s="132">
        <f t="shared" si="20"/>
        <v>12.413793103448276</v>
      </c>
      <c r="T202" s="132">
        <f t="shared" si="22"/>
        <v>12.413793103448276</v>
      </c>
      <c r="W202" s="13"/>
      <c r="AD202" s="24">
        <v>45518</v>
      </c>
      <c r="AE202">
        <v>12</v>
      </c>
      <c r="AF202">
        <v>1.5</v>
      </c>
      <c r="AG202">
        <v>0.4</v>
      </c>
      <c r="AH202">
        <v>1.5</v>
      </c>
      <c r="AI202">
        <v>0.4</v>
      </c>
      <c r="AJ202">
        <v>0.6</v>
      </c>
      <c r="AK202">
        <v>0.18</v>
      </c>
      <c r="AL202">
        <v>0.18</v>
      </c>
      <c r="AM202">
        <v>0.5</v>
      </c>
      <c r="AN202">
        <v>0.3</v>
      </c>
      <c r="AO202">
        <v>5.8</v>
      </c>
      <c r="AP202">
        <v>52</v>
      </c>
      <c r="AQ202">
        <v>102</v>
      </c>
      <c r="AR202">
        <v>102</v>
      </c>
      <c r="AS202">
        <v>102</v>
      </c>
      <c r="AT202">
        <v>40</v>
      </c>
      <c r="AU202">
        <v>38</v>
      </c>
      <c r="AV202">
        <v>40</v>
      </c>
      <c r="AW202">
        <v>40</v>
      </c>
      <c r="AX202">
        <v>101</v>
      </c>
      <c r="AY202">
        <v>326</v>
      </c>
      <c r="AZ202" t="s">
        <v>78</v>
      </c>
      <c r="BA202">
        <v>2400</v>
      </c>
      <c r="BB202">
        <v>10</v>
      </c>
      <c r="BE202" s="116">
        <f>AO202/BQ202-1</f>
        <v>-0.1470588235294118</v>
      </c>
      <c r="BF202" s="24">
        <v>45348</v>
      </c>
      <c r="BG202">
        <v>12</v>
      </c>
      <c r="BH202">
        <v>2</v>
      </c>
      <c r="BI202">
        <v>1.1000000000000001</v>
      </c>
      <c r="BJ202">
        <v>2.1</v>
      </c>
      <c r="BK202">
        <v>1.1000000000000001</v>
      </c>
      <c r="BL202">
        <v>0.25</v>
      </c>
      <c r="BM202">
        <v>0.15</v>
      </c>
      <c r="BN202">
        <v>0.18</v>
      </c>
      <c r="BO202">
        <v>0.35</v>
      </c>
      <c r="BP202">
        <v>0.25</v>
      </c>
      <c r="BQ202">
        <v>6.8</v>
      </c>
      <c r="BR202">
        <v>41</v>
      </c>
      <c r="BS202">
        <v>97</v>
      </c>
      <c r="BT202">
        <v>98</v>
      </c>
      <c r="BU202">
        <v>98</v>
      </c>
      <c r="BV202">
        <v>44</v>
      </c>
      <c r="BW202">
        <v>38</v>
      </c>
      <c r="BX202">
        <v>40</v>
      </c>
      <c r="BY202">
        <v>40</v>
      </c>
      <c r="BZ202">
        <v>67</v>
      </c>
      <c r="CA202">
        <v>328</v>
      </c>
      <c r="CB202" t="s">
        <v>78</v>
      </c>
      <c r="CC202">
        <v>2550</v>
      </c>
      <c r="CD202">
        <v>10</v>
      </c>
      <c r="CH202" s="2"/>
    </row>
    <row r="203" spans="1:86" hidden="1" x14ac:dyDescent="0.3">
      <c r="A203" s="2">
        <v>1076</v>
      </c>
      <c r="B203" s="2" t="s">
        <v>84</v>
      </c>
      <c r="C203" s="2" t="s">
        <v>21</v>
      </c>
      <c r="D203" s="123" t="s">
        <v>470</v>
      </c>
      <c r="E203" s="2">
        <v>240</v>
      </c>
      <c r="F203" s="2">
        <v>1.29E-2</v>
      </c>
      <c r="G203" s="2">
        <v>9.2999999999999992E-3</v>
      </c>
      <c r="H203" s="4">
        <f t="shared" si="17"/>
        <v>0.27906976744186052</v>
      </c>
      <c r="I203" s="123" t="s">
        <v>86</v>
      </c>
      <c r="J203" s="2" t="s">
        <v>291</v>
      </c>
      <c r="K203" s="2" t="s">
        <v>471</v>
      </c>
      <c r="L203" s="2" t="s">
        <v>6</v>
      </c>
      <c r="M203" s="155"/>
      <c r="N203" s="155"/>
      <c r="O203" s="2">
        <v>6</v>
      </c>
      <c r="P203" s="6"/>
      <c r="Q203" s="132" t="str">
        <f t="shared" si="18"/>
        <v/>
      </c>
      <c r="R203" s="33" t="str">
        <f t="shared" si="19"/>
        <v/>
      </c>
      <c r="S203" s="132" t="str">
        <f t="shared" si="20"/>
        <v/>
      </c>
      <c r="T203" s="132" t="str">
        <f t="shared" si="22"/>
        <v/>
      </c>
      <c r="W203" s="13"/>
      <c r="CH203" s="2"/>
    </row>
    <row r="204" spans="1:86" hidden="1" x14ac:dyDescent="0.3">
      <c r="A204" s="23">
        <v>1078</v>
      </c>
      <c r="B204" s="2" t="s">
        <v>0</v>
      </c>
      <c r="C204" s="2" t="s">
        <v>21</v>
      </c>
      <c r="D204" s="2" t="s">
        <v>470</v>
      </c>
      <c r="E204" s="2">
        <v>240</v>
      </c>
      <c r="F204" s="2">
        <v>1.37E-2</v>
      </c>
      <c r="G204" s="2">
        <v>9.9000000000000008E-3</v>
      </c>
      <c r="H204" s="91">
        <f t="shared" ref="H204:H244" si="23">(F204-G204)/F204</f>
        <v>0.27737226277372257</v>
      </c>
      <c r="I204" s="2" t="s">
        <v>82</v>
      </c>
      <c r="J204" s="2" t="s">
        <v>174</v>
      </c>
      <c r="K204" s="2" t="s">
        <v>471</v>
      </c>
      <c r="L204" s="2" t="s">
        <v>6</v>
      </c>
      <c r="M204" s="155">
        <v>4</v>
      </c>
      <c r="N204" s="155">
        <v>60</v>
      </c>
      <c r="O204" s="2">
        <v>6</v>
      </c>
      <c r="P204" s="6">
        <v>70</v>
      </c>
      <c r="Q204" s="132">
        <v>6.8</v>
      </c>
      <c r="R204" s="33">
        <f t="shared" si="19"/>
        <v>105.88235294117648</v>
      </c>
      <c r="S204" s="132">
        <f t="shared" si="20"/>
        <v>13.23529411764706</v>
      </c>
      <c r="T204" s="132">
        <f t="shared" si="22"/>
        <v>13.23529411764706</v>
      </c>
      <c r="W204" s="13"/>
      <c r="AD204" s="24">
        <v>45519</v>
      </c>
      <c r="AE204">
        <v>12</v>
      </c>
      <c r="AF204">
        <v>1.2</v>
      </c>
      <c r="AG204">
        <v>0.6</v>
      </c>
      <c r="AH204">
        <v>2.5</v>
      </c>
      <c r="AI204">
        <v>0.6</v>
      </c>
      <c r="AJ204">
        <v>0.5</v>
      </c>
      <c r="AK204">
        <v>0.23</v>
      </c>
      <c r="AL204">
        <v>0.18</v>
      </c>
      <c r="AM204">
        <v>0.4</v>
      </c>
      <c r="AN204">
        <v>0.25</v>
      </c>
      <c r="AO204">
        <v>6.8</v>
      </c>
      <c r="AP204">
        <v>49</v>
      </c>
      <c r="AQ204">
        <v>106</v>
      </c>
      <c r="AR204">
        <v>106</v>
      </c>
      <c r="AS204">
        <v>106</v>
      </c>
      <c r="AT204">
        <v>41</v>
      </c>
      <c r="AU204">
        <v>30</v>
      </c>
      <c r="AV204">
        <v>40</v>
      </c>
      <c r="AW204">
        <v>40</v>
      </c>
      <c r="AX204">
        <v>101</v>
      </c>
      <c r="AY204">
        <v>405</v>
      </c>
      <c r="AZ204" t="s">
        <v>78</v>
      </c>
      <c r="BA204">
        <v>2000</v>
      </c>
      <c r="BB204">
        <v>10</v>
      </c>
      <c r="BE204" s="116">
        <f>AO204/BQ204-1</f>
        <v>-0.49629629629629635</v>
      </c>
      <c r="BF204" s="22">
        <v>45366</v>
      </c>
      <c r="BG204">
        <v>15</v>
      </c>
      <c r="BH204">
        <v>3</v>
      </c>
      <c r="BI204">
        <v>2.5</v>
      </c>
      <c r="BJ204">
        <v>3.8</v>
      </c>
      <c r="BK204">
        <v>2</v>
      </c>
      <c r="BL204">
        <v>0.35</v>
      </c>
      <c r="BM204">
        <v>0.21</v>
      </c>
      <c r="BN204">
        <v>0.18</v>
      </c>
      <c r="BO204">
        <v>0.55000000000000004</v>
      </c>
      <c r="BP204">
        <v>0.57999999999999996</v>
      </c>
      <c r="BQ204">
        <v>13.5</v>
      </c>
      <c r="BR204">
        <v>50</v>
      </c>
      <c r="BS204">
        <v>125</v>
      </c>
      <c r="BT204">
        <v>125</v>
      </c>
      <c r="BU204">
        <v>128</v>
      </c>
      <c r="BV204">
        <v>50</v>
      </c>
      <c r="BW204">
        <v>20</v>
      </c>
      <c r="BX204">
        <v>40</v>
      </c>
      <c r="BY204">
        <v>20</v>
      </c>
      <c r="BZ204">
        <v>100</v>
      </c>
      <c r="CA204">
        <v>392</v>
      </c>
      <c r="CB204" t="s">
        <v>78</v>
      </c>
      <c r="CC204">
        <v>1000</v>
      </c>
      <c r="CD204">
        <v>10</v>
      </c>
      <c r="CH204" s="2"/>
    </row>
    <row r="205" spans="1:86" hidden="1" x14ac:dyDescent="0.3">
      <c r="A205" s="2">
        <v>1072</v>
      </c>
      <c r="B205" s="2" t="s">
        <v>0</v>
      </c>
      <c r="C205" s="2" t="s">
        <v>21</v>
      </c>
      <c r="D205" s="2" t="s">
        <v>472</v>
      </c>
      <c r="E205" s="2">
        <v>240</v>
      </c>
      <c r="F205" s="2">
        <v>1.37E-2</v>
      </c>
      <c r="G205" s="2">
        <v>9.9000000000000008E-3</v>
      </c>
      <c r="H205" s="4">
        <f t="shared" si="23"/>
        <v>0.27737226277372257</v>
      </c>
      <c r="I205" s="2" t="s">
        <v>82</v>
      </c>
      <c r="J205" s="2" t="s">
        <v>174</v>
      </c>
      <c r="K205" s="2" t="s">
        <v>471</v>
      </c>
      <c r="L205" s="2" t="s">
        <v>6</v>
      </c>
      <c r="M205" s="155"/>
      <c r="N205" s="155"/>
      <c r="O205" s="2">
        <v>6</v>
      </c>
      <c r="P205" s="6">
        <v>70</v>
      </c>
      <c r="Q205" s="132">
        <f t="shared" ref="Q205:Q238" si="24">IFERROR(IF(AO205&gt;1,AO205,60*60*8*O205/P205/E205),"")</f>
        <v>10.285714285714285</v>
      </c>
      <c r="R205" s="33">
        <f t="shared" si="19"/>
        <v>70</v>
      </c>
      <c r="S205" s="132">
        <f t="shared" si="20"/>
        <v>8.75</v>
      </c>
      <c r="T205" s="132">
        <f t="shared" si="22"/>
        <v>8.75</v>
      </c>
      <c r="W205" s="13"/>
      <c r="CH205" s="2"/>
    </row>
    <row r="206" spans="1:86" hidden="1" x14ac:dyDescent="0.3">
      <c r="A206" s="23">
        <v>1075</v>
      </c>
      <c r="B206" s="2" t="s">
        <v>0</v>
      </c>
      <c r="C206" s="2" t="s">
        <v>21</v>
      </c>
      <c r="D206" s="2" t="s">
        <v>473</v>
      </c>
      <c r="E206" s="2">
        <v>240</v>
      </c>
      <c r="F206" s="2">
        <v>1.29E-2</v>
      </c>
      <c r="G206" s="2">
        <v>9.2999999999999992E-3</v>
      </c>
      <c r="H206" s="91">
        <f t="shared" si="23"/>
        <v>0.27906976744186052</v>
      </c>
      <c r="I206" s="2" t="s">
        <v>98</v>
      </c>
      <c r="J206" s="2" t="s">
        <v>474</v>
      </c>
      <c r="K206" s="2" t="s">
        <v>471</v>
      </c>
      <c r="L206" s="2" t="s">
        <v>6</v>
      </c>
      <c r="M206" s="155">
        <v>4</v>
      </c>
      <c r="N206" s="155">
        <v>60</v>
      </c>
      <c r="O206" s="2">
        <v>6</v>
      </c>
      <c r="P206" s="6">
        <v>70</v>
      </c>
      <c r="Q206" s="132">
        <f t="shared" si="24"/>
        <v>6.8</v>
      </c>
      <c r="R206" s="33">
        <f t="shared" si="19"/>
        <v>105.88235294117648</v>
      </c>
      <c r="S206" s="132">
        <f t="shared" si="20"/>
        <v>13.23529411764706</v>
      </c>
      <c r="T206" s="132">
        <f t="shared" si="22"/>
        <v>13.23529411764706</v>
      </c>
      <c r="W206" s="13"/>
      <c r="AD206" s="24">
        <v>45524</v>
      </c>
      <c r="AE206">
        <v>12</v>
      </c>
      <c r="AF206">
        <v>1.8</v>
      </c>
      <c r="AG206">
        <v>0.5</v>
      </c>
      <c r="AH206">
        <v>2.2000000000000002</v>
      </c>
      <c r="AI206">
        <v>0.7</v>
      </c>
      <c r="AJ206">
        <v>0.18</v>
      </c>
      <c r="AK206">
        <v>0.1</v>
      </c>
      <c r="AL206">
        <v>0.33</v>
      </c>
      <c r="AM206">
        <v>0.35</v>
      </c>
      <c r="AN206">
        <v>0.25</v>
      </c>
      <c r="AO206">
        <v>6.8</v>
      </c>
      <c r="AP206">
        <v>34</v>
      </c>
      <c r="AQ206">
        <v>144</v>
      </c>
      <c r="AR206">
        <v>139</v>
      </c>
      <c r="AS206">
        <v>142</v>
      </c>
      <c r="AT206">
        <v>80</v>
      </c>
      <c r="AU206">
        <v>30</v>
      </c>
      <c r="AV206">
        <v>40</v>
      </c>
      <c r="AW206">
        <v>40</v>
      </c>
      <c r="AX206">
        <v>101</v>
      </c>
      <c r="AY206">
        <v>1110</v>
      </c>
      <c r="AZ206" t="s">
        <v>78</v>
      </c>
      <c r="BA206">
        <v>1300</v>
      </c>
      <c r="BB206">
        <v>10</v>
      </c>
      <c r="BE206" s="116">
        <f>AO206/BQ206-1</f>
        <v>-0.26086956521739124</v>
      </c>
      <c r="BF206" s="24">
        <v>45524</v>
      </c>
      <c r="BG206">
        <v>12</v>
      </c>
      <c r="BH206">
        <v>3.4</v>
      </c>
      <c r="BI206">
        <v>0.4</v>
      </c>
      <c r="BJ206">
        <v>3.4</v>
      </c>
      <c r="BK206">
        <v>0.4</v>
      </c>
      <c r="BL206">
        <v>0.2</v>
      </c>
      <c r="BM206">
        <v>0.1</v>
      </c>
      <c r="BN206">
        <v>0.18</v>
      </c>
      <c r="BO206">
        <v>0.32</v>
      </c>
      <c r="BP206">
        <v>0.25</v>
      </c>
      <c r="BQ206">
        <v>9.1999999999999993</v>
      </c>
      <c r="BR206">
        <v>34</v>
      </c>
      <c r="BS206">
        <v>132</v>
      </c>
      <c r="BT206">
        <v>129</v>
      </c>
      <c r="BU206">
        <v>130</v>
      </c>
      <c r="BV206">
        <v>80</v>
      </c>
      <c r="BW206">
        <v>30</v>
      </c>
      <c r="BX206">
        <v>40</v>
      </c>
      <c r="BY206">
        <v>40</v>
      </c>
      <c r="BZ206">
        <v>101</v>
      </c>
      <c r="CA206">
        <v>406</v>
      </c>
      <c r="CB206" t="s">
        <v>78</v>
      </c>
      <c r="CC206">
        <v>1300</v>
      </c>
      <c r="CD206">
        <v>10</v>
      </c>
      <c r="CH206" s="2"/>
    </row>
    <row r="207" spans="1:86" hidden="1" x14ac:dyDescent="0.3">
      <c r="A207" s="2">
        <v>1122</v>
      </c>
      <c r="B207" s="2" t="s">
        <v>0</v>
      </c>
      <c r="C207" s="2" t="s">
        <v>21</v>
      </c>
      <c r="D207" s="2" t="s">
        <v>475</v>
      </c>
      <c r="E207" s="2">
        <v>480</v>
      </c>
      <c r="F207" s="2">
        <v>1.37E-2</v>
      </c>
      <c r="G207" s="2">
        <v>9.9000000000000008E-3</v>
      </c>
      <c r="H207" s="4">
        <f t="shared" si="23"/>
        <v>0.27737226277372257</v>
      </c>
      <c r="I207" s="2" t="s">
        <v>73</v>
      </c>
      <c r="J207" s="2" t="s">
        <v>184</v>
      </c>
      <c r="K207" s="2" t="s">
        <v>476</v>
      </c>
      <c r="L207" s="2" t="s">
        <v>96</v>
      </c>
      <c r="M207" s="155">
        <v>4</v>
      </c>
      <c r="N207" s="155">
        <v>120</v>
      </c>
      <c r="O207" s="2">
        <v>6</v>
      </c>
      <c r="P207" s="6">
        <v>35</v>
      </c>
      <c r="Q207" s="132">
        <f t="shared" si="24"/>
        <v>10.285714285714285</v>
      </c>
      <c r="R207" s="33">
        <f t="shared" si="19"/>
        <v>35</v>
      </c>
      <c r="S207" s="132">
        <f t="shared" si="20"/>
        <v>4.375</v>
      </c>
      <c r="T207" s="132">
        <f t="shared" si="22"/>
        <v>4.375</v>
      </c>
      <c r="W207" s="13"/>
      <c r="CH207" s="2"/>
    </row>
    <row r="208" spans="1:86" hidden="1" x14ac:dyDescent="0.3">
      <c r="A208" s="2">
        <v>1098</v>
      </c>
      <c r="B208" s="2" t="s">
        <v>0</v>
      </c>
      <c r="C208" s="2" t="s">
        <v>21</v>
      </c>
      <c r="D208" s="2" t="s">
        <v>477</v>
      </c>
      <c r="E208" s="2">
        <v>240</v>
      </c>
      <c r="F208" s="2">
        <v>1.37E-2</v>
      </c>
      <c r="G208" s="2">
        <v>9.9000000000000008E-3</v>
      </c>
      <c r="H208" s="4">
        <f t="shared" si="23"/>
        <v>0.27737226277372257</v>
      </c>
      <c r="I208" s="2" t="s">
        <v>82</v>
      </c>
      <c r="J208" s="2" t="s">
        <v>174</v>
      </c>
      <c r="K208" s="2" t="s">
        <v>471</v>
      </c>
      <c r="L208" s="2" t="s">
        <v>6</v>
      </c>
      <c r="M208" s="155"/>
      <c r="N208" s="155"/>
      <c r="O208" s="2">
        <v>6</v>
      </c>
      <c r="P208" s="6">
        <v>70</v>
      </c>
      <c r="Q208" s="132">
        <f t="shared" si="24"/>
        <v>10.285714285714285</v>
      </c>
      <c r="R208" s="33">
        <f t="shared" si="19"/>
        <v>70</v>
      </c>
      <c r="S208" s="132">
        <f t="shared" si="20"/>
        <v>8.75</v>
      </c>
      <c r="T208" s="132">
        <f t="shared" si="22"/>
        <v>8.75</v>
      </c>
      <c r="W208" s="13"/>
      <c r="CH208" s="2"/>
    </row>
    <row r="209" spans="1:86" hidden="1" x14ac:dyDescent="0.3">
      <c r="A209" s="2">
        <v>927</v>
      </c>
      <c r="B209" s="2" t="s">
        <v>84</v>
      </c>
      <c r="C209" s="2" t="s">
        <v>21</v>
      </c>
      <c r="D209" s="123" t="s">
        <v>478</v>
      </c>
      <c r="E209" s="2">
        <v>2800</v>
      </c>
      <c r="F209" s="2">
        <v>6.4000000000000003E-3</v>
      </c>
      <c r="G209" s="2"/>
      <c r="H209" s="4">
        <f t="shared" si="23"/>
        <v>1</v>
      </c>
      <c r="I209" s="123" t="s">
        <v>86</v>
      </c>
      <c r="J209" s="2" t="s">
        <v>282</v>
      </c>
      <c r="K209" s="2"/>
      <c r="L209" s="2"/>
      <c r="M209" s="155"/>
      <c r="N209" s="155"/>
      <c r="O209" s="2">
        <v>9</v>
      </c>
      <c r="P209" s="6"/>
      <c r="Q209" s="132" t="str">
        <f t="shared" si="24"/>
        <v/>
      </c>
      <c r="R209" s="33" t="str">
        <f t="shared" si="19"/>
        <v/>
      </c>
      <c r="S209" s="132" t="str">
        <f t="shared" si="20"/>
        <v/>
      </c>
      <c r="T209" s="132" t="str">
        <f t="shared" si="22"/>
        <v/>
      </c>
      <c r="W209" s="13"/>
      <c r="CH209" s="2"/>
    </row>
    <row r="210" spans="1:86" hidden="1" x14ac:dyDescent="0.3">
      <c r="A210" s="2">
        <v>939</v>
      </c>
      <c r="B210" s="2" t="s">
        <v>84</v>
      </c>
      <c r="C210" s="2" t="s">
        <v>21</v>
      </c>
      <c r="D210" s="123" t="s">
        <v>479</v>
      </c>
      <c r="E210" s="2">
        <v>500</v>
      </c>
      <c r="F210" s="2">
        <v>1.1599999999999999E-2</v>
      </c>
      <c r="G210" s="2">
        <v>8.3999999999999995E-3</v>
      </c>
      <c r="H210" s="4">
        <f t="shared" si="23"/>
        <v>0.27586206896551724</v>
      </c>
      <c r="I210" s="123" t="s">
        <v>86</v>
      </c>
      <c r="J210" s="2" t="s">
        <v>363</v>
      </c>
      <c r="K210" s="2" t="s">
        <v>105</v>
      </c>
      <c r="L210" s="2" t="s">
        <v>76</v>
      </c>
      <c r="M210" s="155"/>
      <c r="N210" s="155"/>
      <c r="O210" s="2">
        <v>6</v>
      </c>
      <c r="P210" s="6"/>
      <c r="Q210" s="132" t="str">
        <f t="shared" si="24"/>
        <v/>
      </c>
      <c r="R210" s="33" t="str">
        <f t="shared" si="19"/>
        <v/>
      </c>
      <c r="S210" s="132" t="str">
        <f t="shared" si="20"/>
        <v/>
      </c>
      <c r="T210" s="132" t="str">
        <f t="shared" si="22"/>
        <v/>
      </c>
      <c r="W210" s="13"/>
      <c r="CH210" s="2"/>
    </row>
    <row r="211" spans="1:86" hidden="1" x14ac:dyDescent="0.3">
      <c r="A211" s="2">
        <v>14</v>
      </c>
      <c r="B211" s="2" t="s">
        <v>84</v>
      </c>
      <c r="C211" s="2" t="s">
        <v>21</v>
      </c>
      <c r="D211" s="2" t="s">
        <v>480</v>
      </c>
      <c r="E211" s="2">
        <v>1200</v>
      </c>
      <c r="F211" s="2">
        <v>1.66E-2</v>
      </c>
      <c r="G211" s="2">
        <v>1.24E-2</v>
      </c>
      <c r="H211" s="4">
        <f t="shared" si="23"/>
        <v>0.25301204819277112</v>
      </c>
      <c r="I211" s="2" t="s">
        <v>370</v>
      </c>
      <c r="J211" s="2" t="s">
        <v>225</v>
      </c>
      <c r="K211" s="2" t="s">
        <v>105</v>
      </c>
      <c r="L211" s="2" t="s">
        <v>76</v>
      </c>
      <c r="M211" s="155"/>
      <c r="N211" s="155"/>
      <c r="O211" s="2">
        <v>6</v>
      </c>
      <c r="P211" s="6"/>
      <c r="Q211" s="132" t="str">
        <f t="shared" si="24"/>
        <v/>
      </c>
      <c r="R211" s="33" t="str">
        <f t="shared" si="19"/>
        <v/>
      </c>
      <c r="S211" s="132" t="str">
        <f t="shared" si="20"/>
        <v/>
      </c>
      <c r="T211" s="132" t="str">
        <f t="shared" si="22"/>
        <v/>
      </c>
      <c r="W211" s="13"/>
      <c r="Y211"/>
      <c r="CH211" s="2"/>
    </row>
    <row r="212" spans="1:86" hidden="1" x14ac:dyDescent="0.3">
      <c r="A212" s="2">
        <v>16</v>
      </c>
      <c r="B212" s="2" t="s">
        <v>84</v>
      </c>
      <c r="C212" s="2" t="s">
        <v>21</v>
      </c>
      <c r="D212" s="2" t="s">
        <v>481</v>
      </c>
      <c r="E212" s="2">
        <v>1200</v>
      </c>
      <c r="F212" s="2">
        <v>1.8700000000000001E-2</v>
      </c>
      <c r="G212" s="2"/>
      <c r="H212" s="4">
        <f t="shared" si="23"/>
        <v>1</v>
      </c>
      <c r="I212" s="2" t="s">
        <v>370</v>
      </c>
      <c r="J212" s="2" t="s">
        <v>205</v>
      </c>
      <c r="K212" s="2" t="s">
        <v>105</v>
      </c>
      <c r="L212" s="2" t="s">
        <v>76</v>
      </c>
      <c r="M212" s="155"/>
      <c r="N212" s="155"/>
      <c r="O212" s="2">
        <v>6</v>
      </c>
      <c r="P212" s="6"/>
      <c r="Q212" s="132" t="str">
        <f t="shared" si="24"/>
        <v/>
      </c>
      <c r="R212" s="33" t="str">
        <f t="shared" si="19"/>
        <v/>
      </c>
      <c r="S212" s="132" t="str">
        <f t="shared" si="20"/>
        <v/>
      </c>
      <c r="T212" s="132" t="str">
        <f t="shared" si="22"/>
        <v/>
      </c>
      <c r="W212" s="13"/>
      <c r="Y212"/>
      <c r="CH212" s="2"/>
    </row>
    <row r="213" spans="1:86" hidden="1" x14ac:dyDescent="0.3">
      <c r="A213" s="2">
        <v>945</v>
      </c>
      <c r="B213" s="2" t="s">
        <v>84</v>
      </c>
      <c r="C213" s="2" t="s">
        <v>21</v>
      </c>
      <c r="D213" s="2" t="s">
        <v>482</v>
      </c>
      <c r="E213" s="2">
        <v>1000</v>
      </c>
      <c r="F213" s="2">
        <v>1.38E-2</v>
      </c>
      <c r="G213" s="2"/>
      <c r="H213" s="4">
        <f t="shared" si="23"/>
        <v>1</v>
      </c>
      <c r="I213" s="2" t="s">
        <v>370</v>
      </c>
      <c r="J213" s="2" t="s">
        <v>373</v>
      </c>
      <c r="K213" s="2" t="s">
        <v>105</v>
      </c>
      <c r="L213" s="2" t="s">
        <v>76</v>
      </c>
      <c r="M213" s="155"/>
      <c r="N213" s="155"/>
      <c r="O213" s="2">
        <v>8</v>
      </c>
      <c r="P213" s="6"/>
      <c r="Q213" s="132" t="str">
        <f t="shared" si="24"/>
        <v/>
      </c>
      <c r="R213" s="33" t="str">
        <f t="shared" si="19"/>
        <v/>
      </c>
      <c r="S213" s="132" t="str">
        <f t="shared" si="20"/>
        <v/>
      </c>
      <c r="T213" s="132" t="str">
        <f t="shared" si="22"/>
        <v/>
      </c>
      <c r="W213" s="13"/>
      <c r="CH213" s="2"/>
    </row>
    <row r="214" spans="1:86" hidden="1" x14ac:dyDescent="0.3">
      <c r="A214" s="2">
        <v>950</v>
      </c>
      <c r="B214" s="2" t="s">
        <v>84</v>
      </c>
      <c r="C214" s="2" t="s">
        <v>21</v>
      </c>
      <c r="D214" s="2" t="s">
        <v>483</v>
      </c>
      <c r="E214" s="2">
        <v>1500</v>
      </c>
      <c r="F214" s="2">
        <v>1.6500000000000001E-2</v>
      </c>
      <c r="G214" s="2"/>
      <c r="H214" s="4">
        <f t="shared" si="23"/>
        <v>1</v>
      </c>
      <c r="I214" s="2" t="s">
        <v>98</v>
      </c>
      <c r="J214" s="2" t="s">
        <v>412</v>
      </c>
      <c r="K214" s="2" t="s">
        <v>105</v>
      </c>
      <c r="L214" s="2" t="s">
        <v>76</v>
      </c>
      <c r="M214" s="155"/>
      <c r="N214" s="155"/>
      <c r="O214" s="2">
        <v>8</v>
      </c>
      <c r="P214" s="6"/>
      <c r="Q214" s="132" t="str">
        <f t="shared" si="24"/>
        <v/>
      </c>
      <c r="R214" s="33" t="str">
        <f t="shared" si="19"/>
        <v/>
      </c>
      <c r="S214" s="132" t="str">
        <f t="shared" si="20"/>
        <v/>
      </c>
      <c r="T214" s="132" t="str">
        <f t="shared" si="22"/>
        <v/>
      </c>
      <c r="W214" s="13"/>
      <c r="CH214" s="2"/>
    </row>
    <row r="215" spans="1:86" hidden="1" x14ac:dyDescent="0.3">
      <c r="A215" s="2">
        <v>951</v>
      </c>
      <c r="B215" s="2" t="s">
        <v>84</v>
      </c>
      <c r="C215" s="2" t="s">
        <v>21</v>
      </c>
      <c r="D215" s="2" t="s">
        <v>484</v>
      </c>
      <c r="E215" s="2">
        <v>1500</v>
      </c>
      <c r="F215" s="2">
        <v>1.6500000000000001E-2</v>
      </c>
      <c r="G215" s="2"/>
      <c r="H215" s="4">
        <f t="shared" si="23"/>
        <v>1</v>
      </c>
      <c r="I215" s="2" t="s">
        <v>98</v>
      </c>
      <c r="J215" s="2" t="s">
        <v>412</v>
      </c>
      <c r="K215" s="2" t="s">
        <v>105</v>
      </c>
      <c r="L215" s="2" t="s">
        <v>76</v>
      </c>
      <c r="M215" s="155"/>
      <c r="N215" s="155"/>
      <c r="O215" s="2">
        <v>8</v>
      </c>
      <c r="P215" s="6"/>
      <c r="Q215" s="132" t="str">
        <f t="shared" si="24"/>
        <v/>
      </c>
      <c r="R215" s="33" t="str">
        <f t="shared" si="19"/>
        <v/>
      </c>
      <c r="S215" s="132" t="str">
        <f t="shared" si="20"/>
        <v/>
      </c>
      <c r="T215" s="132" t="str">
        <f t="shared" si="22"/>
        <v/>
      </c>
      <c r="W215" s="13"/>
      <c r="CH215" s="2"/>
    </row>
    <row r="216" spans="1:86" hidden="1" x14ac:dyDescent="0.3">
      <c r="A216" s="2">
        <v>954</v>
      </c>
      <c r="B216" s="2" t="s">
        <v>84</v>
      </c>
      <c r="C216" s="2" t="s">
        <v>21</v>
      </c>
      <c r="D216" s="123" t="s">
        <v>485</v>
      </c>
      <c r="E216" s="2">
        <v>700</v>
      </c>
      <c r="F216" s="2">
        <v>1.5699999999999999E-2</v>
      </c>
      <c r="G216" s="2">
        <v>1.32E-2</v>
      </c>
      <c r="H216" s="4">
        <f t="shared" si="23"/>
        <v>0.15923566878980885</v>
      </c>
      <c r="I216" s="123" t="s">
        <v>86</v>
      </c>
      <c r="J216" s="2" t="s">
        <v>291</v>
      </c>
      <c r="K216" s="2" t="s">
        <v>105</v>
      </c>
      <c r="L216" s="2" t="s">
        <v>76</v>
      </c>
      <c r="M216" s="155"/>
      <c r="N216" s="155"/>
      <c r="O216" s="2">
        <v>6</v>
      </c>
      <c r="P216" s="6"/>
      <c r="Q216" s="132" t="str">
        <f t="shared" si="24"/>
        <v/>
      </c>
      <c r="R216" s="33" t="str">
        <f t="shared" si="19"/>
        <v/>
      </c>
      <c r="S216" s="132" t="str">
        <f t="shared" si="20"/>
        <v/>
      </c>
      <c r="T216" s="132" t="str">
        <f t="shared" si="22"/>
        <v/>
      </c>
      <c r="W216" s="13"/>
      <c r="CH216" s="2"/>
    </row>
    <row r="217" spans="1:86" hidden="1" x14ac:dyDescent="0.3">
      <c r="A217" s="2">
        <v>962</v>
      </c>
      <c r="B217" s="2" t="s">
        <v>0</v>
      </c>
      <c r="C217" s="2" t="s">
        <v>21</v>
      </c>
      <c r="D217" s="2" t="s">
        <v>486</v>
      </c>
      <c r="E217" s="2">
        <v>700</v>
      </c>
      <c r="F217" s="2">
        <v>1.6799999999999999E-2</v>
      </c>
      <c r="G217" s="2">
        <v>1.32E-2</v>
      </c>
      <c r="H217" s="4">
        <f t="shared" si="23"/>
        <v>0.21428571428571425</v>
      </c>
      <c r="I217" s="2" t="s">
        <v>98</v>
      </c>
      <c r="J217" s="2" t="s">
        <v>418</v>
      </c>
      <c r="K217" s="2" t="s">
        <v>105</v>
      </c>
      <c r="L217" s="2" t="s">
        <v>76</v>
      </c>
      <c r="M217" s="155"/>
      <c r="N217" s="155"/>
      <c r="O217" s="2">
        <v>6</v>
      </c>
      <c r="P217" s="6">
        <v>30</v>
      </c>
      <c r="Q217" s="132">
        <f t="shared" si="24"/>
        <v>8.2285714285714278</v>
      </c>
      <c r="R217" s="33">
        <f t="shared" si="19"/>
        <v>30.000000000000004</v>
      </c>
      <c r="S217" s="132">
        <f t="shared" si="20"/>
        <v>3.7500000000000004</v>
      </c>
      <c r="T217" s="132">
        <f t="shared" si="22"/>
        <v>3.7500000000000004</v>
      </c>
      <c r="W217" s="13"/>
      <c r="CH217" s="2"/>
    </row>
    <row r="218" spans="1:86" hidden="1" x14ac:dyDescent="0.3">
      <c r="A218" s="2">
        <v>957</v>
      </c>
      <c r="B218" s="2" t="s">
        <v>84</v>
      </c>
      <c r="C218" s="2" t="s">
        <v>21</v>
      </c>
      <c r="D218" s="123" t="s">
        <v>487</v>
      </c>
      <c r="E218" s="2">
        <v>3150</v>
      </c>
      <c r="F218" s="2">
        <v>5.4999999999999997E-3</v>
      </c>
      <c r="G218" s="2">
        <v>4.1999999999999997E-3</v>
      </c>
      <c r="H218" s="4">
        <f t="shared" si="23"/>
        <v>0.23636363636363636</v>
      </c>
      <c r="I218" s="123" t="s">
        <v>86</v>
      </c>
      <c r="J218" s="2" t="s">
        <v>488</v>
      </c>
      <c r="K218" s="2" t="s">
        <v>261</v>
      </c>
      <c r="L218" s="2" t="s">
        <v>76</v>
      </c>
      <c r="M218" s="155"/>
      <c r="N218" s="155"/>
      <c r="O218" s="2">
        <v>10</v>
      </c>
      <c r="P218" s="6"/>
      <c r="Q218" s="132" t="str">
        <f t="shared" si="24"/>
        <v/>
      </c>
      <c r="R218" s="33" t="str">
        <f t="shared" si="19"/>
        <v/>
      </c>
      <c r="S218" s="132" t="str">
        <f t="shared" si="20"/>
        <v/>
      </c>
      <c r="T218" s="132" t="str">
        <f t="shared" si="22"/>
        <v/>
      </c>
      <c r="W218" s="13"/>
      <c r="CH218" s="2"/>
    </row>
    <row r="219" spans="1:86" hidden="1" x14ac:dyDescent="0.3">
      <c r="A219" s="2">
        <v>964</v>
      </c>
      <c r="B219" s="2" t="s">
        <v>84</v>
      </c>
      <c r="C219" s="2" t="s">
        <v>21</v>
      </c>
      <c r="D219" s="123" t="s">
        <v>489</v>
      </c>
      <c r="E219" s="2">
        <v>700</v>
      </c>
      <c r="F219" s="2">
        <v>1.5699999999999999E-2</v>
      </c>
      <c r="G219" s="2">
        <v>1.32E-2</v>
      </c>
      <c r="H219" s="4">
        <f t="shared" si="23"/>
        <v>0.15923566878980885</v>
      </c>
      <c r="I219" s="123" t="s">
        <v>86</v>
      </c>
      <c r="J219" s="2" t="s">
        <v>291</v>
      </c>
      <c r="K219" s="2" t="s">
        <v>105</v>
      </c>
      <c r="L219" s="2" t="s">
        <v>76</v>
      </c>
      <c r="M219" s="155"/>
      <c r="N219" s="155"/>
      <c r="O219" s="2">
        <v>6</v>
      </c>
      <c r="P219" s="6"/>
      <c r="Q219" s="132" t="str">
        <f t="shared" si="24"/>
        <v/>
      </c>
      <c r="R219" s="33" t="str">
        <f t="shared" si="19"/>
        <v/>
      </c>
      <c r="S219" s="132" t="str">
        <f t="shared" si="20"/>
        <v/>
      </c>
      <c r="T219" s="132" t="str">
        <f t="shared" si="22"/>
        <v/>
      </c>
      <c r="W219" s="13"/>
      <c r="CH219" s="2"/>
    </row>
    <row r="220" spans="1:86" hidden="1" x14ac:dyDescent="0.3">
      <c r="A220" s="23">
        <v>965</v>
      </c>
      <c r="B220" s="2" t="s">
        <v>0</v>
      </c>
      <c r="C220" s="2" t="s">
        <v>21</v>
      </c>
      <c r="D220" s="2" t="s">
        <v>490</v>
      </c>
      <c r="E220" s="2">
        <v>1150</v>
      </c>
      <c r="F220" s="2">
        <v>1.5100000000000001E-2</v>
      </c>
      <c r="G220" s="2">
        <v>1.09E-2</v>
      </c>
      <c r="H220" s="4">
        <f t="shared" si="23"/>
        <v>0.27814569536423844</v>
      </c>
      <c r="I220" s="2" t="s">
        <v>82</v>
      </c>
      <c r="J220" s="2" t="s">
        <v>337</v>
      </c>
      <c r="K220" s="2" t="s">
        <v>105</v>
      </c>
      <c r="L220" s="2" t="s">
        <v>76</v>
      </c>
      <c r="M220" s="155"/>
      <c r="N220" s="155"/>
      <c r="O220" s="2">
        <v>5</v>
      </c>
      <c r="P220" s="6">
        <v>15</v>
      </c>
      <c r="Q220" s="132">
        <f t="shared" si="24"/>
        <v>5.5</v>
      </c>
      <c r="R220" s="33">
        <f t="shared" si="19"/>
        <v>22.766798418972332</v>
      </c>
      <c r="S220" s="132">
        <f t="shared" si="20"/>
        <v>2.8458498023715415</v>
      </c>
      <c r="T220" s="132">
        <f t="shared" si="22"/>
        <v>2.8458498023715415</v>
      </c>
      <c r="W220" s="13"/>
      <c r="AD220" s="24">
        <v>45608</v>
      </c>
      <c r="AE220">
        <v>12</v>
      </c>
      <c r="AF220">
        <v>1.6</v>
      </c>
      <c r="AG220">
        <v>0.3</v>
      </c>
      <c r="AH220">
        <v>1.5</v>
      </c>
      <c r="AI220">
        <v>0.3</v>
      </c>
      <c r="AJ220">
        <v>0.14000000000000001</v>
      </c>
      <c r="AK220">
        <v>0.18</v>
      </c>
      <c r="AL220">
        <v>0.4</v>
      </c>
      <c r="AM220">
        <v>0.45</v>
      </c>
      <c r="AN220">
        <v>0.3</v>
      </c>
      <c r="AO220">
        <v>5.5</v>
      </c>
      <c r="AP220">
        <v>38</v>
      </c>
      <c r="AQ220">
        <v>118</v>
      </c>
      <c r="AR220">
        <v>118</v>
      </c>
      <c r="AS220">
        <v>118</v>
      </c>
      <c r="AT220">
        <v>45</v>
      </c>
      <c r="AU220">
        <v>30</v>
      </c>
      <c r="AV220">
        <v>35</v>
      </c>
      <c r="AW220">
        <v>42</v>
      </c>
      <c r="AX220">
        <v>51</v>
      </c>
      <c r="AY220">
        <v>231</v>
      </c>
      <c r="AZ220" t="s">
        <v>78</v>
      </c>
      <c r="BA220">
        <v>2500</v>
      </c>
      <c r="BB220">
        <v>14</v>
      </c>
      <c r="CH220" s="2"/>
    </row>
    <row r="221" spans="1:86" hidden="1" x14ac:dyDescent="0.3">
      <c r="A221" s="2">
        <v>958</v>
      </c>
      <c r="B221" s="2" t="s">
        <v>84</v>
      </c>
      <c r="C221" s="2" t="s">
        <v>21</v>
      </c>
      <c r="D221" s="123" t="s">
        <v>491</v>
      </c>
      <c r="E221" s="2">
        <v>2100</v>
      </c>
      <c r="F221" s="2">
        <v>8.6999999999999994E-3</v>
      </c>
      <c r="G221" s="2">
        <v>6.4000000000000003E-3</v>
      </c>
      <c r="H221" s="4">
        <f t="shared" si="23"/>
        <v>0.26436781609195392</v>
      </c>
      <c r="I221" s="123" t="s">
        <v>86</v>
      </c>
      <c r="J221" s="2" t="s">
        <v>492</v>
      </c>
      <c r="K221" s="2" t="s">
        <v>261</v>
      </c>
      <c r="L221" s="2" t="s">
        <v>76</v>
      </c>
      <c r="M221" s="155"/>
      <c r="N221" s="155"/>
      <c r="O221" s="2">
        <v>5</v>
      </c>
      <c r="P221" s="6"/>
      <c r="Q221" s="132" t="str">
        <f t="shared" si="24"/>
        <v/>
      </c>
      <c r="R221" s="33" t="str">
        <f t="shared" si="19"/>
        <v/>
      </c>
      <c r="S221" s="132" t="str">
        <f t="shared" si="20"/>
        <v/>
      </c>
      <c r="T221" s="132" t="str">
        <f t="shared" si="22"/>
        <v/>
      </c>
      <c r="W221" s="13"/>
      <c r="CH221" s="2"/>
    </row>
    <row r="222" spans="1:86" hidden="1" x14ac:dyDescent="0.3">
      <c r="A222" s="2">
        <v>968</v>
      </c>
      <c r="B222" s="2" t="s">
        <v>84</v>
      </c>
      <c r="C222" s="2" t="s">
        <v>21</v>
      </c>
      <c r="D222" s="123" t="s">
        <v>493</v>
      </c>
      <c r="E222" s="2">
        <v>1470</v>
      </c>
      <c r="F222" s="2">
        <v>1.1900000000000001E-2</v>
      </c>
      <c r="G222" s="2">
        <v>8.0999999999999996E-3</v>
      </c>
      <c r="H222" s="4">
        <f t="shared" si="23"/>
        <v>0.31932773109243706</v>
      </c>
      <c r="I222" s="123" t="s">
        <v>86</v>
      </c>
      <c r="J222" s="2" t="s">
        <v>203</v>
      </c>
      <c r="K222" s="2" t="s">
        <v>261</v>
      </c>
      <c r="L222" s="2" t="s">
        <v>76</v>
      </c>
      <c r="M222" s="155"/>
      <c r="N222" s="155"/>
      <c r="O222" s="2">
        <v>5</v>
      </c>
      <c r="P222" s="6"/>
      <c r="Q222" s="132" t="str">
        <f t="shared" si="24"/>
        <v/>
      </c>
      <c r="R222" s="33" t="str">
        <f t="shared" si="19"/>
        <v/>
      </c>
      <c r="S222" s="132" t="str">
        <f t="shared" si="20"/>
        <v/>
      </c>
      <c r="T222" s="132" t="str">
        <f t="shared" si="22"/>
        <v/>
      </c>
      <c r="W222" s="13"/>
      <c r="CH222" s="2"/>
    </row>
    <row r="223" spans="1:86" hidden="1" x14ac:dyDescent="0.3">
      <c r="A223" s="2">
        <v>956</v>
      </c>
      <c r="B223" s="2" t="s">
        <v>0</v>
      </c>
      <c r="C223" s="2" t="s">
        <v>21</v>
      </c>
      <c r="D223" s="2" t="s">
        <v>494</v>
      </c>
      <c r="E223" s="2">
        <v>2100</v>
      </c>
      <c r="F223" s="2">
        <v>9.9000000000000008E-3</v>
      </c>
      <c r="G223" s="2">
        <v>6.4000000000000003E-3</v>
      </c>
      <c r="H223" s="4">
        <f t="shared" si="23"/>
        <v>0.35353535353535354</v>
      </c>
      <c r="I223" s="2" t="s">
        <v>98</v>
      </c>
      <c r="J223" s="2" t="s">
        <v>495</v>
      </c>
      <c r="K223" s="2" t="s">
        <v>261</v>
      </c>
      <c r="L223" s="2" t="s">
        <v>76</v>
      </c>
      <c r="M223" s="155"/>
      <c r="N223" s="155"/>
      <c r="O223" s="2">
        <v>5</v>
      </c>
      <c r="P223" s="6">
        <v>18</v>
      </c>
      <c r="Q223" s="132">
        <f t="shared" si="24"/>
        <v>3.8095238095238093</v>
      </c>
      <c r="R223" s="33">
        <f t="shared" si="19"/>
        <v>18</v>
      </c>
      <c r="S223" s="132">
        <f t="shared" si="20"/>
        <v>2.25</v>
      </c>
      <c r="T223" s="132">
        <f t="shared" si="22"/>
        <v>2.25</v>
      </c>
      <c r="W223" s="13"/>
      <c r="CH223" s="2"/>
    </row>
    <row r="224" spans="1:86" hidden="1" x14ac:dyDescent="0.3">
      <c r="A224" s="2">
        <v>1001</v>
      </c>
      <c r="B224" s="2" t="s">
        <v>84</v>
      </c>
      <c r="C224" s="2" t="s">
        <v>21</v>
      </c>
      <c r="D224" s="123" t="s">
        <v>496</v>
      </c>
      <c r="E224" s="2">
        <v>500</v>
      </c>
      <c r="F224" s="2">
        <v>1.2999999999999999E-2</v>
      </c>
      <c r="G224" s="2">
        <v>9.5999999999999992E-3</v>
      </c>
      <c r="H224" s="4">
        <f t="shared" si="23"/>
        <v>0.26153846153846155</v>
      </c>
      <c r="I224" s="123" t="s">
        <v>86</v>
      </c>
      <c r="J224" s="2" t="s">
        <v>218</v>
      </c>
      <c r="K224" s="2" t="s">
        <v>222</v>
      </c>
      <c r="L224" s="2" t="s">
        <v>76</v>
      </c>
      <c r="M224" s="155"/>
      <c r="N224" s="155"/>
      <c r="O224" s="2">
        <v>6</v>
      </c>
      <c r="P224" s="6"/>
      <c r="Q224" s="132" t="str">
        <f t="shared" si="24"/>
        <v/>
      </c>
      <c r="R224" s="33" t="str">
        <f t="shared" si="19"/>
        <v/>
      </c>
      <c r="S224" s="132" t="str">
        <f t="shared" si="20"/>
        <v/>
      </c>
      <c r="T224" s="132" t="str">
        <f t="shared" si="22"/>
        <v/>
      </c>
      <c r="W224" s="13"/>
      <c r="CH224" s="2"/>
    </row>
    <row r="225" spans="1:86" hidden="1" x14ac:dyDescent="0.3">
      <c r="A225" s="2">
        <v>1002</v>
      </c>
      <c r="B225" s="2" t="s">
        <v>0</v>
      </c>
      <c r="C225" s="2" t="s">
        <v>21</v>
      </c>
      <c r="D225" s="2" t="s">
        <v>497</v>
      </c>
      <c r="E225" s="2">
        <v>500</v>
      </c>
      <c r="F225" s="2">
        <v>1.6199999999999999E-2</v>
      </c>
      <c r="G225" s="2">
        <v>1.0800000000000001E-2</v>
      </c>
      <c r="H225" s="4">
        <f t="shared" si="23"/>
        <v>0.33333333333333326</v>
      </c>
      <c r="I225" s="2" t="s">
        <v>98</v>
      </c>
      <c r="J225" s="2" t="s">
        <v>418</v>
      </c>
      <c r="K225" s="2" t="s">
        <v>222</v>
      </c>
      <c r="L225" s="2" t="s">
        <v>76</v>
      </c>
      <c r="M225" s="155"/>
      <c r="N225" s="155"/>
      <c r="O225" s="2">
        <v>6</v>
      </c>
      <c r="P225" s="6">
        <v>20</v>
      </c>
      <c r="Q225" s="132">
        <f t="shared" si="24"/>
        <v>17.28</v>
      </c>
      <c r="R225" s="33">
        <f t="shared" si="19"/>
        <v>20</v>
      </c>
      <c r="S225" s="132">
        <f t="shared" si="20"/>
        <v>2.5</v>
      </c>
      <c r="T225" s="132">
        <f t="shared" si="22"/>
        <v>2.5</v>
      </c>
      <c r="W225" s="13"/>
      <c r="CH225" s="2"/>
    </row>
    <row r="226" spans="1:86" hidden="1" x14ac:dyDescent="0.3">
      <c r="A226" s="2">
        <v>1003</v>
      </c>
      <c r="B226" s="2" t="s">
        <v>0</v>
      </c>
      <c r="C226" s="2" t="s">
        <v>21</v>
      </c>
      <c r="D226" s="2" t="s">
        <v>498</v>
      </c>
      <c r="E226" s="2">
        <v>500</v>
      </c>
      <c r="F226" s="2">
        <v>1.6199999999999999E-2</v>
      </c>
      <c r="G226" s="2">
        <v>1.0800000000000001E-2</v>
      </c>
      <c r="H226" s="4">
        <f t="shared" si="23"/>
        <v>0.33333333333333326</v>
      </c>
      <c r="I226" s="2" t="s">
        <v>98</v>
      </c>
      <c r="J226" s="2" t="s">
        <v>499</v>
      </c>
      <c r="K226" s="2" t="s">
        <v>222</v>
      </c>
      <c r="L226" s="2" t="s">
        <v>76</v>
      </c>
      <c r="M226" s="155"/>
      <c r="N226" s="155"/>
      <c r="O226" s="2">
        <v>6</v>
      </c>
      <c r="P226" s="6">
        <v>20</v>
      </c>
      <c r="Q226" s="132">
        <f t="shared" si="24"/>
        <v>17.28</v>
      </c>
      <c r="R226" s="33">
        <f t="shared" ref="R226:R238" si="25">IFERROR(60*60*8*O226/E226/Q226,"")</f>
        <v>20</v>
      </c>
      <c r="S226" s="132">
        <f t="shared" ref="S226:S238" si="26">IFERROR(R226/8,"")</f>
        <v>2.5</v>
      </c>
      <c r="T226" s="132">
        <f t="shared" si="22"/>
        <v>2.5</v>
      </c>
      <c r="W226" s="13"/>
      <c r="CH226" s="2"/>
    </row>
    <row r="227" spans="1:86" hidden="1" x14ac:dyDescent="0.3">
      <c r="A227" s="2">
        <v>1004</v>
      </c>
      <c r="B227" s="2" t="s">
        <v>84</v>
      </c>
      <c r="C227" s="2" t="s">
        <v>21</v>
      </c>
      <c r="D227" s="123" t="s">
        <v>500</v>
      </c>
      <c r="E227" s="2">
        <v>500</v>
      </c>
      <c r="F227" s="2">
        <v>1.2999999999999999E-2</v>
      </c>
      <c r="G227" s="2">
        <v>9.5999999999999992E-3</v>
      </c>
      <c r="H227" s="4">
        <f t="shared" si="23"/>
        <v>0.26153846153846155</v>
      </c>
      <c r="I227" s="123" t="s">
        <v>86</v>
      </c>
      <c r="J227" s="2" t="s">
        <v>218</v>
      </c>
      <c r="K227" s="2"/>
      <c r="L227" s="2"/>
      <c r="M227" s="155"/>
      <c r="N227" s="155"/>
      <c r="O227" s="2">
        <v>6</v>
      </c>
      <c r="P227" s="6"/>
      <c r="Q227" s="132" t="str">
        <f t="shared" si="24"/>
        <v/>
      </c>
      <c r="R227" s="33" t="str">
        <f t="shared" si="25"/>
        <v/>
      </c>
      <c r="S227" s="132" t="str">
        <f t="shared" si="26"/>
        <v/>
      </c>
      <c r="T227" s="132" t="str">
        <f t="shared" si="22"/>
        <v/>
      </c>
      <c r="W227" s="13"/>
      <c r="CH227" s="2"/>
    </row>
    <row r="228" spans="1:86" hidden="1" x14ac:dyDescent="0.3">
      <c r="A228" s="2">
        <v>1949</v>
      </c>
      <c r="B228" s="2" t="s">
        <v>0</v>
      </c>
      <c r="C228" s="2" t="s">
        <v>21</v>
      </c>
      <c r="D228" s="2" t="s">
        <v>501</v>
      </c>
      <c r="E228" s="2">
        <v>100</v>
      </c>
      <c r="F228" s="2">
        <v>6.9099999999999995E-2</v>
      </c>
      <c r="G228" s="2">
        <v>4.4400000000000002E-2</v>
      </c>
      <c r="H228" s="4">
        <f t="shared" si="23"/>
        <v>0.35745296671490584</v>
      </c>
      <c r="I228" s="2" t="s">
        <v>208</v>
      </c>
      <c r="J228" s="25" t="s">
        <v>209</v>
      </c>
      <c r="K228" s="2" t="s">
        <v>200</v>
      </c>
      <c r="L228" s="2" t="s">
        <v>76</v>
      </c>
      <c r="M228" s="155"/>
      <c r="N228" s="155"/>
      <c r="O228" s="2"/>
      <c r="P228" s="2" t="s">
        <v>210</v>
      </c>
      <c r="Q228" s="132" t="str">
        <f t="shared" si="24"/>
        <v/>
      </c>
      <c r="R228" s="33" t="str">
        <f t="shared" si="25"/>
        <v/>
      </c>
      <c r="S228" s="132" t="str">
        <f t="shared" si="26"/>
        <v/>
      </c>
      <c r="T228" s="132" t="str">
        <f t="shared" si="22"/>
        <v/>
      </c>
      <c r="V228"/>
      <c r="W228" s="18"/>
      <c r="X228" s="18"/>
      <c r="Y228" s="160"/>
      <c r="Z228" s="18"/>
      <c r="AA228" s="18"/>
      <c r="AB228" s="18"/>
      <c r="AC228" s="18"/>
      <c r="AD228" s="18"/>
      <c r="CH228" s="2"/>
    </row>
    <row r="229" spans="1:86" hidden="1" x14ac:dyDescent="0.3">
      <c r="A229" s="2">
        <v>1950</v>
      </c>
      <c r="B229" s="2" t="s">
        <v>0</v>
      </c>
      <c r="C229" s="2" t="s">
        <v>21</v>
      </c>
      <c r="D229" s="2" t="s">
        <v>502</v>
      </c>
      <c r="E229" s="2">
        <v>100</v>
      </c>
      <c r="F229" s="2">
        <v>0.08</v>
      </c>
      <c r="G229" s="2">
        <v>5.0799999999999998E-2</v>
      </c>
      <c r="H229" s="4">
        <f t="shared" si="23"/>
        <v>0.36500000000000005</v>
      </c>
      <c r="I229" s="2" t="s">
        <v>208</v>
      </c>
      <c r="J229" s="25" t="s">
        <v>209</v>
      </c>
      <c r="K229" s="2" t="s">
        <v>200</v>
      </c>
      <c r="L229" s="2" t="s">
        <v>76</v>
      </c>
      <c r="M229" s="155"/>
      <c r="N229" s="155"/>
      <c r="O229" s="2"/>
      <c r="P229" s="2" t="s">
        <v>210</v>
      </c>
      <c r="Q229" s="132" t="str">
        <f t="shared" si="24"/>
        <v/>
      </c>
      <c r="R229" s="33" t="str">
        <f t="shared" si="25"/>
        <v/>
      </c>
      <c r="S229" s="132" t="str">
        <f t="shared" si="26"/>
        <v/>
      </c>
      <c r="T229" s="132" t="str">
        <f t="shared" si="22"/>
        <v/>
      </c>
      <c r="V229"/>
      <c r="W229" s="18"/>
      <c r="X229" s="18"/>
      <c r="Y229" s="160"/>
      <c r="Z229" s="18"/>
      <c r="AA229" s="18"/>
      <c r="AB229" s="18"/>
      <c r="AC229" s="18"/>
      <c r="AD229" s="18"/>
      <c r="CH229" s="2"/>
    </row>
    <row r="230" spans="1:86" hidden="1" x14ac:dyDescent="0.3">
      <c r="A230" s="2">
        <v>1130</v>
      </c>
      <c r="B230" s="2" t="s">
        <v>0</v>
      </c>
      <c r="C230" s="2" t="s">
        <v>21</v>
      </c>
      <c r="D230" s="2" t="s">
        <v>503</v>
      </c>
      <c r="E230" s="2">
        <v>200</v>
      </c>
      <c r="F230" s="2">
        <v>3.3500000000000002E-2</v>
      </c>
      <c r="G230" s="2">
        <v>1.9E-2</v>
      </c>
      <c r="H230" s="4">
        <f t="shared" si="23"/>
        <v>0.43283582089552242</v>
      </c>
      <c r="I230" s="2" t="s">
        <v>98</v>
      </c>
      <c r="J230" s="2" t="s">
        <v>504</v>
      </c>
      <c r="K230" s="2" t="s">
        <v>105</v>
      </c>
      <c r="L230" s="2" t="s">
        <v>76</v>
      </c>
      <c r="M230" s="155"/>
      <c r="N230" s="155"/>
      <c r="O230" s="2">
        <v>2</v>
      </c>
      <c r="P230" s="6">
        <v>60</v>
      </c>
      <c r="Q230" s="132">
        <f t="shared" si="24"/>
        <v>4.8</v>
      </c>
      <c r="R230" s="33">
        <f t="shared" si="25"/>
        <v>60</v>
      </c>
      <c r="S230" s="132">
        <f t="shared" si="26"/>
        <v>7.5</v>
      </c>
      <c r="T230" s="132">
        <f t="shared" si="22"/>
        <v>7.5</v>
      </c>
      <c r="W230" s="13"/>
      <c r="CH230" s="2"/>
    </row>
    <row r="231" spans="1:86" hidden="1" x14ac:dyDescent="0.3">
      <c r="A231" s="23">
        <v>1946</v>
      </c>
      <c r="B231" s="2" t="s">
        <v>0</v>
      </c>
      <c r="C231" s="2" t="s">
        <v>21</v>
      </c>
      <c r="D231" s="2" t="s">
        <v>505</v>
      </c>
      <c r="E231" s="2">
        <v>100</v>
      </c>
      <c r="F231" s="2">
        <v>3.0700000000000002E-2</v>
      </c>
      <c r="G231" s="2">
        <v>1.9E-2</v>
      </c>
      <c r="H231" s="4">
        <f t="shared" si="23"/>
        <v>0.38110749185667758</v>
      </c>
      <c r="I231" s="2" t="s">
        <v>3</v>
      </c>
      <c r="J231" s="2" t="s">
        <v>504</v>
      </c>
      <c r="K231" s="2" t="s">
        <v>200</v>
      </c>
      <c r="L231" s="2" t="s">
        <v>76</v>
      </c>
      <c r="M231" s="155">
        <v>2</v>
      </c>
      <c r="N231" s="155">
        <v>50</v>
      </c>
      <c r="O231" s="2">
        <v>2</v>
      </c>
      <c r="P231" s="2">
        <v>110</v>
      </c>
      <c r="Q231" s="132">
        <f t="shared" si="24"/>
        <v>5.6</v>
      </c>
      <c r="R231" s="33">
        <f t="shared" si="25"/>
        <v>102.85714285714286</v>
      </c>
      <c r="S231" s="132">
        <f t="shared" si="26"/>
        <v>12.857142857142858</v>
      </c>
      <c r="T231" s="132">
        <f t="shared" si="22"/>
        <v>12.857142857142858</v>
      </c>
      <c r="V231"/>
      <c r="W231" s="18"/>
      <c r="X231" s="18"/>
      <c r="Y231" s="160"/>
      <c r="Z231" s="18"/>
      <c r="AA231" s="18"/>
      <c r="AB231" s="18"/>
      <c r="AC231" s="18"/>
      <c r="AD231" s="26">
        <v>44621</v>
      </c>
      <c r="AE231">
        <v>12</v>
      </c>
      <c r="AF231">
        <v>1.4</v>
      </c>
      <c r="AG231">
        <v>0.4</v>
      </c>
      <c r="AH231">
        <v>1.6</v>
      </c>
      <c r="AI231">
        <v>0.4</v>
      </c>
      <c r="AJ231">
        <v>0.5</v>
      </c>
      <c r="AK231">
        <v>0.28000000000000003</v>
      </c>
      <c r="AL231">
        <v>0.14000000000000001</v>
      </c>
      <c r="AM231">
        <v>0.3</v>
      </c>
      <c r="AN231">
        <v>0.2</v>
      </c>
      <c r="AO231">
        <v>5.6</v>
      </c>
      <c r="AP231">
        <v>50</v>
      </c>
      <c r="AQ231">
        <v>128</v>
      </c>
      <c r="AR231">
        <v>128</v>
      </c>
      <c r="AS231">
        <v>129</v>
      </c>
      <c r="AT231">
        <v>75</v>
      </c>
      <c r="AU231">
        <v>30</v>
      </c>
      <c r="AV231">
        <v>40</v>
      </c>
      <c r="AW231">
        <v>30</v>
      </c>
      <c r="AX231">
        <v>100</v>
      </c>
      <c r="AY231">
        <v>260</v>
      </c>
      <c r="AZ231" t="s">
        <v>78</v>
      </c>
      <c r="BA231">
        <v>900</v>
      </c>
      <c r="BB231">
        <v>10</v>
      </c>
      <c r="CH231" s="2"/>
    </row>
    <row r="232" spans="1:86" hidden="1" x14ac:dyDescent="0.3">
      <c r="A232" s="2">
        <v>1128</v>
      </c>
      <c r="B232" s="2" t="s">
        <v>0</v>
      </c>
      <c r="C232" s="2" t="s">
        <v>21</v>
      </c>
      <c r="D232" s="2" t="s">
        <v>506</v>
      </c>
      <c r="E232" s="2">
        <v>200</v>
      </c>
      <c r="F232" s="2">
        <v>3.8399999999999997E-2</v>
      </c>
      <c r="G232" s="2">
        <v>2.5399999999999999E-2</v>
      </c>
      <c r="H232" s="4">
        <f t="shared" si="23"/>
        <v>0.33854166666666663</v>
      </c>
      <c r="I232" s="2" t="s">
        <v>82</v>
      </c>
      <c r="J232" s="2" t="s">
        <v>341</v>
      </c>
      <c r="K232" s="2" t="s">
        <v>200</v>
      </c>
      <c r="L232" s="2" t="s">
        <v>76</v>
      </c>
      <c r="M232" s="155"/>
      <c r="N232" s="155"/>
      <c r="O232" s="2">
        <v>2</v>
      </c>
      <c r="P232" s="6">
        <v>40</v>
      </c>
      <c r="Q232" s="132">
        <f t="shared" si="24"/>
        <v>7.2</v>
      </c>
      <c r="R232" s="33">
        <f t="shared" si="25"/>
        <v>40</v>
      </c>
      <c r="S232" s="132">
        <f t="shared" si="26"/>
        <v>5</v>
      </c>
      <c r="T232" s="132">
        <f t="shared" si="22"/>
        <v>5</v>
      </c>
      <c r="W232" s="13"/>
      <c r="CH232" s="2"/>
    </row>
    <row r="233" spans="1:86" hidden="1" x14ac:dyDescent="0.3">
      <c r="A233" s="2">
        <v>1131</v>
      </c>
      <c r="B233" s="2" t="s">
        <v>0</v>
      </c>
      <c r="C233" s="2" t="s">
        <v>21</v>
      </c>
      <c r="D233" s="123" t="s">
        <v>507</v>
      </c>
      <c r="E233" s="2">
        <v>200</v>
      </c>
      <c r="F233" s="2">
        <v>3.4500000000000003E-2</v>
      </c>
      <c r="G233" s="2">
        <v>2.23E-2</v>
      </c>
      <c r="H233" s="4">
        <f t="shared" si="23"/>
        <v>0.35362318840579715</v>
      </c>
      <c r="I233" s="123" t="s">
        <v>86</v>
      </c>
      <c r="J233" s="2" t="s">
        <v>203</v>
      </c>
      <c r="K233" s="2" t="s">
        <v>200</v>
      </c>
      <c r="L233" s="2" t="s">
        <v>76</v>
      </c>
      <c r="M233" s="155"/>
      <c r="N233" s="155"/>
      <c r="O233" s="2">
        <v>2</v>
      </c>
      <c r="P233" s="6">
        <v>36</v>
      </c>
      <c r="Q233" s="132">
        <f t="shared" si="24"/>
        <v>8</v>
      </c>
      <c r="R233" s="33">
        <f t="shared" si="25"/>
        <v>36</v>
      </c>
      <c r="S233" s="132">
        <f t="shared" si="26"/>
        <v>4.5</v>
      </c>
      <c r="T233" s="132">
        <f t="shared" si="22"/>
        <v>4.5</v>
      </c>
      <c r="W233" s="13"/>
      <c r="CH233" s="2"/>
    </row>
    <row r="234" spans="1:86" hidden="1" x14ac:dyDescent="0.3">
      <c r="A234" s="23">
        <v>1947</v>
      </c>
      <c r="B234" s="2" t="s">
        <v>0</v>
      </c>
      <c r="C234" s="2" t="s">
        <v>21</v>
      </c>
      <c r="D234" s="2" t="s">
        <v>508</v>
      </c>
      <c r="E234" s="2">
        <v>100</v>
      </c>
      <c r="F234" s="2">
        <v>3.8399999999999997E-2</v>
      </c>
      <c r="G234" s="2">
        <v>2.5399999999999999E-2</v>
      </c>
      <c r="H234" s="4">
        <f t="shared" si="23"/>
        <v>0.33854166666666663</v>
      </c>
      <c r="I234" s="2" t="s">
        <v>82</v>
      </c>
      <c r="J234" s="2" t="s">
        <v>341</v>
      </c>
      <c r="K234" s="2" t="s">
        <v>200</v>
      </c>
      <c r="L234" s="2" t="s">
        <v>76</v>
      </c>
      <c r="M234" s="155"/>
      <c r="N234" s="155"/>
      <c r="O234" s="2">
        <v>2</v>
      </c>
      <c r="P234" s="2">
        <v>70</v>
      </c>
      <c r="Q234" s="132">
        <f t="shared" si="24"/>
        <v>6.4</v>
      </c>
      <c r="R234" s="33">
        <f t="shared" si="25"/>
        <v>90</v>
      </c>
      <c r="S234" s="132">
        <f t="shared" si="26"/>
        <v>11.25</v>
      </c>
      <c r="T234" s="132">
        <f t="shared" si="22"/>
        <v>11.25</v>
      </c>
      <c r="V234"/>
      <c r="W234" s="18"/>
      <c r="X234" s="18"/>
      <c r="Y234" s="160"/>
      <c r="Z234" s="18"/>
      <c r="AA234" s="18"/>
      <c r="AB234" s="18"/>
      <c r="AC234" s="18"/>
      <c r="AD234" s="153">
        <v>45630</v>
      </c>
      <c r="AE234">
        <v>12</v>
      </c>
      <c r="AF234">
        <v>1.4</v>
      </c>
      <c r="AG234">
        <v>0.35</v>
      </c>
      <c r="AH234">
        <v>1.3</v>
      </c>
      <c r="AI234">
        <v>0.35</v>
      </c>
      <c r="AJ234">
        <v>0.03</v>
      </c>
      <c r="AK234">
        <v>0.18</v>
      </c>
      <c r="AL234">
        <v>1</v>
      </c>
      <c r="AM234">
        <v>0.8</v>
      </c>
      <c r="AN234">
        <v>0.4</v>
      </c>
      <c r="AO234">
        <v>6.4</v>
      </c>
      <c r="AP234">
        <v>41</v>
      </c>
      <c r="AQ234">
        <v>99</v>
      </c>
      <c r="AR234">
        <v>99</v>
      </c>
      <c r="AS234">
        <v>99</v>
      </c>
      <c r="AT234">
        <v>50</v>
      </c>
      <c r="AU234">
        <v>30</v>
      </c>
      <c r="AV234">
        <v>35</v>
      </c>
      <c r="AW234">
        <v>42</v>
      </c>
      <c r="AX234">
        <v>41</v>
      </c>
      <c r="AY234">
        <v>260</v>
      </c>
      <c r="AZ234" t="s">
        <v>78</v>
      </c>
      <c r="BA234">
        <v>500</v>
      </c>
      <c r="BB234">
        <v>10</v>
      </c>
      <c r="CH234" s="2"/>
    </row>
    <row r="235" spans="1:86" hidden="1" x14ac:dyDescent="0.3">
      <c r="A235" s="2">
        <v>1132</v>
      </c>
      <c r="B235" s="2" t="s">
        <v>0</v>
      </c>
      <c r="C235" s="2" t="s">
        <v>21</v>
      </c>
      <c r="D235" s="2" t="s">
        <v>509</v>
      </c>
      <c r="E235" s="2">
        <v>200</v>
      </c>
      <c r="F235" s="2">
        <v>4.9299999999999997E-2</v>
      </c>
      <c r="G235" s="2">
        <v>3.1800000000000002E-2</v>
      </c>
      <c r="H235" s="4">
        <f t="shared" si="23"/>
        <v>0.35496957403651108</v>
      </c>
      <c r="I235" s="2" t="s">
        <v>82</v>
      </c>
      <c r="J235" s="2" t="s">
        <v>510</v>
      </c>
      <c r="K235" s="2" t="s">
        <v>200</v>
      </c>
      <c r="L235" s="2" t="s">
        <v>76</v>
      </c>
      <c r="M235" s="155"/>
      <c r="N235" s="155"/>
      <c r="O235" s="2">
        <v>2</v>
      </c>
      <c r="P235" s="6">
        <v>36</v>
      </c>
      <c r="Q235" s="132">
        <f t="shared" si="24"/>
        <v>8</v>
      </c>
      <c r="R235" s="33">
        <f t="shared" si="25"/>
        <v>36</v>
      </c>
      <c r="S235" s="132">
        <f t="shared" si="26"/>
        <v>4.5</v>
      </c>
      <c r="T235" s="132">
        <f t="shared" si="22"/>
        <v>4.5</v>
      </c>
      <c r="W235" s="13"/>
      <c r="CH235" s="2"/>
    </row>
    <row r="236" spans="1:86" hidden="1" x14ac:dyDescent="0.3">
      <c r="A236" s="2">
        <v>1133</v>
      </c>
      <c r="B236" s="2" t="s">
        <v>84</v>
      </c>
      <c r="C236" s="2" t="s">
        <v>21</v>
      </c>
      <c r="D236" s="123" t="s">
        <v>511</v>
      </c>
      <c r="E236" s="2">
        <v>200</v>
      </c>
      <c r="F236" s="2">
        <v>4.3099999999999999E-2</v>
      </c>
      <c r="G236" s="2">
        <v>2.7799999999999998E-2</v>
      </c>
      <c r="H236" s="4">
        <f t="shared" si="23"/>
        <v>0.35498839907192581</v>
      </c>
      <c r="I236" s="123" t="s">
        <v>86</v>
      </c>
      <c r="J236" s="2" t="s">
        <v>212</v>
      </c>
      <c r="K236" s="2" t="s">
        <v>200</v>
      </c>
      <c r="L236" s="2" t="s">
        <v>76</v>
      </c>
      <c r="M236" s="155"/>
      <c r="N236" s="155"/>
      <c r="O236" s="2">
        <v>2</v>
      </c>
      <c r="P236" s="6"/>
      <c r="Q236" s="132" t="str">
        <f t="shared" si="24"/>
        <v/>
      </c>
      <c r="R236" s="33" t="str">
        <f t="shared" si="25"/>
        <v/>
      </c>
      <c r="S236" s="132" t="str">
        <f t="shared" si="26"/>
        <v/>
      </c>
      <c r="T236" s="132" t="str">
        <f t="shared" si="22"/>
        <v/>
      </c>
      <c r="W236" s="13"/>
      <c r="CH236" s="2"/>
    </row>
    <row r="237" spans="1:86" hidden="1" x14ac:dyDescent="0.3">
      <c r="A237" s="2">
        <v>1948</v>
      </c>
      <c r="B237" s="23" t="s">
        <v>0</v>
      </c>
      <c r="C237" s="2" t="s">
        <v>21</v>
      </c>
      <c r="D237" s="2" t="s">
        <v>512</v>
      </c>
      <c r="E237" s="2">
        <v>100</v>
      </c>
      <c r="F237" s="2">
        <v>4.9299999999999997E-2</v>
      </c>
      <c r="G237" s="2">
        <v>3.1800000000000002E-2</v>
      </c>
      <c r="H237" s="4">
        <f t="shared" si="23"/>
        <v>0.35496957403651108</v>
      </c>
      <c r="I237" s="2" t="s">
        <v>82</v>
      </c>
      <c r="J237" s="2" t="s">
        <v>510</v>
      </c>
      <c r="K237" s="2" t="s">
        <v>200</v>
      </c>
      <c r="L237" s="2" t="s">
        <v>76</v>
      </c>
      <c r="M237" s="155"/>
      <c r="N237" s="155"/>
      <c r="O237" s="2">
        <v>2</v>
      </c>
      <c r="P237" s="2">
        <v>65</v>
      </c>
      <c r="Q237" s="132">
        <f t="shared" si="24"/>
        <v>8.861538461538462</v>
      </c>
      <c r="R237" s="33">
        <f t="shared" si="25"/>
        <v>65</v>
      </c>
      <c r="S237" s="132">
        <f t="shared" si="26"/>
        <v>8.125</v>
      </c>
      <c r="T237" s="132">
        <f t="shared" si="22"/>
        <v>8.125</v>
      </c>
      <c r="V237"/>
      <c r="W237" s="18"/>
      <c r="X237" s="18"/>
      <c r="Y237" s="160"/>
      <c r="Z237" s="18"/>
      <c r="AA237" s="18"/>
      <c r="AB237" s="18"/>
      <c r="AC237" s="18"/>
      <c r="AD237" s="18"/>
      <c r="CH237" s="2"/>
    </row>
    <row r="238" spans="1:86" hidden="1" x14ac:dyDescent="0.3">
      <c r="A238" s="23">
        <v>1082</v>
      </c>
      <c r="B238" s="2" t="s">
        <v>0</v>
      </c>
      <c r="C238" s="2" t="s">
        <v>21</v>
      </c>
      <c r="D238" s="2" t="s">
        <v>513</v>
      </c>
      <c r="E238" s="2">
        <v>100</v>
      </c>
      <c r="F238" s="2">
        <v>9.3299999999999994E-2</v>
      </c>
      <c r="G238" s="2">
        <v>7.1999999999999995E-2</v>
      </c>
      <c r="H238" s="4">
        <f t="shared" si="23"/>
        <v>0.22829581993569134</v>
      </c>
      <c r="I238" s="2" t="s">
        <v>73</v>
      </c>
      <c r="J238" s="2" t="s">
        <v>514</v>
      </c>
      <c r="K238" s="2" t="s">
        <v>105</v>
      </c>
      <c r="L238" s="2" t="s">
        <v>76</v>
      </c>
      <c r="M238" s="155">
        <v>2</v>
      </c>
      <c r="N238" s="155">
        <v>50</v>
      </c>
      <c r="O238" s="2">
        <v>1</v>
      </c>
      <c r="P238" s="6">
        <v>50</v>
      </c>
      <c r="Q238" s="132">
        <f t="shared" si="24"/>
        <v>4.5999999999999996</v>
      </c>
      <c r="R238" s="33">
        <f t="shared" si="25"/>
        <v>62.608695652173921</v>
      </c>
      <c r="S238" s="132">
        <f t="shared" si="26"/>
        <v>7.8260869565217401</v>
      </c>
      <c r="T238" s="132">
        <f t="shared" si="22"/>
        <v>7.8260869565217401</v>
      </c>
      <c r="W238" s="13"/>
      <c r="AD238" s="22">
        <v>45545</v>
      </c>
      <c r="AE238">
        <v>15</v>
      </c>
      <c r="AF238">
        <v>1.3</v>
      </c>
      <c r="AG238">
        <v>0.2</v>
      </c>
      <c r="AH238">
        <v>1.1000000000000001</v>
      </c>
      <c r="AI238">
        <v>0.25</v>
      </c>
      <c r="AJ238">
        <v>0.45</v>
      </c>
      <c r="AK238">
        <v>0.16</v>
      </c>
      <c r="AL238">
        <v>0.14000000000000001</v>
      </c>
      <c r="AM238">
        <v>0.5</v>
      </c>
      <c r="AN238">
        <v>0.17</v>
      </c>
      <c r="AO238">
        <v>4.5999999999999996</v>
      </c>
      <c r="AP238">
        <v>51</v>
      </c>
      <c r="AQ238">
        <v>112</v>
      </c>
      <c r="AR238">
        <v>113</v>
      </c>
      <c r="AS238">
        <v>114</v>
      </c>
      <c r="AT238">
        <v>43</v>
      </c>
      <c r="AU238">
        <v>20</v>
      </c>
      <c r="AV238">
        <v>40</v>
      </c>
      <c r="AW238">
        <v>20</v>
      </c>
      <c r="AX238">
        <v>100</v>
      </c>
      <c r="AY238">
        <v>288</v>
      </c>
      <c r="AZ238" t="s">
        <v>78</v>
      </c>
      <c r="BA238">
        <v>1700</v>
      </c>
      <c r="BB238">
        <v>10</v>
      </c>
      <c r="BE238" s="116">
        <f>AO238/BQ238-1</f>
        <v>-4.1666666666666741E-2</v>
      </c>
      <c r="BF238" s="22">
        <v>45376</v>
      </c>
      <c r="BG238">
        <v>14</v>
      </c>
      <c r="BH238">
        <v>1.1000000000000001</v>
      </c>
      <c r="BI238">
        <v>0.2</v>
      </c>
      <c r="BJ238">
        <v>1.1000000000000001</v>
      </c>
      <c r="BK238">
        <v>0.2</v>
      </c>
      <c r="BL238">
        <v>0.5</v>
      </c>
      <c r="BM238">
        <v>0.13</v>
      </c>
      <c r="BN238">
        <v>0.18</v>
      </c>
      <c r="BO238">
        <v>0.45</v>
      </c>
      <c r="BP238">
        <v>0.35</v>
      </c>
      <c r="BQ238">
        <v>4.8</v>
      </c>
      <c r="BR238">
        <v>52</v>
      </c>
      <c r="BS238">
        <v>113</v>
      </c>
      <c r="BT238">
        <v>11</v>
      </c>
      <c r="BU238">
        <v>109</v>
      </c>
      <c r="BV238">
        <v>45</v>
      </c>
      <c r="BW238">
        <v>20</v>
      </c>
      <c r="BX238">
        <v>40</v>
      </c>
      <c r="BY238">
        <v>20</v>
      </c>
      <c r="BZ238">
        <v>100</v>
      </c>
      <c r="CA238">
        <v>288</v>
      </c>
      <c r="CB238" t="s">
        <v>78</v>
      </c>
      <c r="CC238">
        <v>400</v>
      </c>
      <c r="CD238">
        <v>10</v>
      </c>
      <c r="CH238" s="2"/>
    </row>
    <row r="239" spans="1:86" hidden="1" x14ac:dyDescent="0.3">
      <c r="A239" s="23">
        <v>1084</v>
      </c>
      <c r="B239" s="2" t="s">
        <v>0</v>
      </c>
      <c r="C239" s="2" t="s">
        <v>21</v>
      </c>
      <c r="D239" s="2" t="s">
        <v>515</v>
      </c>
      <c r="E239" s="2">
        <v>100</v>
      </c>
      <c r="F239" s="2">
        <v>0.1066</v>
      </c>
      <c r="G239" s="2">
        <v>8.2699999999999996E-2</v>
      </c>
      <c r="H239" s="91">
        <f t="shared" si="23"/>
        <v>0.22420262664165108</v>
      </c>
      <c r="I239" s="2" t="s">
        <v>82</v>
      </c>
      <c r="J239" s="2" t="s">
        <v>516</v>
      </c>
      <c r="K239" s="2" t="s">
        <v>105</v>
      </c>
      <c r="L239" s="2" t="s">
        <v>76</v>
      </c>
      <c r="M239" s="155">
        <v>2</v>
      </c>
      <c r="N239" s="155">
        <v>50</v>
      </c>
      <c r="O239" s="2">
        <v>1</v>
      </c>
      <c r="P239" s="6">
        <v>44</v>
      </c>
      <c r="Q239" s="132">
        <v>5.6</v>
      </c>
      <c r="R239" s="137">
        <v>51</v>
      </c>
      <c r="S239" s="132">
        <v>6.3</v>
      </c>
      <c r="T239" s="132" t="s">
        <v>517</v>
      </c>
      <c r="V239" s="92"/>
      <c r="W239" s="13"/>
      <c r="AD239" s="22">
        <v>45392</v>
      </c>
      <c r="AE239" t="s">
        <v>518</v>
      </c>
      <c r="AF239" s="13" t="s">
        <v>519</v>
      </c>
      <c r="AG239" s="13" t="s">
        <v>520</v>
      </c>
      <c r="AH239" s="13" t="s">
        <v>521</v>
      </c>
      <c r="AI239" s="13" t="s">
        <v>520</v>
      </c>
      <c r="AJ239" s="13" t="s">
        <v>522</v>
      </c>
      <c r="AK239" s="13" t="s">
        <v>523</v>
      </c>
      <c r="AL239" s="13" t="s">
        <v>524</v>
      </c>
      <c r="AM239" s="13" t="s">
        <v>525</v>
      </c>
      <c r="AN239" s="13" t="s">
        <v>526</v>
      </c>
      <c r="AO239" s="13" t="s">
        <v>527</v>
      </c>
      <c r="AP239" t="s">
        <v>528</v>
      </c>
      <c r="AQ239" t="s">
        <v>529</v>
      </c>
      <c r="AR239" t="s">
        <v>530</v>
      </c>
      <c r="AS239" t="s">
        <v>531</v>
      </c>
      <c r="AT239" t="s">
        <v>532</v>
      </c>
      <c r="AU239" s="13" t="s">
        <v>122</v>
      </c>
      <c r="AV239" s="13" t="s">
        <v>123</v>
      </c>
      <c r="AW239" s="13" t="s">
        <v>122</v>
      </c>
      <c r="AX239" t="s">
        <v>124</v>
      </c>
      <c r="AY239" t="s">
        <v>533</v>
      </c>
      <c r="AZ239" t="s">
        <v>78</v>
      </c>
      <c r="BA239" s="13" t="s">
        <v>534</v>
      </c>
      <c r="BB239" s="39" t="s">
        <v>127</v>
      </c>
      <c r="CH239" s="2"/>
    </row>
    <row r="240" spans="1:86" hidden="1" x14ac:dyDescent="0.3">
      <c r="A240" s="2">
        <v>1083</v>
      </c>
      <c r="B240" s="2" t="s">
        <v>0</v>
      </c>
      <c r="C240" s="2" t="s">
        <v>21</v>
      </c>
      <c r="D240" s="123" t="s">
        <v>535</v>
      </c>
      <c r="E240" s="2">
        <v>100</v>
      </c>
      <c r="F240" s="2">
        <v>0.1066</v>
      </c>
      <c r="G240" s="2">
        <v>8.2699999999999996E-2</v>
      </c>
      <c r="H240" s="4">
        <f t="shared" si="23"/>
        <v>0.22420262664165108</v>
      </c>
      <c r="I240" s="123" t="s">
        <v>73</v>
      </c>
      <c r="J240" s="2" t="s">
        <v>514</v>
      </c>
      <c r="K240" s="2" t="s">
        <v>105</v>
      </c>
      <c r="L240" s="2" t="s">
        <v>76</v>
      </c>
      <c r="M240" s="155"/>
      <c r="N240" s="155"/>
      <c r="O240" s="2">
        <v>1</v>
      </c>
      <c r="P240" s="6">
        <v>44</v>
      </c>
      <c r="Q240" s="132">
        <f>IFERROR(IF(AO240&gt;1,AO240,60*60*8*O240/P240/E240),"")</f>
        <v>6.545454545454545</v>
      </c>
      <c r="R240" s="33">
        <f>IFERROR(60*60*8*O240/E240/Q240,"")</f>
        <v>44</v>
      </c>
      <c r="S240" s="132">
        <f>IFERROR(R240/8,"")</f>
        <v>5.5</v>
      </c>
      <c r="T240" s="132">
        <f>IFERROR(IF(R240&gt;2,S240,""),"")</f>
        <v>5.5</v>
      </c>
      <c r="W240" s="13"/>
      <c r="CH240" s="2"/>
    </row>
    <row r="241" spans="1:86" hidden="1" x14ac:dyDescent="0.3">
      <c r="A241" s="2">
        <v>1081</v>
      </c>
      <c r="B241" s="2" t="s">
        <v>84</v>
      </c>
      <c r="C241" s="2" t="s">
        <v>21</v>
      </c>
      <c r="D241" s="123" t="s">
        <v>536</v>
      </c>
      <c r="E241" s="2">
        <v>100</v>
      </c>
      <c r="F241" s="2">
        <v>7.3300000000000004E-2</v>
      </c>
      <c r="G241" s="2">
        <v>5.5100000000000003E-2</v>
      </c>
      <c r="H241" s="4">
        <f t="shared" si="23"/>
        <v>0.24829467939972716</v>
      </c>
      <c r="I241" s="123" t="s">
        <v>86</v>
      </c>
      <c r="J241" s="2" t="s">
        <v>537</v>
      </c>
      <c r="K241" s="2" t="s">
        <v>105</v>
      </c>
      <c r="L241" s="2" t="s">
        <v>76</v>
      </c>
      <c r="M241" s="155"/>
      <c r="N241" s="155"/>
      <c r="O241" s="2">
        <v>1</v>
      </c>
      <c r="P241" s="6"/>
      <c r="Q241" s="132" t="str">
        <f>IFERROR(IF(AO241&gt;1,AO241,60*60*8*O241/P241/E241),"")</f>
        <v/>
      </c>
      <c r="R241" s="33" t="str">
        <f>IFERROR(60*60*8*O241/E241/Q241,"")</f>
        <v/>
      </c>
      <c r="S241" s="132" t="str">
        <f>IFERROR(R241/8,"")</f>
        <v/>
      </c>
      <c r="T241" s="132" t="str">
        <f>IFERROR(IF(R241&gt;2,S241,""),"")</f>
        <v/>
      </c>
      <c r="W241" s="13"/>
      <c r="CH241" s="2"/>
    </row>
    <row r="242" spans="1:86" hidden="1" x14ac:dyDescent="0.3">
      <c r="A242" s="23">
        <v>1087</v>
      </c>
      <c r="B242" s="2" t="s">
        <v>0</v>
      </c>
      <c r="C242" s="2" t="s">
        <v>21</v>
      </c>
      <c r="D242" s="2" t="s">
        <v>538</v>
      </c>
      <c r="E242" s="2">
        <v>100</v>
      </c>
      <c r="F242" s="2">
        <v>7.9899999999999999E-2</v>
      </c>
      <c r="G242" s="2">
        <v>6.13E-2</v>
      </c>
      <c r="H242" s="4">
        <f t="shared" si="23"/>
        <v>0.23279098873591988</v>
      </c>
      <c r="I242" s="2" t="s">
        <v>73</v>
      </c>
      <c r="J242" s="2" t="s">
        <v>186</v>
      </c>
      <c r="K242" s="2" t="s">
        <v>105</v>
      </c>
      <c r="L242" s="2" t="s">
        <v>76</v>
      </c>
      <c r="M242" s="155">
        <v>2</v>
      </c>
      <c r="N242" s="155">
        <v>50</v>
      </c>
      <c r="O242" s="2">
        <v>1</v>
      </c>
      <c r="P242" s="6">
        <v>62</v>
      </c>
      <c r="Q242" s="132">
        <f>IFERROR(IF(AO242&gt;1,AO242,60*60*8*O242/P242/E242),"")</f>
        <v>4.3</v>
      </c>
      <c r="R242" s="33">
        <f>IFERROR(60*60*8*O242/E242/Q242,"")</f>
        <v>66.976744186046517</v>
      </c>
      <c r="S242" s="132">
        <f>IFERROR(R242/8,"")</f>
        <v>8.3720930232558146</v>
      </c>
      <c r="T242" s="132">
        <f>IFERROR(IF(R242&gt;2,S242,""),"")</f>
        <v>8.3720930232558146</v>
      </c>
      <c r="W242" s="13"/>
      <c r="AD242" s="22">
        <v>45385</v>
      </c>
      <c r="AE242">
        <v>14</v>
      </c>
      <c r="AF242">
        <v>1.3</v>
      </c>
      <c r="AG242">
        <v>0.1</v>
      </c>
      <c r="AH242">
        <v>1</v>
      </c>
      <c r="AI242">
        <v>0.1</v>
      </c>
      <c r="AJ242">
        <v>0.5</v>
      </c>
      <c r="AK242">
        <v>0.13</v>
      </c>
      <c r="AL242">
        <v>0.16</v>
      </c>
      <c r="AM242">
        <v>0.3</v>
      </c>
      <c r="AN242">
        <v>0.22</v>
      </c>
      <c r="AO242">
        <v>4.3</v>
      </c>
      <c r="AP242">
        <v>49</v>
      </c>
      <c r="AQ242">
        <v>114</v>
      </c>
      <c r="AR242">
        <v>111</v>
      </c>
      <c r="AS242">
        <v>100</v>
      </c>
      <c r="AT242">
        <v>48</v>
      </c>
      <c r="AU242">
        <v>20</v>
      </c>
      <c r="AV242">
        <v>40</v>
      </c>
      <c r="AW242">
        <v>20</v>
      </c>
      <c r="AX242">
        <v>100</v>
      </c>
      <c r="AY242">
        <v>289</v>
      </c>
      <c r="AZ242" t="s">
        <v>78</v>
      </c>
      <c r="BA242">
        <v>1000</v>
      </c>
      <c r="BB242">
        <v>10</v>
      </c>
      <c r="CH242" s="2"/>
    </row>
    <row r="243" spans="1:86" hidden="1" x14ac:dyDescent="0.3">
      <c r="A243" s="2">
        <v>1086</v>
      </c>
      <c r="B243" s="2" t="s">
        <v>84</v>
      </c>
      <c r="C243" s="2" t="s">
        <v>21</v>
      </c>
      <c r="D243" s="123" t="s">
        <v>539</v>
      </c>
      <c r="E243" s="2">
        <v>100</v>
      </c>
      <c r="F243" s="2">
        <v>5.91E-2</v>
      </c>
      <c r="G243" s="2">
        <v>4.7399999999999998E-2</v>
      </c>
      <c r="H243" s="4">
        <f t="shared" si="23"/>
        <v>0.19796954314720816</v>
      </c>
      <c r="I243" s="123" t="s">
        <v>86</v>
      </c>
      <c r="J243" s="2" t="s">
        <v>291</v>
      </c>
      <c r="K243" s="2" t="s">
        <v>105</v>
      </c>
      <c r="L243" s="2" t="s">
        <v>76</v>
      </c>
      <c r="M243" s="155"/>
      <c r="N243" s="155"/>
      <c r="O243" s="2">
        <v>1</v>
      </c>
      <c r="P243" s="6"/>
      <c r="Q243" s="132" t="str">
        <f>IFERROR(IF(AO243&gt;1,AO243,60*60*8*O243/P243/E243),"")</f>
        <v/>
      </c>
      <c r="R243" s="33" t="str">
        <f>IFERROR(60*60*8*O243/E243/Q243,"")</f>
        <v/>
      </c>
      <c r="S243" s="132" t="str">
        <f>IFERROR(R243/8,"")</f>
        <v/>
      </c>
      <c r="T243" s="132" t="str">
        <f>IFERROR(IF(R243&gt;2,S243,""),"")</f>
        <v/>
      </c>
      <c r="W243" s="13"/>
      <c r="CH243" s="2"/>
    </row>
    <row r="244" spans="1:86" hidden="1" x14ac:dyDescent="0.3">
      <c r="A244" s="2">
        <v>3</v>
      </c>
      <c r="B244" s="2" t="s">
        <v>84</v>
      </c>
      <c r="C244" s="2" t="s">
        <v>21</v>
      </c>
      <c r="D244" s="2"/>
      <c r="E244" s="2">
        <v>1500</v>
      </c>
      <c r="F244" s="2">
        <v>1.38E-2</v>
      </c>
      <c r="G244" s="2"/>
      <c r="H244" s="4">
        <f t="shared" si="23"/>
        <v>1</v>
      </c>
      <c r="I244" s="2" t="s">
        <v>370</v>
      </c>
      <c r="J244" s="2" t="s">
        <v>373</v>
      </c>
      <c r="K244" s="2" t="s">
        <v>105</v>
      </c>
      <c r="L244" s="2" t="s">
        <v>76</v>
      </c>
      <c r="M244" s="155"/>
      <c r="N244" s="155"/>
      <c r="O244" s="2">
        <v>8</v>
      </c>
      <c r="P244" s="6"/>
      <c r="Q244" s="132" t="str">
        <f>IFERROR(IF(AO244&gt;1,AO244,60*60*8*O244/P244/E244),"")</f>
        <v/>
      </c>
      <c r="R244" s="33" t="str">
        <f>IFERROR(60*60*8*O244/E244/Q244,"")</f>
        <v/>
      </c>
      <c r="S244" s="132" t="str">
        <f>IFERROR(R244/8,"")</f>
        <v/>
      </c>
      <c r="T244" s="132" t="str">
        <f>IFERROR(IF(R244&gt;2,S244,""),"")</f>
        <v/>
      </c>
      <c r="W244" s="13"/>
      <c r="CH244" s="2"/>
    </row>
    <row r="245" spans="1:86" hidden="1" x14ac:dyDescent="0.3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CH245" s="2"/>
    </row>
    <row r="250" spans="1:86" ht="28.8" x14ac:dyDescent="0.3">
      <c r="A250" s="2" t="s">
        <v>542</v>
      </c>
      <c r="B250" s="2" t="s">
        <v>24</v>
      </c>
      <c r="C250" s="2" t="s">
        <v>25</v>
      </c>
      <c r="D250" s="2"/>
      <c r="E250" s="2" t="s">
        <v>27</v>
      </c>
      <c r="F250" s="2" t="s">
        <v>28</v>
      </c>
      <c r="G250" s="2" t="s">
        <v>29</v>
      </c>
      <c r="H250" s="3" t="s">
        <v>30</v>
      </c>
      <c r="I250" s="2" t="s">
        <v>31</v>
      </c>
      <c r="J250" s="2" t="s">
        <v>32</v>
      </c>
      <c r="K250" s="2" t="s">
        <v>33</v>
      </c>
      <c r="L250" s="2" t="s">
        <v>34</v>
      </c>
      <c r="M250" s="156" t="s">
        <v>35</v>
      </c>
      <c r="N250" s="156" t="s">
        <v>36</v>
      </c>
      <c r="O250" s="2" t="s">
        <v>37</v>
      </c>
      <c r="P250" s="6" t="s">
        <v>16</v>
      </c>
      <c r="Q250" s="133" t="s">
        <v>38</v>
      </c>
      <c r="R250" s="133" t="s">
        <v>39</v>
      </c>
      <c r="S250" s="133" t="s">
        <v>40</v>
      </c>
      <c r="T250" s="133" t="s">
        <v>40</v>
      </c>
      <c r="AD250" t="s">
        <v>543</v>
      </c>
      <c r="AE250" t="s">
        <v>25</v>
      </c>
      <c r="AF250" t="s">
        <v>544</v>
      </c>
      <c r="AG250" t="s">
        <v>545</v>
      </c>
      <c r="AH250" t="s">
        <v>546</v>
      </c>
      <c r="AI250" t="s">
        <v>547</v>
      </c>
      <c r="AJ250" t="s">
        <v>548</v>
      </c>
      <c r="AK250" t="s">
        <v>549</v>
      </c>
      <c r="AL250" t="s">
        <v>550</v>
      </c>
      <c r="AM250" t="s">
        <v>551</v>
      </c>
      <c r="AN250" t="s">
        <v>552</v>
      </c>
      <c r="AO250" t="s">
        <v>553</v>
      </c>
      <c r="AP250" t="s">
        <v>554</v>
      </c>
      <c r="AS250" t="s">
        <v>555</v>
      </c>
      <c r="AT250" t="s">
        <v>556</v>
      </c>
      <c r="AU250" t="s">
        <v>557</v>
      </c>
      <c r="AV250" t="s">
        <v>558</v>
      </c>
      <c r="AW250" t="s">
        <v>559</v>
      </c>
      <c r="AX250" t="s">
        <v>560</v>
      </c>
      <c r="AY250" t="s">
        <v>561</v>
      </c>
      <c r="AZ250" t="s">
        <v>562</v>
      </c>
      <c r="BA250" t="s">
        <v>563</v>
      </c>
      <c r="BB250" t="s">
        <v>564</v>
      </c>
      <c r="CH250" s="2" t="s">
        <v>1392</v>
      </c>
    </row>
    <row r="251" spans="1:86" ht="15.75" customHeight="1" x14ac:dyDescent="0.3">
      <c r="A251" s="2" t="s">
        <v>565</v>
      </c>
      <c r="B251" s="2" t="s">
        <v>84</v>
      </c>
      <c r="C251" s="2" t="s">
        <v>1</v>
      </c>
      <c r="D251" s="2" t="s">
        <v>566</v>
      </c>
      <c r="E251" s="2">
        <v>720</v>
      </c>
      <c r="F251" s="2">
        <v>2.9600000000000001E-2</v>
      </c>
      <c r="G251" s="2">
        <v>1.8499999999999999E-2</v>
      </c>
      <c r="H251" s="4">
        <f t="shared" ref="H251:H314" si="27">(F251-G251)/F251</f>
        <v>0.37500000000000006</v>
      </c>
      <c r="I251" s="2" t="s">
        <v>370</v>
      </c>
      <c r="J251" s="2" t="s">
        <v>426</v>
      </c>
      <c r="K251" s="2" t="s">
        <v>222</v>
      </c>
      <c r="L251" s="2" t="s">
        <v>76</v>
      </c>
      <c r="M251" s="155"/>
      <c r="N251" s="155"/>
      <c r="O251" s="2">
        <v>6</v>
      </c>
      <c r="P251" s="6"/>
      <c r="Q251" s="131" t="str">
        <f t="shared" ref="Q251:Q314" si="28">IFERROR(60*60*8*O251/E251/P251,"")</f>
        <v/>
      </c>
      <c r="R251" s="33" t="str">
        <f t="shared" ref="R251:R314" si="29">IFERROR(60*60*8*O251/E251/Q251,"")</f>
        <v/>
      </c>
      <c r="S251" s="132" t="str">
        <f t="shared" ref="S251:S314" si="30">IFERROR(R251/8,"")</f>
        <v/>
      </c>
      <c r="T251" s="132" t="str">
        <f t="shared" ref="T251:T314" si="31">IFERROR(IF(R251&gt;2,S251,""),"")</f>
        <v/>
      </c>
      <c r="V251" s="131" t="str">
        <f t="shared" ref="V251:V314" si="32">IF(X251&gt;10,X251*O251/E251,"")</f>
        <v/>
      </c>
      <c r="W251" s="17"/>
      <c r="X251" s="7"/>
      <c r="Y251" s="161"/>
      <c r="Z251" s="7"/>
      <c r="AA251" s="117"/>
      <c r="AB251" s="117"/>
      <c r="AC251" s="117"/>
      <c r="CH251" s="2"/>
    </row>
    <row r="252" spans="1:86" x14ac:dyDescent="0.3">
      <c r="A252" s="2">
        <v>11</v>
      </c>
      <c r="B252" s="2" t="s">
        <v>84</v>
      </c>
      <c r="C252" s="2" t="s">
        <v>1</v>
      </c>
      <c r="D252" s="2" t="s">
        <v>567</v>
      </c>
      <c r="E252" s="2">
        <v>600</v>
      </c>
      <c r="F252" s="2">
        <v>2.4E-2</v>
      </c>
      <c r="G252" s="2"/>
      <c r="H252" s="4">
        <f t="shared" si="27"/>
        <v>1</v>
      </c>
      <c r="I252" s="2" t="s">
        <v>73</v>
      </c>
      <c r="J252" s="2" t="s">
        <v>568</v>
      </c>
      <c r="K252" s="2"/>
      <c r="L252" s="2"/>
      <c r="M252" s="155"/>
      <c r="N252" s="155"/>
      <c r="O252" s="2">
        <v>15</v>
      </c>
      <c r="P252" s="6"/>
      <c r="Q252" s="131" t="str">
        <f t="shared" si="28"/>
        <v/>
      </c>
      <c r="R252" s="33" t="str">
        <f t="shared" si="29"/>
        <v/>
      </c>
      <c r="S252" s="132" t="str">
        <f t="shared" si="30"/>
        <v/>
      </c>
      <c r="T252" s="132" t="str">
        <f t="shared" si="31"/>
        <v/>
      </c>
      <c r="V252" s="131" t="str">
        <f t="shared" si="32"/>
        <v/>
      </c>
      <c r="W252" s="17"/>
      <c r="X252" s="7"/>
      <c r="Y252" s="161"/>
      <c r="Z252" s="7"/>
      <c r="AA252" s="117"/>
      <c r="AB252" s="117"/>
      <c r="AC252" s="117"/>
      <c r="CH252" s="2"/>
    </row>
    <row r="253" spans="1:86" x14ac:dyDescent="0.3">
      <c r="A253" s="2">
        <v>14</v>
      </c>
      <c r="B253" s="2" t="s">
        <v>84</v>
      </c>
      <c r="C253" s="2" t="s">
        <v>1</v>
      </c>
      <c r="D253" s="2" t="s">
        <v>569</v>
      </c>
      <c r="E253" s="2">
        <v>600</v>
      </c>
      <c r="F253" s="2">
        <v>2.64E-2</v>
      </c>
      <c r="G253" s="2"/>
      <c r="H253" s="4">
        <f t="shared" si="27"/>
        <v>1</v>
      </c>
      <c r="I253" s="2" t="s">
        <v>370</v>
      </c>
      <c r="J253" s="2" t="s">
        <v>570</v>
      </c>
      <c r="K253" s="2" t="s">
        <v>105</v>
      </c>
      <c r="L253" s="2" t="s">
        <v>76</v>
      </c>
      <c r="M253" s="155"/>
      <c r="N253" s="155"/>
      <c r="O253" s="2">
        <v>12</v>
      </c>
      <c r="P253" s="6"/>
      <c r="Q253" s="131" t="str">
        <f t="shared" si="28"/>
        <v/>
      </c>
      <c r="R253" s="33" t="str">
        <f t="shared" si="29"/>
        <v/>
      </c>
      <c r="S253" s="132" t="str">
        <f t="shared" si="30"/>
        <v/>
      </c>
      <c r="T253" s="132" t="str">
        <f t="shared" si="31"/>
        <v/>
      </c>
      <c r="V253" s="131" t="str">
        <f t="shared" si="32"/>
        <v/>
      </c>
      <c r="W253" s="17"/>
      <c r="X253" s="7"/>
      <c r="Y253" s="161"/>
      <c r="Z253" s="7"/>
      <c r="AA253" s="117"/>
      <c r="AB253" s="117"/>
      <c r="AC253" s="117"/>
      <c r="CH253" s="2"/>
    </row>
    <row r="254" spans="1:86" x14ac:dyDescent="0.3">
      <c r="A254" s="23">
        <v>18</v>
      </c>
      <c r="B254" s="2" t="s">
        <v>0</v>
      </c>
      <c r="C254" s="2" t="s">
        <v>1</v>
      </c>
      <c r="D254" s="2" t="s">
        <v>571</v>
      </c>
      <c r="E254" s="2">
        <v>4900</v>
      </c>
      <c r="F254" s="2">
        <v>2.5000000000000001E-3</v>
      </c>
      <c r="G254" s="2">
        <v>2.2000000000000001E-3</v>
      </c>
      <c r="H254" s="4">
        <f t="shared" si="27"/>
        <v>0.11999999999999997</v>
      </c>
      <c r="I254" s="2" t="s">
        <v>98</v>
      </c>
      <c r="J254" s="2" t="s">
        <v>572</v>
      </c>
      <c r="K254" s="2" t="s">
        <v>5</v>
      </c>
      <c r="L254" s="2" t="s">
        <v>6</v>
      </c>
      <c r="M254" s="155"/>
      <c r="N254" s="155"/>
      <c r="O254" s="2">
        <v>54</v>
      </c>
      <c r="P254" s="6">
        <v>16</v>
      </c>
      <c r="Q254" s="131">
        <f t="shared" si="28"/>
        <v>19.836734693877553</v>
      </c>
      <c r="R254" s="33">
        <f t="shared" si="29"/>
        <v>16</v>
      </c>
      <c r="S254" s="132">
        <f t="shared" si="30"/>
        <v>2</v>
      </c>
      <c r="T254" s="132">
        <f t="shared" si="31"/>
        <v>2</v>
      </c>
      <c r="V254" s="131">
        <f t="shared" si="32"/>
        <v>12.495580909529167</v>
      </c>
      <c r="W254" s="17">
        <v>25.4</v>
      </c>
      <c r="X254" s="8">
        <f>60*60*8/W254</f>
        <v>1133.8582677165355</v>
      </c>
      <c r="Y254" s="161">
        <v>45407</v>
      </c>
      <c r="Z254" s="7" t="s">
        <v>7</v>
      </c>
      <c r="AA254" s="117"/>
      <c r="AB254" s="117"/>
      <c r="AC254" s="117"/>
      <c r="CH254" s="2"/>
    </row>
    <row r="255" spans="1:86" x14ac:dyDescent="0.3">
      <c r="A255" s="23">
        <v>19</v>
      </c>
      <c r="B255" s="2" t="s">
        <v>0</v>
      </c>
      <c r="C255" s="2" t="s">
        <v>1</v>
      </c>
      <c r="D255" s="2" t="s">
        <v>573</v>
      </c>
      <c r="E255" s="2">
        <v>7560</v>
      </c>
      <c r="F255" s="2">
        <v>2.5000000000000001E-3</v>
      </c>
      <c r="G255" s="2">
        <v>2.2000000000000001E-3</v>
      </c>
      <c r="H255" s="4">
        <f t="shared" si="27"/>
        <v>0.11999999999999997</v>
      </c>
      <c r="I255" s="2" t="s">
        <v>98</v>
      </c>
      <c r="J255" s="2" t="s">
        <v>393</v>
      </c>
      <c r="K255" s="2" t="s">
        <v>105</v>
      </c>
      <c r="L255" s="2" t="s">
        <v>76</v>
      </c>
      <c r="M255" s="155"/>
      <c r="N255" s="155"/>
      <c r="O255" s="2">
        <v>54</v>
      </c>
      <c r="P255" s="6">
        <v>8</v>
      </c>
      <c r="Q255" s="131">
        <f t="shared" si="28"/>
        <v>25.714285714285715</v>
      </c>
      <c r="R255" s="33">
        <f t="shared" si="29"/>
        <v>8</v>
      </c>
      <c r="S255" s="132">
        <f t="shared" si="30"/>
        <v>1</v>
      </c>
      <c r="T255" s="132">
        <f t="shared" si="31"/>
        <v>1</v>
      </c>
      <c r="V255" s="131">
        <f t="shared" si="32"/>
        <v>8.0672268907563023</v>
      </c>
      <c r="W255" s="17">
        <v>25.5</v>
      </c>
      <c r="X255" s="8">
        <f>60*60*8/W255</f>
        <v>1129.4117647058824</v>
      </c>
      <c r="Y255" s="161">
        <v>45378</v>
      </c>
      <c r="Z255" s="7" t="s">
        <v>7</v>
      </c>
      <c r="AA255" s="117"/>
      <c r="AB255" s="117"/>
      <c r="AC255" s="117"/>
      <c r="CH255" s="2"/>
    </row>
    <row r="256" spans="1:86" x14ac:dyDescent="0.3">
      <c r="A256" s="23">
        <v>21</v>
      </c>
      <c r="B256" s="2" t="s">
        <v>0</v>
      </c>
      <c r="C256" s="2" t="s">
        <v>1</v>
      </c>
      <c r="D256" s="2" t="s">
        <v>574</v>
      </c>
      <c r="E256" s="2">
        <v>4900</v>
      </c>
      <c r="F256" s="2">
        <v>2.5000000000000001E-3</v>
      </c>
      <c r="G256" s="2">
        <v>2.2000000000000001E-3</v>
      </c>
      <c r="H256" s="4">
        <f t="shared" si="27"/>
        <v>0.11999999999999997</v>
      </c>
      <c r="I256" s="2" t="s">
        <v>98</v>
      </c>
      <c r="J256" s="2" t="s">
        <v>575</v>
      </c>
      <c r="K256" s="2" t="s">
        <v>5</v>
      </c>
      <c r="L256" s="2" t="s">
        <v>6</v>
      </c>
      <c r="M256" s="155"/>
      <c r="N256" s="155"/>
      <c r="O256" s="2">
        <v>54</v>
      </c>
      <c r="P256" s="6">
        <v>16</v>
      </c>
      <c r="Q256" s="131">
        <f t="shared" si="28"/>
        <v>19.836734693877553</v>
      </c>
      <c r="R256" s="33">
        <f t="shared" si="29"/>
        <v>16</v>
      </c>
      <c r="S256" s="132">
        <f t="shared" si="30"/>
        <v>2</v>
      </c>
      <c r="T256" s="132">
        <f t="shared" si="31"/>
        <v>2</v>
      </c>
      <c r="V256" s="131">
        <f t="shared" si="32"/>
        <v>12.746496188836982</v>
      </c>
      <c r="W256" s="17">
        <v>24.9</v>
      </c>
      <c r="X256" s="8">
        <f>60*60*8/W256</f>
        <v>1156.6265060240964</v>
      </c>
      <c r="Y256" s="161">
        <v>45517</v>
      </c>
      <c r="Z256" s="7" t="s">
        <v>7</v>
      </c>
      <c r="AA256" s="117">
        <v>25.6</v>
      </c>
      <c r="AB256" s="118">
        <v>45485</v>
      </c>
      <c r="AC256" s="119">
        <f>W256/AA256-1</f>
        <v>-2.7343750000000111E-2</v>
      </c>
      <c r="AD256" s="24">
        <v>45517</v>
      </c>
      <c r="AE256">
        <v>3</v>
      </c>
      <c r="AF256">
        <v>3.1</v>
      </c>
      <c r="AG256">
        <v>2</v>
      </c>
      <c r="AL256">
        <v>6</v>
      </c>
      <c r="AM256">
        <v>5.5</v>
      </c>
      <c r="AN256">
        <v>8</v>
      </c>
      <c r="AS256">
        <v>24.9</v>
      </c>
      <c r="AT256">
        <v>7</v>
      </c>
      <c r="AU256">
        <v>17.5</v>
      </c>
      <c r="AV256">
        <v>107</v>
      </c>
      <c r="AW256">
        <v>118</v>
      </c>
      <c r="AX256">
        <v>20</v>
      </c>
      <c r="AY256">
        <v>51</v>
      </c>
      <c r="AZ256">
        <v>95</v>
      </c>
      <c r="BA256">
        <v>116</v>
      </c>
      <c r="BB256">
        <v>420</v>
      </c>
      <c r="CH256" s="2"/>
    </row>
    <row r="257" spans="1:86" x14ac:dyDescent="0.3">
      <c r="A257" s="2">
        <v>27</v>
      </c>
      <c r="B257" s="2" t="s">
        <v>84</v>
      </c>
      <c r="C257" s="2" t="s">
        <v>1</v>
      </c>
      <c r="D257" s="2" t="s">
        <v>576</v>
      </c>
      <c r="E257" s="2">
        <v>1300</v>
      </c>
      <c r="F257" s="2">
        <v>1.2999999999999999E-2</v>
      </c>
      <c r="G257" s="2"/>
      <c r="H257" s="4">
        <f t="shared" si="27"/>
        <v>1</v>
      </c>
      <c r="I257" s="2" t="s">
        <v>98</v>
      </c>
      <c r="J257" s="2" t="s">
        <v>418</v>
      </c>
      <c r="K257" s="2" t="s">
        <v>222</v>
      </c>
      <c r="L257" s="2" t="s">
        <v>76</v>
      </c>
      <c r="M257" s="155"/>
      <c r="N257" s="155"/>
      <c r="O257" s="2">
        <v>16</v>
      </c>
      <c r="P257" s="6"/>
      <c r="Q257" s="131" t="str">
        <f t="shared" si="28"/>
        <v/>
      </c>
      <c r="R257" s="33" t="str">
        <f t="shared" si="29"/>
        <v/>
      </c>
      <c r="S257" s="132" t="str">
        <f t="shared" si="30"/>
        <v/>
      </c>
      <c r="T257" s="132" t="str">
        <f t="shared" si="31"/>
        <v/>
      </c>
      <c r="V257" s="131" t="str">
        <f t="shared" si="32"/>
        <v/>
      </c>
      <c r="W257" s="17"/>
      <c r="X257" s="7"/>
      <c r="Y257" s="161"/>
      <c r="Z257" s="7"/>
      <c r="AA257" s="117"/>
      <c r="AB257" s="117"/>
      <c r="AC257" s="117"/>
      <c r="CH257" s="2"/>
    </row>
    <row r="258" spans="1:86" x14ac:dyDescent="0.3">
      <c r="A258" s="2">
        <v>28</v>
      </c>
      <c r="B258" s="2" t="s">
        <v>84</v>
      </c>
      <c r="C258" s="2" t="s">
        <v>1</v>
      </c>
      <c r="D258" s="2" t="s">
        <v>577</v>
      </c>
      <c r="E258" s="2">
        <v>2800</v>
      </c>
      <c r="F258" s="2">
        <v>7.7999999999999996E-3</v>
      </c>
      <c r="G258" s="2"/>
      <c r="H258" s="4">
        <f t="shared" si="27"/>
        <v>1</v>
      </c>
      <c r="I258" s="2" t="s">
        <v>98</v>
      </c>
      <c r="J258" s="2" t="s">
        <v>418</v>
      </c>
      <c r="K258" s="2" t="s">
        <v>222</v>
      </c>
      <c r="L258" s="2" t="s">
        <v>76</v>
      </c>
      <c r="M258" s="155"/>
      <c r="N258" s="155"/>
      <c r="O258" s="2">
        <v>28</v>
      </c>
      <c r="P258" s="6"/>
      <c r="Q258" s="131" t="str">
        <f t="shared" si="28"/>
        <v/>
      </c>
      <c r="R258" s="33" t="str">
        <f t="shared" si="29"/>
        <v/>
      </c>
      <c r="S258" s="132" t="str">
        <f t="shared" si="30"/>
        <v/>
      </c>
      <c r="T258" s="132" t="str">
        <f t="shared" si="31"/>
        <v/>
      </c>
      <c r="V258" s="131" t="str">
        <f t="shared" si="32"/>
        <v/>
      </c>
      <c r="W258" s="17"/>
      <c r="X258" s="7"/>
      <c r="Y258" s="161"/>
      <c r="Z258" s="7"/>
      <c r="AA258" s="117"/>
      <c r="AB258" s="117"/>
      <c r="AC258" s="117"/>
      <c r="CH258" s="2"/>
    </row>
    <row r="259" spans="1:86" x14ac:dyDescent="0.3">
      <c r="A259" s="2">
        <v>30</v>
      </c>
      <c r="B259" s="2" t="s">
        <v>0</v>
      </c>
      <c r="C259" s="2" t="s">
        <v>1</v>
      </c>
      <c r="D259" s="2" t="s">
        <v>578</v>
      </c>
      <c r="E259" s="2">
        <v>300</v>
      </c>
      <c r="F259" s="2">
        <v>4.2599999999999999E-2</v>
      </c>
      <c r="G259" s="2">
        <v>2.7E-2</v>
      </c>
      <c r="H259" s="4">
        <f t="shared" si="27"/>
        <v>0.36619718309859156</v>
      </c>
      <c r="I259" s="2" t="s">
        <v>82</v>
      </c>
      <c r="J259" s="2" t="s">
        <v>579</v>
      </c>
      <c r="K259" s="2" t="s">
        <v>105</v>
      </c>
      <c r="L259" s="2" t="s">
        <v>76</v>
      </c>
      <c r="M259" s="155"/>
      <c r="N259" s="155"/>
      <c r="O259" s="2">
        <v>9</v>
      </c>
      <c r="P259" s="6">
        <v>18</v>
      </c>
      <c r="Q259" s="131">
        <f t="shared" si="28"/>
        <v>48</v>
      </c>
      <c r="R259" s="33">
        <f t="shared" si="29"/>
        <v>18</v>
      </c>
      <c r="S259" s="132">
        <f t="shared" si="30"/>
        <v>2.25</v>
      </c>
      <c r="T259" s="132">
        <f t="shared" si="31"/>
        <v>2.25</v>
      </c>
      <c r="V259" s="131" t="str">
        <f t="shared" si="32"/>
        <v/>
      </c>
      <c r="W259" s="17"/>
      <c r="X259" s="7"/>
      <c r="Y259" s="161"/>
      <c r="Z259" s="7"/>
      <c r="AA259" s="117"/>
      <c r="AB259" s="117"/>
      <c r="AC259" s="117"/>
      <c r="CH259" s="2"/>
    </row>
    <row r="260" spans="1:86" x14ac:dyDescent="0.3">
      <c r="A260" s="2">
        <v>54</v>
      </c>
      <c r="B260" s="2" t="s">
        <v>0</v>
      </c>
      <c r="C260" s="2" t="s">
        <v>1</v>
      </c>
      <c r="D260" s="2" t="s">
        <v>580</v>
      </c>
      <c r="E260" s="2">
        <v>100</v>
      </c>
      <c r="F260" s="2">
        <v>1.8200000000000001E-2</v>
      </c>
      <c r="G260" s="2">
        <v>1.24E-2</v>
      </c>
      <c r="H260" s="4">
        <f t="shared" si="27"/>
        <v>0.31868131868131871</v>
      </c>
      <c r="I260" s="2" t="s">
        <v>82</v>
      </c>
      <c r="J260" s="2" t="s">
        <v>581</v>
      </c>
      <c r="K260" s="2" t="s">
        <v>357</v>
      </c>
      <c r="L260" s="2" t="s">
        <v>6</v>
      </c>
      <c r="M260" s="155"/>
      <c r="N260" s="155"/>
      <c r="O260" s="2">
        <v>21</v>
      </c>
      <c r="P260" s="6">
        <v>110</v>
      </c>
      <c r="Q260" s="131">
        <f t="shared" si="28"/>
        <v>54.981818181818184</v>
      </c>
      <c r="R260" s="33">
        <f t="shared" si="29"/>
        <v>110</v>
      </c>
      <c r="S260" s="132">
        <f t="shared" si="30"/>
        <v>13.75</v>
      </c>
      <c r="T260" s="132">
        <f t="shared" si="31"/>
        <v>13.75</v>
      </c>
      <c r="V260" s="131" t="str">
        <f t="shared" si="32"/>
        <v/>
      </c>
      <c r="W260" s="17"/>
      <c r="X260" s="7"/>
      <c r="Y260" s="161"/>
      <c r="Z260" s="7"/>
      <c r="AA260" s="117"/>
      <c r="AB260" s="117"/>
      <c r="AC260" s="117"/>
      <c r="CH260" s="2"/>
    </row>
    <row r="261" spans="1:86" x14ac:dyDescent="0.3">
      <c r="A261" s="2">
        <v>55</v>
      </c>
      <c r="B261" s="2" t="s">
        <v>0</v>
      </c>
      <c r="C261" s="2" t="s">
        <v>1</v>
      </c>
      <c r="D261" s="2" t="s">
        <v>582</v>
      </c>
      <c r="E261" s="2">
        <v>300</v>
      </c>
      <c r="F261" s="2">
        <v>9.3399999999999997E-2</v>
      </c>
      <c r="G261" s="2">
        <v>7.0999999999999994E-2</v>
      </c>
      <c r="H261" s="4">
        <f t="shared" si="27"/>
        <v>0.23982869379014993</v>
      </c>
      <c r="I261" s="2" t="s">
        <v>82</v>
      </c>
      <c r="J261" s="2" t="s">
        <v>583</v>
      </c>
      <c r="K261" s="2"/>
      <c r="L261" s="2"/>
      <c r="M261" s="155"/>
      <c r="N261" s="155"/>
      <c r="O261" s="2">
        <v>3</v>
      </c>
      <c r="P261" s="6">
        <v>20</v>
      </c>
      <c r="Q261" s="131">
        <f t="shared" si="28"/>
        <v>14.4</v>
      </c>
      <c r="R261" s="33">
        <f t="shared" si="29"/>
        <v>20</v>
      </c>
      <c r="S261" s="132">
        <f t="shared" si="30"/>
        <v>2.5</v>
      </c>
      <c r="T261" s="132">
        <f t="shared" si="31"/>
        <v>2.5</v>
      </c>
      <c r="V261" s="131" t="str">
        <f t="shared" si="32"/>
        <v/>
      </c>
      <c r="W261" s="17"/>
      <c r="X261" s="7"/>
      <c r="Y261" s="161"/>
      <c r="Z261" s="7"/>
      <c r="AA261" s="117"/>
      <c r="AB261" s="117"/>
      <c r="AC261" s="117"/>
      <c r="CH261" s="2"/>
    </row>
    <row r="262" spans="1:86" x14ac:dyDescent="0.3">
      <c r="A262" s="2">
        <v>56</v>
      </c>
      <c r="B262" s="2" t="s">
        <v>0</v>
      </c>
      <c r="C262" s="2" t="s">
        <v>1</v>
      </c>
      <c r="D262" s="2" t="s">
        <v>584</v>
      </c>
      <c r="E262" s="2">
        <v>200</v>
      </c>
      <c r="F262" s="2">
        <v>4.9099999999999998E-2</v>
      </c>
      <c r="G262" s="2">
        <v>4.0599999999999997E-2</v>
      </c>
      <c r="H262" s="4">
        <f t="shared" si="27"/>
        <v>0.17311608961303465</v>
      </c>
      <c r="I262" s="2" t="s">
        <v>82</v>
      </c>
      <c r="J262" s="2" t="s">
        <v>579</v>
      </c>
      <c r="K262" s="2"/>
      <c r="L262" s="2"/>
      <c r="M262" s="155"/>
      <c r="N262" s="155"/>
      <c r="O262" s="2">
        <v>8</v>
      </c>
      <c r="P262" s="6">
        <v>30</v>
      </c>
      <c r="Q262" s="131">
        <f t="shared" si="28"/>
        <v>38.4</v>
      </c>
      <c r="R262" s="33">
        <f t="shared" si="29"/>
        <v>30</v>
      </c>
      <c r="S262" s="132">
        <f t="shared" si="30"/>
        <v>3.75</v>
      </c>
      <c r="T262" s="132">
        <f t="shared" si="31"/>
        <v>3.75</v>
      </c>
      <c r="V262" s="131" t="str">
        <f t="shared" si="32"/>
        <v/>
      </c>
      <c r="W262" s="17"/>
      <c r="X262" s="7"/>
      <c r="Y262" s="161"/>
      <c r="Z262" s="7"/>
      <c r="AA262" s="117"/>
      <c r="AB262" s="117"/>
      <c r="AC262" s="117"/>
      <c r="CH262" s="2"/>
    </row>
    <row r="263" spans="1:86" x14ac:dyDescent="0.3">
      <c r="A263" s="2">
        <v>57</v>
      </c>
      <c r="B263" s="2" t="s">
        <v>0</v>
      </c>
      <c r="C263" s="2" t="s">
        <v>1</v>
      </c>
      <c r="D263" s="2" t="s">
        <v>585</v>
      </c>
      <c r="E263" s="2">
        <v>100</v>
      </c>
      <c r="F263" s="2">
        <v>3.0599999999999999E-2</v>
      </c>
      <c r="G263" s="2">
        <v>1.9800000000000002E-2</v>
      </c>
      <c r="H263" s="4">
        <f t="shared" si="27"/>
        <v>0.35294117647058815</v>
      </c>
      <c r="I263" s="2" t="s">
        <v>82</v>
      </c>
      <c r="J263" s="2" t="s">
        <v>581</v>
      </c>
      <c r="K263" s="2"/>
      <c r="L263" s="2"/>
      <c r="M263" s="155"/>
      <c r="N263" s="155"/>
      <c r="O263" s="2">
        <v>4</v>
      </c>
      <c r="P263" s="6">
        <v>92.5</v>
      </c>
      <c r="Q263" s="131">
        <f t="shared" si="28"/>
        <v>12.454054054054055</v>
      </c>
      <c r="R263" s="33">
        <f t="shared" si="29"/>
        <v>92.5</v>
      </c>
      <c r="S263" s="132">
        <f t="shared" si="30"/>
        <v>11.5625</v>
      </c>
      <c r="T263" s="132">
        <f t="shared" si="31"/>
        <v>11.5625</v>
      </c>
      <c r="V263" s="131" t="str">
        <f t="shared" si="32"/>
        <v/>
      </c>
      <c r="W263" s="17"/>
      <c r="X263" s="7"/>
      <c r="Y263" s="161"/>
      <c r="Z263" s="7"/>
      <c r="AA263" s="117"/>
      <c r="AB263" s="117"/>
      <c r="AC263" s="117"/>
      <c r="CH263" s="2"/>
    </row>
    <row r="264" spans="1:86" x14ac:dyDescent="0.3">
      <c r="A264" s="2">
        <v>58</v>
      </c>
      <c r="B264" s="2" t="s">
        <v>0</v>
      </c>
      <c r="C264" s="2" t="s">
        <v>1</v>
      </c>
      <c r="D264" s="2" t="s">
        <v>586</v>
      </c>
      <c r="E264" s="2">
        <v>100</v>
      </c>
      <c r="F264" s="2">
        <v>1.24E-2</v>
      </c>
      <c r="G264" s="2">
        <v>7.4000000000000003E-3</v>
      </c>
      <c r="H264" s="4">
        <f t="shared" si="27"/>
        <v>0.40322580645161288</v>
      </c>
      <c r="I264" s="2" t="s">
        <v>82</v>
      </c>
      <c r="J264" s="2" t="s">
        <v>587</v>
      </c>
      <c r="K264" s="2"/>
      <c r="L264" s="2"/>
      <c r="M264" s="155"/>
      <c r="N264" s="155"/>
      <c r="O264" s="2">
        <v>21</v>
      </c>
      <c r="P264" s="6">
        <v>75</v>
      </c>
      <c r="Q264" s="131">
        <f t="shared" si="28"/>
        <v>80.64</v>
      </c>
      <c r="R264" s="33">
        <f t="shared" si="29"/>
        <v>75</v>
      </c>
      <c r="S264" s="132">
        <f t="shared" si="30"/>
        <v>9.375</v>
      </c>
      <c r="T264" s="132">
        <f t="shared" si="31"/>
        <v>9.375</v>
      </c>
      <c r="V264" s="131" t="str">
        <f t="shared" si="32"/>
        <v/>
      </c>
      <c r="W264" s="17"/>
      <c r="X264" s="7"/>
      <c r="Y264" s="161"/>
      <c r="Z264" s="7"/>
      <c r="AA264" s="117"/>
      <c r="AB264" s="117"/>
      <c r="AC264" s="117"/>
      <c r="CH264" s="2"/>
    </row>
    <row r="265" spans="1:86" x14ac:dyDescent="0.3">
      <c r="A265" s="2">
        <v>59</v>
      </c>
      <c r="B265" s="2" t="s">
        <v>0</v>
      </c>
      <c r="C265" s="2" t="s">
        <v>1</v>
      </c>
      <c r="D265" s="2" t="s">
        <v>588</v>
      </c>
      <c r="E265" s="2">
        <v>400</v>
      </c>
      <c r="F265" s="2">
        <v>6.2799999999999995E-2</v>
      </c>
      <c r="G265" s="2">
        <v>4.8000000000000001E-2</v>
      </c>
      <c r="H265" s="4">
        <f t="shared" si="27"/>
        <v>0.23566878980891712</v>
      </c>
      <c r="I265" s="2" t="s">
        <v>82</v>
      </c>
      <c r="J265" s="2" t="s">
        <v>589</v>
      </c>
      <c r="K265" s="2"/>
      <c r="L265" s="2"/>
      <c r="M265" s="155"/>
      <c r="N265" s="155"/>
      <c r="O265" s="2">
        <v>4</v>
      </c>
      <c r="P265" s="6">
        <v>15</v>
      </c>
      <c r="Q265" s="131">
        <f t="shared" si="28"/>
        <v>19.2</v>
      </c>
      <c r="R265" s="33">
        <f t="shared" si="29"/>
        <v>15</v>
      </c>
      <c r="S265" s="132">
        <f t="shared" si="30"/>
        <v>1.875</v>
      </c>
      <c r="T265" s="132">
        <f t="shared" si="31"/>
        <v>1.875</v>
      </c>
      <c r="V265" s="131" t="str">
        <f t="shared" si="32"/>
        <v/>
      </c>
      <c r="W265" s="17"/>
      <c r="X265" s="7"/>
      <c r="Y265" s="161"/>
      <c r="Z265" s="7"/>
      <c r="AA265" s="117"/>
      <c r="AB265" s="117"/>
      <c r="AC265" s="117"/>
      <c r="CH265" s="2"/>
    </row>
    <row r="266" spans="1:86" x14ac:dyDescent="0.3">
      <c r="A266" s="2">
        <v>60</v>
      </c>
      <c r="B266" s="2" t="s">
        <v>0</v>
      </c>
      <c r="C266" s="2" t="s">
        <v>1</v>
      </c>
      <c r="D266" s="2" t="s">
        <v>590</v>
      </c>
      <c r="E266" s="2">
        <v>600</v>
      </c>
      <c r="F266" s="2">
        <v>1.8100000000000002E-2</v>
      </c>
      <c r="G266" s="2">
        <v>1.47E-2</v>
      </c>
      <c r="H266" s="4">
        <f t="shared" si="27"/>
        <v>0.18784530386740342</v>
      </c>
      <c r="I266" s="2" t="s">
        <v>82</v>
      </c>
      <c r="J266" s="2" t="s">
        <v>579</v>
      </c>
      <c r="K266" s="2"/>
      <c r="L266" s="2"/>
      <c r="M266" s="155"/>
      <c r="N266" s="155"/>
      <c r="O266" s="2">
        <v>21</v>
      </c>
      <c r="P266" s="6">
        <v>20</v>
      </c>
      <c r="Q266" s="131">
        <f t="shared" si="28"/>
        <v>50.4</v>
      </c>
      <c r="R266" s="33">
        <f t="shared" si="29"/>
        <v>20</v>
      </c>
      <c r="S266" s="132">
        <f t="shared" si="30"/>
        <v>2.5</v>
      </c>
      <c r="T266" s="132">
        <f t="shared" si="31"/>
        <v>2.5</v>
      </c>
      <c r="V266" s="131" t="str">
        <f t="shared" si="32"/>
        <v/>
      </c>
      <c r="W266" s="17"/>
      <c r="X266" s="7"/>
      <c r="Y266" s="161"/>
      <c r="Z266" s="7"/>
      <c r="AA266" s="117"/>
      <c r="AB266" s="117"/>
      <c r="AC266" s="117"/>
      <c r="CH266" s="2"/>
    </row>
    <row r="267" spans="1:86" x14ac:dyDescent="0.3">
      <c r="A267" s="2">
        <v>63</v>
      </c>
      <c r="B267" s="2" t="s">
        <v>0</v>
      </c>
      <c r="C267" s="2" t="s">
        <v>1</v>
      </c>
      <c r="D267" s="2" t="s">
        <v>591</v>
      </c>
      <c r="E267" s="2">
        <v>300</v>
      </c>
      <c r="F267" s="2">
        <v>3.3000000000000002E-2</v>
      </c>
      <c r="G267" s="2">
        <v>2.41E-2</v>
      </c>
      <c r="H267" s="4">
        <f t="shared" si="27"/>
        <v>0.26969696969696971</v>
      </c>
      <c r="I267" s="2" t="s">
        <v>82</v>
      </c>
      <c r="J267" s="2" t="s">
        <v>581</v>
      </c>
      <c r="K267" s="2"/>
      <c r="L267" s="2"/>
      <c r="M267" s="155"/>
      <c r="N267" s="155"/>
      <c r="O267" s="2">
        <v>10</v>
      </c>
      <c r="P267" s="6">
        <v>30</v>
      </c>
      <c r="Q267" s="131">
        <f t="shared" si="28"/>
        <v>32</v>
      </c>
      <c r="R267" s="33">
        <f t="shared" si="29"/>
        <v>30</v>
      </c>
      <c r="S267" s="132">
        <f t="shared" si="30"/>
        <v>3.75</v>
      </c>
      <c r="T267" s="132">
        <f t="shared" si="31"/>
        <v>3.75</v>
      </c>
      <c r="V267" s="131" t="str">
        <f t="shared" si="32"/>
        <v/>
      </c>
      <c r="W267" s="17"/>
      <c r="X267" s="7"/>
      <c r="Y267" s="161"/>
      <c r="Z267" s="7"/>
      <c r="AA267" s="117"/>
      <c r="AB267" s="117"/>
      <c r="AC267" s="117"/>
      <c r="CH267" s="2"/>
    </row>
    <row r="268" spans="1:86" x14ac:dyDescent="0.3">
      <c r="A268" s="2">
        <v>64</v>
      </c>
      <c r="B268" s="2" t="s">
        <v>0</v>
      </c>
      <c r="C268" s="2" t="s">
        <v>1</v>
      </c>
      <c r="D268" s="2" t="s">
        <v>592</v>
      </c>
      <c r="E268" s="2">
        <v>300</v>
      </c>
      <c r="F268" s="2">
        <v>3.3300000000000003E-2</v>
      </c>
      <c r="G268" s="2">
        <v>2.5000000000000001E-2</v>
      </c>
      <c r="H268" s="4">
        <f t="shared" si="27"/>
        <v>0.24924924924924927</v>
      </c>
      <c r="I268" s="2" t="s">
        <v>82</v>
      </c>
      <c r="J268" s="2" t="s">
        <v>581</v>
      </c>
      <c r="K268" s="2"/>
      <c r="L268" s="2"/>
      <c r="M268" s="155"/>
      <c r="N268" s="155"/>
      <c r="O268" s="2">
        <v>10</v>
      </c>
      <c r="P268" s="6">
        <v>15</v>
      </c>
      <c r="Q268" s="131">
        <f t="shared" si="28"/>
        <v>64</v>
      </c>
      <c r="R268" s="33">
        <f t="shared" si="29"/>
        <v>15</v>
      </c>
      <c r="S268" s="132">
        <f t="shared" si="30"/>
        <v>1.875</v>
      </c>
      <c r="T268" s="132">
        <f t="shared" si="31"/>
        <v>1.875</v>
      </c>
      <c r="V268" s="131" t="str">
        <f t="shared" si="32"/>
        <v/>
      </c>
      <c r="W268" s="17"/>
      <c r="X268" s="7"/>
      <c r="Y268" s="161"/>
      <c r="Z268" s="7"/>
      <c r="AA268" s="117"/>
      <c r="AB268" s="117"/>
      <c r="AC268" s="117"/>
      <c r="CH268" s="2"/>
    </row>
    <row r="269" spans="1:86" x14ac:dyDescent="0.3">
      <c r="A269" s="2">
        <v>65</v>
      </c>
      <c r="B269" s="2" t="s">
        <v>0</v>
      </c>
      <c r="C269" s="2" t="s">
        <v>1</v>
      </c>
      <c r="D269" s="2" t="s">
        <v>593</v>
      </c>
      <c r="E269" s="2">
        <v>1850</v>
      </c>
      <c r="F269" s="2">
        <v>7.0000000000000001E-3</v>
      </c>
      <c r="G269" s="2"/>
      <c r="H269" s="4">
        <f t="shared" si="27"/>
        <v>1</v>
      </c>
      <c r="I269" s="2" t="s">
        <v>98</v>
      </c>
      <c r="J269" s="2" t="s">
        <v>594</v>
      </c>
      <c r="K269" s="2" t="s">
        <v>90</v>
      </c>
      <c r="L269" s="2" t="s">
        <v>6</v>
      </c>
      <c r="M269" s="155"/>
      <c r="N269" s="155"/>
      <c r="O269" s="2">
        <v>28</v>
      </c>
      <c r="P269" s="6">
        <v>6</v>
      </c>
      <c r="Q269" s="131">
        <f t="shared" si="28"/>
        <v>72.648648648648646</v>
      </c>
      <c r="R269" s="33">
        <f t="shared" si="29"/>
        <v>6</v>
      </c>
      <c r="S269" s="132">
        <f t="shared" si="30"/>
        <v>0.75</v>
      </c>
      <c r="T269" s="132">
        <f t="shared" si="31"/>
        <v>0.75</v>
      </c>
      <c r="V269" s="131" t="str">
        <f t="shared" si="32"/>
        <v/>
      </c>
      <c r="W269" s="17"/>
      <c r="X269" s="7"/>
      <c r="Y269" s="161"/>
      <c r="Z269" s="7"/>
      <c r="AA269" s="117"/>
      <c r="AB269" s="117"/>
      <c r="AC269" s="117"/>
      <c r="CH269" s="2"/>
    </row>
    <row r="270" spans="1:86" x14ac:dyDescent="0.3">
      <c r="A270" s="2">
        <v>66</v>
      </c>
      <c r="B270" s="2" t="s">
        <v>0</v>
      </c>
      <c r="C270" s="2" t="s">
        <v>1</v>
      </c>
      <c r="D270" s="2" t="s">
        <v>595</v>
      </c>
      <c r="E270" s="2">
        <v>1850</v>
      </c>
      <c r="F270" s="2">
        <v>7.0000000000000001E-3</v>
      </c>
      <c r="G270" s="2"/>
      <c r="H270" s="4">
        <f t="shared" si="27"/>
        <v>1</v>
      </c>
      <c r="I270" s="2" t="s">
        <v>98</v>
      </c>
      <c r="J270" s="2" t="s">
        <v>596</v>
      </c>
      <c r="K270" s="2" t="s">
        <v>90</v>
      </c>
      <c r="L270" s="2" t="s">
        <v>6</v>
      </c>
      <c r="M270" s="155"/>
      <c r="N270" s="155"/>
      <c r="O270" s="2">
        <v>28</v>
      </c>
      <c r="P270" s="6">
        <v>6</v>
      </c>
      <c r="Q270" s="131">
        <f t="shared" si="28"/>
        <v>72.648648648648646</v>
      </c>
      <c r="R270" s="33">
        <f t="shared" si="29"/>
        <v>6</v>
      </c>
      <c r="S270" s="132">
        <f t="shared" si="30"/>
        <v>0.75</v>
      </c>
      <c r="T270" s="132">
        <f t="shared" si="31"/>
        <v>0.75</v>
      </c>
      <c r="V270" s="131" t="str">
        <f t="shared" si="32"/>
        <v/>
      </c>
      <c r="W270" s="17"/>
      <c r="X270" s="7"/>
      <c r="Y270" s="161"/>
      <c r="Z270" s="7"/>
      <c r="AA270" s="117"/>
      <c r="AB270" s="117"/>
      <c r="AC270" s="117"/>
      <c r="CH270" s="2"/>
    </row>
    <row r="271" spans="1:86" x14ac:dyDescent="0.3">
      <c r="A271" s="2">
        <v>67</v>
      </c>
      <c r="B271" s="2" t="s">
        <v>0</v>
      </c>
      <c r="C271" s="2" t="s">
        <v>1</v>
      </c>
      <c r="D271" s="2" t="s">
        <v>597</v>
      </c>
      <c r="E271" s="2">
        <v>1850</v>
      </c>
      <c r="F271" s="2">
        <v>4.1999999999999997E-3</v>
      </c>
      <c r="G271" s="2"/>
      <c r="H271" s="4">
        <f t="shared" si="27"/>
        <v>1</v>
      </c>
      <c r="I271" s="2" t="s">
        <v>82</v>
      </c>
      <c r="J271" s="2" t="s">
        <v>598</v>
      </c>
      <c r="K271" s="2" t="s">
        <v>90</v>
      </c>
      <c r="L271" s="2" t="s">
        <v>6</v>
      </c>
      <c r="M271" s="155"/>
      <c r="N271" s="155"/>
      <c r="O271" s="2">
        <v>28</v>
      </c>
      <c r="P271" s="6">
        <v>11</v>
      </c>
      <c r="Q271" s="131">
        <f t="shared" si="28"/>
        <v>39.626535626535627</v>
      </c>
      <c r="R271" s="33">
        <f t="shared" si="29"/>
        <v>11</v>
      </c>
      <c r="S271" s="132">
        <f t="shared" si="30"/>
        <v>1.375</v>
      </c>
      <c r="T271" s="132">
        <f t="shared" si="31"/>
        <v>1.375</v>
      </c>
      <c r="V271" s="131" t="str">
        <f t="shared" si="32"/>
        <v/>
      </c>
      <c r="W271" s="17"/>
      <c r="X271" s="7"/>
      <c r="Y271" s="161"/>
      <c r="Z271" s="7"/>
      <c r="AA271" s="117"/>
      <c r="AB271" s="117"/>
      <c r="AC271" s="117"/>
      <c r="CH271" s="2"/>
    </row>
    <row r="272" spans="1:86" x14ac:dyDescent="0.3">
      <c r="A272" s="2">
        <v>68</v>
      </c>
      <c r="B272" s="23" t="s">
        <v>0</v>
      </c>
      <c r="C272" s="2" t="s">
        <v>1</v>
      </c>
      <c r="D272" s="2" t="s">
        <v>599</v>
      </c>
      <c r="E272" s="2">
        <v>1700</v>
      </c>
      <c r="F272" s="2">
        <v>1.7100000000000001E-2</v>
      </c>
      <c r="G272" s="2">
        <v>0.01</v>
      </c>
      <c r="H272" s="4">
        <f t="shared" si="27"/>
        <v>0.41520467836257313</v>
      </c>
      <c r="I272" s="2" t="s">
        <v>82</v>
      </c>
      <c r="J272" s="2" t="s">
        <v>600</v>
      </c>
      <c r="K272" s="2" t="s">
        <v>95</v>
      </c>
      <c r="L272" s="2" t="s">
        <v>96</v>
      </c>
      <c r="M272" s="155" t="s">
        <v>601</v>
      </c>
      <c r="N272" s="155"/>
      <c r="O272" s="2">
        <v>7</v>
      </c>
      <c r="P272" s="6">
        <v>14</v>
      </c>
      <c r="Q272" s="131">
        <f t="shared" si="28"/>
        <v>8.4705882352941178</v>
      </c>
      <c r="R272" s="33">
        <f t="shared" si="29"/>
        <v>14</v>
      </c>
      <c r="S272" s="132">
        <f t="shared" si="30"/>
        <v>1.75</v>
      </c>
      <c r="T272" s="132">
        <f t="shared" si="31"/>
        <v>1.75</v>
      </c>
      <c r="V272" s="131">
        <f t="shared" si="32"/>
        <v>4.033613445378152</v>
      </c>
      <c r="W272" s="17">
        <v>29.4</v>
      </c>
      <c r="X272" s="8">
        <f>60*60*8/W272</f>
        <v>979.59183673469397</v>
      </c>
      <c r="Y272" s="161">
        <v>45420</v>
      </c>
      <c r="Z272" s="7" t="s">
        <v>7</v>
      </c>
      <c r="AA272" s="117"/>
      <c r="AB272" s="117"/>
      <c r="AC272" s="117"/>
      <c r="CH272" s="2"/>
    </row>
    <row r="273" spans="1:86" x14ac:dyDescent="0.3">
      <c r="A273" s="2">
        <v>71</v>
      </c>
      <c r="B273" s="2" t="s">
        <v>0</v>
      </c>
      <c r="C273" s="2" t="s">
        <v>1</v>
      </c>
      <c r="D273" s="2" t="s">
        <v>602</v>
      </c>
      <c r="E273" s="2">
        <v>300</v>
      </c>
      <c r="F273" s="2">
        <v>4.7699999999999999E-2</v>
      </c>
      <c r="G273" s="2">
        <v>3.4799999999999998E-2</v>
      </c>
      <c r="H273" s="4">
        <f t="shared" si="27"/>
        <v>0.27044025157232709</v>
      </c>
      <c r="I273" s="2" t="s">
        <v>82</v>
      </c>
      <c r="J273" s="2" t="s">
        <v>581</v>
      </c>
      <c r="K273" s="2"/>
      <c r="L273" s="2"/>
      <c r="M273" s="155"/>
      <c r="N273" s="155"/>
      <c r="O273" s="2">
        <v>8</v>
      </c>
      <c r="P273" s="6">
        <v>14</v>
      </c>
      <c r="Q273" s="131">
        <f t="shared" si="28"/>
        <v>54.857142857142854</v>
      </c>
      <c r="R273" s="33">
        <f t="shared" si="29"/>
        <v>14</v>
      </c>
      <c r="S273" s="132">
        <f t="shared" si="30"/>
        <v>1.75</v>
      </c>
      <c r="T273" s="132">
        <f t="shared" si="31"/>
        <v>1.75</v>
      </c>
      <c r="V273" s="131" t="str">
        <f t="shared" si="32"/>
        <v/>
      </c>
      <c r="W273" s="17"/>
      <c r="X273" s="7"/>
      <c r="Y273" s="161"/>
      <c r="Z273" s="7"/>
      <c r="AA273" s="117"/>
      <c r="AB273" s="117"/>
      <c r="AC273" s="117"/>
      <c r="CH273" s="2"/>
    </row>
    <row r="274" spans="1:86" x14ac:dyDescent="0.3">
      <c r="A274" s="2">
        <v>72</v>
      </c>
      <c r="B274" s="2" t="s">
        <v>0</v>
      </c>
      <c r="C274" s="2" t="s">
        <v>1</v>
      </c>
      <c r="D274" s="2" t="s">
        <v>603</v>
      </c>
      <c r="E274" s="2">
        <v>650</v>
      </c>
      <c r="F274" s="2">
        <v>2.1100000000000001E-2</v>
      </c>
      <c r="G274" s="2">
        <v>1.83E-2</v>
      </c>
      <c r="H274" s="4">
        <f t="shared" si="27"/>
        <v>0.13270142180094788</v>
      </c>
      <c r="I274" s="2" t="s">
        <v>82</v>
      </c>
      <c r="J274" s="2" t="s">
        <v>579</v>
      </c>
      <c r="K274" s="2"/>
      <c r="L274" s="2"/>
      <c r="M274" s="155"/>
      <c r="N274" s="155"/>
      <c r="O274" s="2">
        <v>18</v>
      </c>
      <c r="P274" s="6">
        <v>16</v>
      </c>
      <c r="Q274" s="131">
        <f t="shared" si="28"/>
        <v>49.846153846153847</v>
      </c>
      <c r="R274" s="33">
        <f t="shared" si="29"/>
        <v>16</v>
      </c>
      <c r="S274" s="132">
        <f t="shared" si="30"/>
        <v>2</v>
      </c>
      <c r="T274" s="132">
        <f t="shared" si="31"/>
        <v>2</v>
      </c>
      <c r="V274" s="131" t="str">
        <f t="shared" si="32"/>
        <v/>
      </c>
      <c r="W274" s="17"/>
      <c r="X274" s="7"/>
      <c r="Y274" s="161"/>
      <c r="Z274" s="7"/>
      <c r="AA274" s="117"/>
      <c r="AB274" s="117"/>
      <c r="AC274" s="117"/>
      <c r="CH274" s="2"/>
    </row>
    <row r="275" spans="1:86" x14ac:dyDescent="0.3">
      <c r="A275" s="2">
        <v>73</v>
      </c>
      <c r="B275" s="2" t="s">
        <v>0</v>
      </c>
      <c r="C275" s="2" t="s">
        <v>1</v>
      </c>
      <c r="D275" s="2" t="s">
        <v>604</v>
      </c>
      <c r="E275" s="2">
        <v>300</v>
      </c>
      <c r="F275" s="2">
        <v>2.2499999999999999E-2</v>
      </c>
      <c r="G275" s="2">
        <v>1.32E-2</v>
      </c>
      <c r="H275" s="4">
        <f t="shared" si="27"/>
        <v>0.41333333333333333</v>
      </c>
      <c r="I275" s="2" t="s">
        <v>82</v>
      </c>
      <c r="J275" s="2" t="s">
        <v>605</v>
      </c>
      <c r="K275" s="2" t="s">
        <v>5</v>
      </c>
      <c r="L275" s="2" t="s">
        <v>6</v>
      </c>
      <c r="M275" s="155"/>
      <c r="N275" s="155"/>
      <c r="O275" s="2">
        <v>14</v>
      </c>
      <c r="P275" s="6">
        <v>26</v>
      </c>
      <c r="Q275" s="131">
        <f t="shared" si="28"/>
        <v>51.692307692307693</v>
      </c>
      <c r="R275" s="33">
        <f t="shared" si="29"/>
        <v>26</v>
      </c>
      <c r="S275" s="132">
        <f t="shared" si="30"/>
        <v>3.25</v>
      </c>
      <c r="T275" s="132">
        <f t="shared" si="31"/>
        <v>3.25</v>
      </c>
      <c r="V275" s="131" t="str">
        <f t="shared" si="32"/>
        <v/>
      </c>
      <c r="W275" s="17"/>
      <c r="X275" s="7"/>
      <c r="Y275" s="161"/>
      <c r="Z275" s="7"/>
      <c r="AA275" s="117"/>
      <c r="AB275" s="117"/>
      <c r="AC275" s="117"/>
      <c r="CH275" s="2"/>
    </row>
    <row r="276" spans="1:86" x14ac:dyDescent="0.3">
      <c r="A276" s="2">
        <v>74</v>
      </c>
      <c r="B276" s="2" t="s">
        <v>0</v>
      </c>
      <c r="C276" s="2" t="s">
        <v>1</v>
      </c>
      <c r="D276" s="2" t="s">
        <v>606</v>
      </c>
      <c r="E276" s="2">
        <v>320</v>
      </c>
      <c r="F276" s="2">
        <v>4.7399999999999998E-2</v>
      </c>
      <c r="G276" s="2">
        <v>3.7999999999999999E-2</v>
      </c>
      <c r="H276" s="4">
        <f t="shared" si="27"/>
        <v>0.19831223628691982</v>
      </c>
      <c r="I276" s="2" t="s">
        <v>82</v>
      </c>
      <c r="J276" s="2" t="s">
        <v>581</v>
      </c>
      <c r="K276" s="2"/>
      <c r="L276" s="2"/>
      <c r="M276" s="155"/>
      <c r="N276" s="155"/>
      <c r="O276" s="2">
        <v>8</v>
      </c>
      <c r="P276" s="6">
        <v>18</v>
      </c>
      <c r="Q276" s="131">
        <f t="shared" si="28"/>
        <v>40</v>
      </c>
      <c r="R276" s="33">
        <f t="shared" si="29"/>
        <v>18</v>
      </c>
      <c r="S276" s="132">
        <f t="shared" si="30"/>
        <v>2.25</v>
      </c>
      <c r="T276" s="132">
        <f t="shared" si="31"/>
        <v>2.25</v>
      </c>
      <c r="V276" s="131" t="str">
        <f t="shared" si="32"/>
        <v/>
      </c>
      <c r="W276" s="17"/>
      <c r="X276" s="7"/>
      <c r="Y276" s="161"/>
      <c r="Z276" s="7"/>
      <c r="AA276" s="117"/>
      <c r="AB276" s="117"/>
      <c r="AC276" s="117"/>
      <c r="CH276" s="2"/>
    </row>
    <row r="277" spans="1:86" x14ac:dyDescent="0.3">
      <c r="A277" s="2">
        <v>75</v>
      </c>
      <c r="B277" s="2" t="s">
        <v>0</v>
      </c>
      <c r="C277" s="2" t="s">
        <v>1</v>
      </c>
      <c r="D277" s="2" t="s">
        <v>607</v>
      </c>
      <c r="E277" s="2">
        <v>650</v>
      </c>
      <c r="F277" s="2">
        <v>1.5800000000000002E-2</v>
      </c>
      <c r="G277" s="2">
        <v>1.17E-2</v>
      </c>
      <c r="H277" s="4">
        <f t="shared" si="27"/>
        <v>0.259493670886076</v>
      </c>
      <c r="I277" s="2" t="s">
        <v>82</v>
      </c>
      <c r="J277" s="2" t="s">
        <v>587</v>
      </c>
      <c r="K277" s="2" t="s">
        <v>105</v>
      </c>
      <c r="L277" s="2" t="s">
        <v>76</v>
      </c>
      <c r="M277" s="155"/>
      <c r="N277" s="155"/>
      <c r="O277" s="2">
        <v>14</v>
      </c>
      <c r="P277" s="6">
        <v>12</v>
      </c>
      <c r="Q277" s="131">
        <f t="shared" si="28"/>
        <v>51.692307692307686</v>
      </c>
      <c r="R277" s="33">
        <f t="shared" si="29"/>
        <v>12</v>
      </c>
      <c r="S277" s="132">
        <f t="shared" si="30"/>
        <v>1.5</v>
      </c>
      <c r="T277" s="132">
        <f t="shared" si="31"/>
        <v>1.5</v>
      </c>
      <c r="V277" s="131" t="str">
        <f t="shared" si="32"/>
        <v/>
      </c>
      <c r="W277" s="17"/>
      <c r="X277" s="7"/>
      <c r="Y277" s="161"/>
      <c r="Z277" s="7"/>
      <c r="AA277" s="117"/>
      <c r="AB277" s="117"/>
      <c r="AC277" s="117"/>
      <c r="CH277" s="2"/>
    </row>
    <row r="278" spans="1:86" x14ac:dyDescent="0.3">
      <c r="A278" s="2">
        <v>76</v>
      </c>
      <c r="B278" s="2" t="s">
        <v>0</v>
      </c>
      <c r="C278" s="2" t="s">
        <v>1</v>
      </c>
      <c r="D278" s="2" t="s">
        <v>608</v>
      </c>
      <c r="E278" s="2">
        <v>1000</v>
      </c>
      <c r="F278" s="2">
        <v>1.9E-2</v>
      </c>
      <c r="G278" s="2">
        <v>1.4E-2</v>
      </c>
      <c r="H278" s="4">
        <f t="shared" si="27"/>
        <v>0.26315789473684209</v>
      </c>
      <c r="I278" s="2" t="s">
        <v>82</v>
      </c>
      <c r="J278" s="2" t="s">
        <v>579</v>
      </c>
      <c r="K278" s="2"/>
      <c r="L278" s="2"/>
      <c r="M278" s="155"/>
      <c r="N278" s="155"/>
      <c r="O278" s="2">
        <v>21</v>
      </c>
      <c r="P278" s="6">
        <v>12</v>
      </c>
      <c r="Q278" s="131">
        <f t="shared" si="28"/>
        <v>50.4</v>
      </c>
      <c r="R278" s="33">
        <f t="shared" si="29"/>
        <v>12</v>
      </c>
      <c r="S278" s="132">
        <f t="shared" si="30"/>
        <v>1.5</v>
      </c>
      <c r="T278" s="132">
        <f t="shared" si="31"/>
        <v>1.5</v>
      </c>
      <c r="V278" s="131" t="str">
        <f t="shared" si="32"/>
        <v/>
      </c>
      <c r="W278" s="17"/>
      <c r="X278" s="7"/>
      <c r="Y278" s="161"/>
      <c r="Z278" s="7"/>
      <c r="AA278" s="117"/>
      <c r="AB278" s="117"/>
      <c r="AC278" s="117"/>
      <c r="CH278" s="2"/>
    </row>
    <row r="279" spans="1:86" x14ac:dyDescent="0.3">
      <c r="A279" s="2">
        <v>77</v>
      </c>
      <c r="B279" s="2" t="s">
        <v>0</v>
      </c>
      <c r="C279" s="2" t="s">
        <v>1</v>
      </c>
      <c r="D279" s="2" t="s">
        <v>609</v>
      </c>
      <c r="E279" s="2">
        <v>300</v>
      </c>
      <c r="F279" s="2">
        <v>2.9399999999999999E-2</v>
      </c>
      <c r="G279" s="2">
        <v>1.84E-2</v>
      </c>
      <c r="H279" s="4">
        <f t="shared" si="27"/>
        <v>0.37414965986394555</v>
      </c>
      <c r="I279" s="2" t="s">
        <v>82</v>
      </c>
      <c r="J279" s="2" t="s">
        <v>610</v>
      </c>
      <c r="K279" s="2" t="s">
        <v>5</v>
      </c>
      <c r="L279" s="2" t="s">
        <v>6</v>
      </c>
      <c r="M279" s="155"/>
      <c r="N279" s="155"/>
      <c r="O279" s="2">
        <v>12</v>
      </c>
      <c r="P279" s="6">
        <v>26</v>
      </c>
      <c r="Q279" s="131">
        <f t="shared" si="28"/>
        <v>44.307692307692307</v>
      </c>
      <c r="R279" s="33">
        <f t="shared" si="29"/>
        <v>26</v>
      </c>
      <c r="S279" s="132">
        <f t="shared" si="30"/>
        <v>3.25</v>
      </c>
      <c r="T279" s="132">
        <f t="shared" si="31"/>
        <v>3.25</v>
      </c>
      <c r="V279" s="131" t="str">
        <f t="shared" si="32"/>
        <v/>
      </c>
      <c r="W279" s="17"/>
      <c r="X279" s="7"/>
      <c r="Y279" s="161"/>
      <c r="Z279" s="7"/>
      <c r="AA279" s="117"/>
      <c r="AB279" s="117"/>
      <c r="AC279" s="117"/>
      <c r="CH279" s="2"/>
    </row>
    <row r="280" spans="1:86" x14ac:dyDescent="0.3">
      <c r="A280" s="2">
        <v>78</v>
      </c>
      <c r="B280" s="2" t="s">
        <v>0</v>
      </c>
      <c r="C280" s="2" t="s">
        <v>1</v>
      </c>
      <c r="D280" s="2" t="s">
        <v>611</v>
      </c>
      <c r="E280" s="2">
        <v>300</v>
      </c>
      <c r="F280" s="2">
        <v>2.64E-2</v>
      </c>
      <c r="G280" s="2">
        <v>1.7299999999999999E-2</v>
      </c>
      <c r="H280" s="4">
        <f t="shared" si="27"/>
        <v>0.34469696969696972</v>
      </c>
      <c r="I280" s="2" t="s">
        <v>98</v>
      </c>
      <c r="J280" s="2" t="s">
        <v>229</v>
      </c>
      <c r="K280" s="2" t="s">
        <v>5</v>
      </c>
      <c r="L280" s="2" t="s">
        <v>6</v>
      </c>
      <c r="M280" s="155"/>
      <c r="N280" s="155"/>
      <c r="O280" s="2">
        <v>12</v>
      </c>
      <c r="P280" s="6">
        <v>26</v>
      </c>
      <c r="Q280" s="131">
        <f t="shared" si="28"/>
        <v>44.307692307692307</v>
      </c>
      <c r="R280" s="33">
        <f t="shared" si="29"/>
        <v>26</v>
      </c>
      <c r="S280" s="132">
        <f t="shared" si="30"/>
        <v>3.25</v>
      </c>
      <c r="T280" s="132">
        <f t="shared" si="31"/>
        <v>3.25</v>
      </c>
      <c r="V280" s="131" t="str">
        <f t="shared" si="32"/>
        <v/>
      </c>
      <c r="W280" s="17"/>
      <c r="X280" s="7"/>
      <c r="Y280" s="161"/>
      <c r="Z280" s="7"/>
      <c r="AA280" s="117"/>
      <c r="AB280" s="117"/>
      <c r="AC280" s="117"/>
      <c r="CH280" s="2"/>
    </row>
    <row r="281" spans="1:86" x14ac:dyDescent="0.3">
      <c r="A281" s="2">
        <v>79</v>
      </c>
      <c r="B281" s="2" t="s">
        <v>0</v>
      </c>
      <c r="C281" s="2" t="s">
        <v>1</v>
      </c>
      <c r="D281" s="2" t="s">
        <v>612</v>
      </c>
      <c r="E281" s="2">
        <v>300</v>
      </c>
      <c r="F281" s="2">
        <v>2.64E-2</v>
      </c>
      <c r="G281" s="2">
        <v>1.7299999999999999E-2</v>
      </c>
      <c r="H281" s="4">
        <f t="shared" si="27"/>
        <v>0.34469696969696972</v>
      </c>
      <c r="I281" s="2" t="s">
        <v>98</v>
      </c>
      <c r="J281" s="2" t="s">
        <v>229</v>
      </c>
      <c r="K281" s="2" t="s">
        <v>5</v>
      </c>
      <c r="L281" s="2" t="s">
        <v>6</v>
      </c>
      <c r="M281" s="155"/>
      <c r="N281" s="155"/>
      <c r="O281" s="2">
        <v>12</v>
      </c>
      <c r="P281" s="6">
        <v>26</v>
      </c>
      <c r="Q281" s="131">
        <f t="shared" si="28"/>
        <v>44.307692307692307</v>
      </c>
      <c r="R281" s="33">
        <f t="shared" si="29"/>
        <v>26</v>
      </c>
      <c r="S281" s="132">
        <f t="shared" si="30"/>
        <v>3.25</v>
      </c>
      <c r="T281" s="132">
        <f t="shared" si="31"/>
        <v>3.25</v>
      </c>
      <c r="V281" s="131" t="str">
        <f t="shared" si="32"/>
        <v/>
      </c>
      <c r="W281" s="17"/>
      <c r="X281" s="7"/>
      <c r="Y281" s="161"/>
      <c r="Z281" s="7"/>
      <c r="AA281" s="117"/>
      <c r="AB281" s="117"/>
      <c r="AC281" s="117"/>
      <c r="CH281" s="2"/>
    </row>
    <row r="282" spans="1:86" x14ac:dyDescent="0.3">
      <c r="A282" s="2">
        <v>80</v>
      </c>
      <c r="B282" s="2" t="s">
        <v>0</v>
      </c>
      <c r="C282" s="2" t="s">
        <v>1</v>
      </c>
      <c r="D282" s="2" t="s">
        <v>613</v>
      </c>
      <c r="E282" s="2">
        <v>300</v>
      </c>
      <c r="F282" s="2">
        <v>3.5999999999999997E-2</v>
      </c>
      <c r="G282" s="2">
        <v>2.5000000000000001E-2</v>
      </c>
      <c r="H282" s="4">
        <f t="shared" si="27"/>
        <v>0.30555555555555547</v>
      </c>
      <c r="I282" s="2" t="s">
        <v>82</v>
      </c>
      <c r="J282" s="2" t="s">
        <v>581</v>
      </c>
      <c r="K282" s="2"/>
      <c r="L282" s="2" t="s">
        <v>76</v>
      </c>
      <c r="M282" s="155"/>
      <c r="N282" s="155"/>
      <c r="O282" s="2">
        <v>10</v>
      </c>
      <c r="P282" s="6">
        <v>20</v>
      </c>
      <c r="Q282" s="131">
        <f t="shared" si="28"/>
        <v>48</v>
      </c>
      <c r="R282" s="33">
        <f t="shared" si="29"/>
        <v>20</v>
      </c>
      <c r="S282" s="132">
        <f t="shared" si="30"/>
        <v>2.5</v>
      </c>
      <c r="T282" s="132">
        <f t="shared" si="31"/>
        <v>2.5</v>
      </c>
      <c r="V282" s="131" t="str">
        <f t="shared" si="32"/>
        <v/>
      </c>
      <c r="W282" s="17"/>
      <c r="X282" s="7"/>
      <c r="Y282" s="161"/>
      <c r="Z282" s="7"/>
      <c r="AA282" s="117"/>
      <c r="AB282" s="117"/>
      <c r="AC282" s="117"/>
      <c r="CH282" s="2"/>
    </row>
    <row r="283" spans="1:86" x14ac:dyDescent="0.3">
      <c r="A283" s="2">
        <v>81</v>
      </c>
      <c r="B283" s="2" t="s">
        <v>0</v>
      </c>
      <c r="C283" s="2" t="s">
        <v>1</v>
      </c>
      <c r="D283" s="2" t="s">
        <v>614</v>
      </c>
      <c r="E283" s="2">
        <v>300</v>
      </c>
      <c r="F283" s="2">
        <v>3.4799999999999998E-2</v>
      </c>
      <c r="G283" s="2">
        <v>2.4E-2</v>
      </c>
      <c r="H283" s="4">
        <f t="shared" si="27"/>
        <v>0.31034482758620685</v>
      </c>
      <c r="I283" s="2" t="s">
        <v>82</v>
      </c>
      <c r="J283" s="2" t="s">
        <v>581</v>
      </c>
      <c r="K283" s="2"/>
      <c r="L283" s="2"/>
      <c r="M283" s="155"/>
      <c r="N283" s="155"/>
      <c r="O283" s="2">
        <v>10</v>
      </c>
      <c r="P283" s="6">
        <v>20</v>
      </c>
      <c r="Q283" s="131">
        <f t="shared" si="28"/>
        <v>48</v>
      </c>
      <c r="R283" s="33">
        <f t="shared" si="29"/>
        <v>20</v>
      </c>
      <c r="S283" s="132">
        <f t="shared" si="30"/>
        <v>2.5</v>
      </c>
      <c r="T283" s="132">
        <f t="shared" si="31"/>
        <v>2.5</v>
      </c>
      <c r="V283" s="131" t="str">
        <f t="shared" si="32"/>
        <v/>
      </c>
      <c r="W283" s="17"/>
      <c r="X283" s="7"/>
      <c r="Y283" s="161"/>
      <c r="Z283" s="7"/>
      <c r="AA283" s="117"/>
      <c r="AB283" s="117"/>
      <c r="AC283" s="117"/>
      <c r="CH283" s="2"/>
    </row>
    <row r="284" spans="1:86" x14ac:dyDescent="0.3">
      <c r="A284" s="2">
        <v>82</v>
      </c>
      <c r="B284" s="2" t="s">
        <v>0</v>
      </c>
      <c r="C284" s="2" t="s">
        <v>1</v>
      </c>
      <c r="D284" s="2" t="s">
        <v>615</v>
      </c>
      <c r="E284" s="2">
        <v>240</v>
      </c>
      <c r="F284" s="2">
        <v>3.5099999999999999E-2</v>
      </c>
      <c r="G284" s="2">
        <v>2.41E-2</v>
      </c>
      <c r="H284" s="4">
        <f t="shared" si="27"/>
        <v>0.31339031339031337</v>
      </c>
      <c r="I284" s="2" t="s">
        <v>82</v>
      </c>
      <c r="J284" s="2" t="s">
        <v>581</v>
      </c>
      <c r="K284" s="2"/>
      <c r="L284" s="2"/>
      <c r="M284" s="155"/>
      <c r="N284" s="155"/>
      <c r="O284" s="2">
        <v>10</v>
      </c>
      <c r="P284" s="6">
        <v>25</v>
      </c>
      <c r="Q284" s="131">
        <f t="shared" si="28"/>
        <v>48</v>
      </c>
      <c r="R284" s="33">
        <f t="shared" si="29"/>
        <v>25</v>
      </c>
      <c r="S284" s="132">
        <f t="shared" si="30"/>
        <v>3.125</v>
      </c>
      <c r="T284" s="132">
        <f t="shared" si="31"/>
        <v>3.125</v>
      </c>
      <c r="V284" s="131" t="str">
        <f t="shared" si="32"/>
        <v/>
      </c>
      <c r="W284" s="17"/>
      <c r="X284" s="7"/>
      <c r="Y284" s="161"/>
      <c r="Z284" s="7"/>
      <c r="AA284" s="117"/>
      <c r="AB284" s="117"/>
      <c r="AC284" s="117"/>
      <c r="CH284" s="2"/>
    </row>
    <row r="285" spans="1:86" x14ac:dyDescent="0.3">
      <c r="A285" s="2">
        <v>83</v>
      </c>
      <c r="B285" s="2" t="s">
        <v>0</v>
      </c>
      <c r="C285" s="2" t="s">
        <v>1</v>
      </c>
      <c r="D285" s="2" t="s">
        <v>616</v>
      </c>
      <c r="E285" s="2">
        <v>450</v>
      </c>
      <c r="F285" s="2">
        <v>4.02E-2</v>
      </c>
      <c r="G285" s="2">
        <v>3.4099999999999998E-2</v>
      </c>
      <c r="H285" s="4">
        <f t="shared" si="27"/>
        <v>0.15174129353233834</v>
      </c>
      <c r="I285" s="2" t="s">
        <v>82</v>
      </c>
      <c r="J285" s="2" t="s">
        <v>610</v>
      </c>
      <c r="K285" s="2"/>
      <c r="L285" s="2"/>
      <c r="M285" s="155"/>
      <c r="N285" s="155"/>
      <c r="O285" s="2">
        <v>9</v>
      </c>
      <c r="P285" s="6">
        <v>20</v>
      </c>
      <c r="Q285" s="131">
        <f t="shared" si="28"/>
        <v>28.8</v>
      </c>
      <c r="R285" s="33">
        <f t="shared" si="29"/>
        <v>20</v>
      </c>
      <c r="S285" s="132">
        <f t="shared" si="30"/>
        <v>2.5</v>
      </c>
      <c r="T285" s="132">
        <f t="shared" si="31"/>
        <v>2.5</v>
      </c>
      <c r="V285" s="131" t="str">
        <f t="shared" si="32"/>
        <v/>
      </c>
      <c r="W285" s="17"/>
      <c r="X285" s="7"/>
      <c r="Y285" s="161"/>
      <c r="Z285" s="7"/>
      <c r="AA285" s="117"/>
      <c r="AB285" s="117"/>
      <c r="AC285" s="117"/>
      <c r="CH285" s="2"/>
    </row>
    <row r="286" spans="1:86" x14ac:dyDescent="0.3">
      <c r="A286" s="2">
        <v>84</v>
      </c>
      <c r="B286" s="2" t="s">
        <v>0</v>
      </c>
      <c r="C286" s="2" t="s">
        <v>1</v>
      </c>
      <c r="D286" s="2" t="s">
        <v>617</v>
      </c>
      <c r="E286" s="2">
        <v>600</v>
      </c>
      <c r="F286" s="2">
        <v>2.8899999999999999E-2</v>
      </c>
      <c r="G286" s="2">
        <v>1.7999999999999999E-2</v>
      </c>
      <c r="H286" s="4">
        <f t="shared" si="27"/>
        <v>0.37716262975778547</v>
      </c>
      <c r="I286" s="2" t="s">
        <v>82</v>
      </c>
      <c r="J286" s="2" t="s">
        <v>610</v>
      </c>
      <c r="K286" s="2" t="s">
        <v>105</v>
      </c>
      <c r="L286" s="2" t="s">
        <v>76</v>
      </c>
      <c r="M286" s="155"/>
      <c r="N286" s="155"/>
      <c r="O286" s="2">
        <v>12</v>
      </c>
      <c r="P286" s="6">
        <v>12</v>
      </c>
      <c r="Q286" s="131">
        <f t="shared" si="28"/>
        <v>48</v>
      </c>
      <c r="R286" s="33">
        <f t="shared" si="29"/>
        <v>12</v>
      </c>
      <c r="S286" s="132">
        <f t="shared" si="30"/>
        <v>1.5</v>
      </c>
      <c r="T286" s="132">
        <f t="shared" si="31"/>
        <v>1.5</v>
      </c>
      <c r="V286" s="131" t="str">
        <f t="shared" si="32"/>
        <v/>
      </c>
      <c r="W286" s="17"/>
      <c r="X286" s="7"/>
      <c r="Y286" s="161"/>
      <c r="Z286" s="7"/>
      <c r="AA286" s="117"/>
      <c r="AB286" s="117"/>
      <c r="AC286" s="117"/>
      <c r="CH286" s="2"/>
    </row>
    <row r="287" spans="1:86" x14ac:dyDescent="0.3">
      <c r="A287" s="2">
        <v>95</v>
      </c>
      <c r="B287" s="2" t="s">
        <v>0</v>
      </c>
      <c r="C287" s="2" t="s">
        <v>1</v>
      </c>
      <c r="D287" s="2" t="s">
        <v>618</v>
      </c>
      <c r="E287" s="2">
        <v>4900</v>
      </c>
      <c r="F287" s="2">
        <v>2.5000000000000001E-3</v>
      </c>
      <c r="G287" s="2">
        <v>2.2000000000000001E-3</v>
      </c>
      <c r="H287" s="4">
        <f t="shared" si="27"/>
        <v>0.11999999999999997</v>
      </c>
      <c r="I287" s="2" t="s">
        <v>98</v>
      </c>
      <c r="J287" s="2" t="s">
        <v>619</v>
      </c>
      <c r="K287" s="2" t="s">
        <v>5</v>
      </c>
      <c r="L287" s="2" t="s">
        <v>6</v>
      </c>
      <c r="M287" s="155"/>
      <c r="N287" s="155"/>
      <c r="O287" s="2">
        <v>54</v>
      </c>
      <c r="P287" s="6">
        <v>16</v>
      </c>
      <c r="Q287" s="131">
        <f t="shared" si="28"/>
        <v>19.836734693877553</v>
      </c>
      <c r="R287" s="33">
        <f t="shared" si="29"/>
        <v>16</v>
      </c>
      <c r="S287" s="132">
        <f t="shared" si="30"/>
        <v>2</v>
      </c>
      <c r="T287" s="132">
        <f t="shared" si="31"/>
        <v>2</v>
      </c>
      <c r="V287" s="131" t="str">
        <f t="shared" si="32"/>
        <v/>
      </c>
      <c r="W287" s="17"/>
      <c r="X287" s="7"/>
      <c r="Y287" s="161"/>
      <c r="Z287" s="7"/>
      <c r="AA287" s="117"/>
      <c r="AB287" s="117"/>
      <c r="AC287" s="117"/>
      <c r="CH287" s="2"/>
    </row>
    <row r="288" spans="1:86" x14ac:dyDescent="0.3">
      <c r="A288" s="2">
        <v>97</v>
      </c>
      <c r="B288" s="23" t="s">
        <v>0</v>
      </c>
      <c r="C288" s="2" t="s">
        <v>1</v>
      </c>
      <c r="D288" s="2" t="s">
        <v>620</v>
      </c>
      <c r="E288" s="2">
        <v>270</v>
      </c>
      <c r="F288" s="2">
        <v>3.6900000000000002E-2</v>
      </c>
      <c r="G288" s="2">
        <v>2.6499999999999999E-2</v>
      </c>
      <c r="H288" s="4">
        <f t="shared" si="27"/>
        <v>0.28184281842818437</v>
      </c>
      <c r="I288" s="2" t="s">
        <v>82</v>
      </c>
      <c r="J288" s="2" t="s">
        <v>610</v>
      </c>
      <c r="K288" s="2" t="s">
        <v>105</v>
      </c>
      <c r="L288" s="2" t="s">
        <v>76</v>
      </c>
      <c r="M288" s="155"/>
      <c r="N288" s="155"/>
      <c r="O288" s="2">
        <v>9</v>
      </c>
      <c r="P288" s="6">
        <v>17</v>
      </c>
      <c r="Q288" s="131">
        <f t="shared" si="28"/>
        <v>56.470588235294116</v>
      </c>
      <c r="R288" s="33">
        <f t="shared" si="29"/>
        <v>17</v>
      </c>
      <c r="S288" s="132">
        <f t="shared" si="30"/>
        <v>2.125</v>
      </c>
      <c r="T288" s="132">
        <f t="shared" si="31"/>
        <v>2.125</v>
      </c>
      <c r="V288" s="131" t="str">
        <f t="shared" si="32"/>
        <v/>
      </c>
      <c r="W288" s="17"/>
      <c r="X288" s="7"/>
      <c r="Y288" s="161"/>
      <c r="Z288" s="7"/>
      <c r="AA288" s="117"/>
      <c r="AB288" s="117"/>
      <c r="AC288" s="117"/>
      <c r="CH288" s="2"/>
    </row>
    <row r="289" spans="1:86" x14ac:dyDescent="0.3">
      <c r="A289" s="2">
        <v>137</v>
      </c>
      <c r="B289" s="2" t="s">
        <v>0</v>
      </c>
      <c r="C289" s="2" t="s">
        <v>1</v>
      </c>
      <c r="D289" s="2" t="s">
        <v>621</v>
      </c>
      <c r="E289" s="2">
        <v>40</v>
      </c>
      <c r="F289" s="2">
        <v>0.29360000000000003</v>
      </c>
      <c r="G289" s="2">
        <v>0.24199999999999999</v>
      </c>
      <c r="H289" s="4">
        <f t="shared" si="27"/>
        <v>0.17574931880109002</v>
      </c>
      <c r="I289" s="2" t="s">
        <v>98</v>
      </c>
      <c r="J289" s="2" t="s">
        <v>622</v>
      </c>
      <c r="K289" s="2" t="s">
        <v>105</v>
      </c>
      <c r="L289" s="2" t="s">
        <v>76</v>
      </c>
      <c r="M289" s="155"/>
      <c r="N289" s="155"/>
      <c r="O289" s="2">
        <v>3</v>
      </c>
      <c r="P289" s="6">
        <v>20</v>
      </c>
      <c r="Q289" s="131">
        <f t="shared" si="28"/>
        <v>108</v>
      </c>
      <c r="R289" s="33">
        <f t="shared" si="29"/>
        <v>20</v>
      </c>
      <c r="S289" s="132">
        <f t="shared" si="30"/>
        <v>2.5</v>
      </c>
      <c r="T289" s="132">
        <f t="shared" si="31"/>
        <v>2.5</v>
      </c>
      <c r="V289" s="131" t="str">
        <f t="shared" si="32"/>
        <v/>
      </c>
      <c r="W289" s="17"/>
      <c r="X289" s="7"/>
      <c r="Y289" s="161"/>
      <c r="Z289" s="7"/>
      <c r="AA289" s="117"/>
      <c r="AB289" s="117"/>
      <c r="AC289" s="117"/>
      <c r="CH289" s="2"/>
    </row>
    <row r="290" spans="1:86" x14ac:dyDescent="0.3">
      <c r="A290" s="2">
        <v>138</v>
      </c>
      <c r="B290" s="2" t="s">
        <v>0</v>
      </c>
      <c r="C290" s="2" t="s">
        <v>1</v>
      </c>
      <c r="D290" s="2" t="s">
        <v>623</v>
      </c>
      <c r="E290" s="2">
        <v>40</v>
      </c>
      <c r="F290" s="2">
        <v>0.29360000000000003</v>
      </c>
      <c r="G290" s="2">
        <v>0.24199999999999999</v>
      </c>
      <c r="H290" s="4">
        <f t="shared" si="27"/>
        <v>0.17574931880109002</v>
      </c>
      <c r="I290" s="2" t="s">
        <v>98</v>
      </c>
      <c r="J290" s="2" t="s">
        <v>624</v>
      </c>
      <c r="K290" s="2" t="s">
        <v>105</v>
      </c>
      <c r="L290" s="2" t="s">
        <v>76</v>
      </c>
      <c r="M290" s="155"/>
      <c r="N290" s="155"/>
      <c r="O290" s="2">
        <v>3</v>
      </c>
      <c r="P290" s="6">
        <v>20</v>
      </c>
      <c r="Q290" s="131">
        <f t="shared" si="28"/>
        <v>108</v>
      </c>
      <c r="R290" s="33">
        <f t="shared" si="29"/>
        <v>20</v>
      </c>
      <c r="S290" s="132">
        <f t="shared" si="30"/>
        <v>2.5</v>
      </c>
      <c r="T290" s="132">
        <f t="shared" si="31"/>
        <v>2.5</v>
      </c>
      <c r="V290" s="131" t="str">
        <f t="shared" si="32"/>
        <v/>
      </c>
      <c r="W290" s="17"/>
      <c r="X290" s="7"/>
      <c r="Y290" s="161"/>
      <c r="Z290" s="7"/>
      <c r="AA290" s="117"/>
      <c r="AB290" s="117"/>
      <c r="AC290" s="117"/>
      <c r="CH290" s="2"/>
    </row>
    <row r="291" spans="1:86" x14ac:dyDescent="0.3">
      <c r="A291" s="2">
        <v>139</v>
      </c>
      <c r="B291" s="2" t="s">
        <v>84</v>
      </c>
      <c r="C291" s="2" t="s">
        <v>1</v>
      </c>
      <c r="D291" s="2" t="s">
        <v>625</v>
      </c>
      <c r="E291" s="2">
        <v>300</v>
      </c>
      <c r="F291" s="2">
        <v>7.2300000000000003E-2</v>
      </c>
      <c r="G291" s="2"/>
      <c r="H291" s="4">
        <f t="shared" si="27"/>
        <v>1</v>
      </c>
      <c r="I291" s="2" t="s">
        <v>82</v>
      </c>
      <c r="J291" s="2" t="s">
        <v>626</v>
      </c>
      <c r="K291" s="2" t="s">
        <v>105</v>
      </c>
      <c r="L291" s="2" t="s">
        <v>76</v>
      </c>
      <c r="M291" s="155"/>
      <c r="N291" s="155"/>
      <c r="O291" s="2">
        <v>2</v>
      </c>
      <c r="P291" s="6">
        <v>23</v>
      </c>
      <c r="Q291" s="131">
        <f t="shared" si="28"/>
        <v>8.3478260869565215</v>
      </c>
      <c r="R291" s="33">
        <f t="shared" si="29"/>
        <v>23</v>
      </c>
      <c r="S291" s="132">
        <f t="shared" si="30"/>
        <v>2.875</v>
      </c>
      <c r="T291" s="132">
        <f t="shared" si="31"/>
        <v>2.875</v>
      </c>
      <c r="V291" s="131" t="str">
        <f t="shared" si="32"/>
        <v/>
      </c>
      <c r="W291" s="17"/>
      <c r="X291" s="7"/>
      <c r="Y291" s="161"/>
      <c r="Z291" s="7"/>
      <c r="AA291" s="117"/>
      <c r="AB291" s="117"/>
      <c r="AC291" s="117"/>
      <c r="CH291" s="2"/>
    </row>
    <row r="292" spans="1:86" x14ac:dyDescent="0.3">
      <c r="A292" s="2">
        <v>140</v>
      </c>
      <c r="B292" s="2" t="s">
        <v>84</v>
      </c>
      <c r="C292" s="2" t="s">
        <v>1</v>
      </c>
      <c r="D292" s="2" t="s">
        <v>627</v>
      </c>
      <c r="E292" s="2">
        <v>180</v>
      </c>
      <c r="F292" s="2">
        <v>0.1162</v>
      </c>
      <c r="G292" s="2"/>
      <c r="H292" s="4">
        <f t="shared" si="27"/>
        <v>1</v>
      </c>
      <c r="I292" s="2" t="s">
        <v>82</v>
      </c>
      <c r="J292" s="2" t="s">
        <v>626</v>
      </c>
      <c r="K292" s="2" t="s">
        <v>261</v>
      </c>
      <c r="L292" s="2" t="s">
        <v>76</v>
      </c>
      <c r="M292" s="155"/>
      <c r="N292" s="155"/>
      <c r="O292" s="2">
        <v>1</v>
      </c>
      <c r="P292" s="6">
        <v>12</v>
      </c>
      <c r="Q292" s="131">
        <f t="shared" si="28"/>
        <v>13.333333333333334</v>
      </c>
      <c r="R292" s="33">
        <f t="shared" si="29"/>
        <v>12</v>
      </c>
      <c r="S292" s="132">
        <f t="shared" si="30"/>
        <v>1.5</v>
      </c>
      <c r="T292" s="132">
        <f t="shared" si="31"/>
        <v>1.5</v>
      </c>
      <c r="V292" s="131" t="str">
        <f t="shared" si="32"/>
        <v/>
      </c>
      <c r="W292" s="17"/>
      <c r="X292" s="7"/>
      <c r="Y292" s="161"/>
      <c r="Z292" s="7"/>
      <c r="AA292" s="117"/>
      <c r="AB292" s="117"/>
      <c r="AC292" s="117"/>
      <c r="CH292" s="2"/>
    </row>
    <row r="293" spans="1:86" x14ac:dyDescent="0.3">
      <c r="A293" s="2">
        <v>141</v>
      </c>
      <c r="B293" s="2" t="s">
        <v>84</v>
      </c>
      <c r="C293" s="2" t="s">
        <v>1</v>
      </c>
      <c r="D293" s="2" t="s">
        <v>628</v>
      </c>
      <c r="E293" s="2">
        <v>200</v>
      </c>
      <c r="F293" s="2">
        <v>6.1699999999999998E-2</v>
      </c>
      <c r="G293" s="2"/>
      <c r="H293" s="4">
        <f t="shared" si="27"/>
        <v>1</v>
      </c>
      <c r="I293" s="2" t="s">
        <v>82</v>
      </c>
      <c r="J293" s="2" t="s">
        <v>626</v>
      </c>
      <c r="K293" s="2" t="s">
        <v>90</v>
      </c>
      <c r="L293" s="2" t="s">
        <v>6</v>
      </c>
      <c r="M293" s="155"/>
      <c r="N293" s="155"/>
      <c r="O293" s="2">
        <v>2</v>
      </c>
      <c r="P293" s="6">
        <v>26</v>
      </c>
      <c r="Q293" s="131">
        <f t="shared" si="28"/>
        <v>11.076923076923077</v>
      </c>
      <c r="R293" s="33">
        <f t="shared" si="29"/>
        <v>26</v>
      </c>
      <c r="S293" s="132">
        <f t="shared" si="30"/>
        <v>3.25</v>
      </c>
      <c r="T293" s="132">
        <f t="shared" si="31"/>
        <v>3.25</v>
      </c>
      <c r="V293" s="131" t="str">
        <f t="shared" si="32"/>
        <v/>
      </c>
      <c r="W293" s="17"/>
      <c r="X293" s="7"/>
      <c r="Y293" s="161"/>
      <c r="Z293" s="7"/>
      <c r="AA293" s="117"/>
      <c r="AB293" s="117"/>
      <c r="AC293" s="117"/>
      <c r="CH293" s="2"/>
    </row>
    <row r="294" spans="1:86" x14ac:dyDescent="0.3">
      <c r="A294" s="2">
        <v>144</v>
      </c>
      <c r="B294" s="2" t="s">
        <v>0</v>
      </c>
      <c r="C294" s="2" t="s">
        <v>1</v>
      </c>
      <c r="D294" s="2" t="s">
        <v>629</v>
      </c>
      <c r="E294" s="2">
        <v>1680</v>
      </c>
      <c r="F294" s="2">
        <v>1.6400000000000001E-2</v>
      </c>
      <c r="G294" s="2">
        <v>1.0999999999999999E-2</v>
      </c>
      <c r="H294" s="4">
        <f t="shared" si="27"/>
        <v>0.3292682926829269</v>
      </c>
      <c r="I294" s="2" t="s">
        <v>98</v>
      </c>
      <c r="J294" s="2" t="s">
        <v>415</v>
      </c>
      <c r="K294" s="2" t="s">
        <v>105</v>
      </c>
      <c r="L294" s="2" t="s">
        <v>76</v>
      </c>
      <c r="M294" s="155"/>
      <c r="N294" s="155"/>
      <c r="O294" s="2">
        <v>16</v>
      </c>
      <c r="P294" s="6">
        <v>10</v>
      </c>
      <c r="Q294" s="131">
        <f t="shared" si="28"/>
        <v>27.428571428571427</v>
      </c>
      <c r="R294" s="33">
        <f t="shared" si="29"/>
        <v>10</v>
      </c>
      <c r="S294" s="132">
        <f t="shared" si="30"/>
        <v>1.25</v>
      </c>
      <c r="T294" s="132">
        <f t="shared" si="31"/>
        <v>1.25</v>
      </c>
      <c r="V294" s="131" t="str">
        <f t="shared" si="32"/>
        <v/>
      </c>
      <c r="W294" s="17"/>
      <c r="X294" s="7"/>
      <c r="Y294" s="161"/>
      <c r="Z294" s="7"/>
      <c r="AA294" s="117"/>
      <c r="AB294" s="117"/>
      <c r="AC294" s="117"/>
      <c r="CH294" s="2"/>
    </row>
    <row r="295" spans="1:86" x14ac:dyDescent="0.3">
      <c r="A295" s="2">
        <v>145</v>
      </c>
      <c r="B295" s="2" t="s">
        <v>0</v>
      </c>
      <c r="C295" s="2" t="s">
        <v>1</v>
      </c>
      <c r="D295" s="2" t="s">
        <v>630</v>
      </c>
      <c r="E295" s="2">
        <v>300</v>
      </c>
      <c r="F295" s="2">
        <v>9.6799999999999997E-2</v>
      </c>
      <c r="G295" s="2">
        <v>5.96E-2</v>
      </c>
      <c r="H295" s="4">
        <f t="shared" si="27"/>
        <v>0.38429752066115702</v>
      </c>
      <c r="I295" s="2" t="s">
        <v>98</v>
      </c>
      <c r="J295" s="2" t="s">
        <v>631</v>
      </c>
      <c r="K295" s="2" t="s">
        <v>413</v>
      </c>
      <c r="L295" s="2" t="s">
        <v>76</v>
      </c>
      <c r="M295" s="155"/>
      <c r="N295" s="155"/>
      <c r="O295" s="2">
        <v>6</v>
      </c>
      <c r="P295" s="6">
        <v>20</v>
      </c>
      <c r="Q295" s="131">
        <f t="shared" si="28"/>
        <v>28.8</v>
      </c>
      <c r="R295" s="33">
        <f t="shared" si="29"/>
        <v>20</v>
      </c>
      <c r="S295" s="132">
        <f t="shared" si="30"/>
        <v>2.5</v>
      </c>
      <c r="T295" s="132">
        <f t="shared" si="31"/>
        <v>2.5</v>
      </c>
      <c r="V295" s="131" t="str">
        <f t="shared" si="32"/>
        <v/>
      </c>
      <c r="W295" s="17"/>
      <c r="X295" s="7"/>
      <c r="Y295" s="161"/>
      <c r="Z295" s="7"/>
      <c r="AA295" s="117"/>
      <c r="AB295" s="117"/>
      <c r="AC295" s="117"/>
      <c r="CH295" s="2"/>
    </row>
    <row r="296" spans="1:86" x14ac:dyDescent="0.3">
      <c r="A296" s="2">
        <v>146</v>
      </c>
      <c r="B296" s="2" t="s">
        <v>0</v>
      </c>
      <c r="C296" s="2" t="s">
        <v>1</v>
      </c>
      <c r="D296" s="2" t="s">
        <v>632</v>
      </c>
      <c r="E296" s="2">
        <v>200</v>
      </c>
      <c r="F296" s="2">
        <v>9.6799999999999997E-2</v>
      </c>
      <c r="G296" s="2">
        <v>5.96E-2</v>
      </c>
      <c r="H296" s="4">
        <f t="shared" si="27"/>
        <v>0.38429752066115702</v>
      </c>
      <c r="I296" s="2" t="s">
        <v>98</v>
      </c>
      <c r="J296" s="2" t="s">
        <v>631</v>
      </c>
      <c r="K296" s="2" t="s">
        <v>413</v>
      </c>
      <c r="L296" s="2" t="s">
        <v>76</v>
      </c>
      <c r="M296" s="155"/>
      <c r="N296" s="155"/>
      <c r="O296" s="2">
        <v>6</v>
      </c>
      <c r="P296" s="6">
        <v>28</v>
      </c>
      <c r="Q296" s="131">
        <f t="shared" si="28"/>
        <v>30.857142857142858</v>
      </c>
      <c r="R296" s="33">
        <f t="shared" si="29"/>
        <v>28</v>
      </c>
      <c r="S296" s="132">
        <f t="shared" si="30"/>
        <v>3.5</v>
      </c>
      <c r="T296" s="132">
        <f t="shared" si="31"/>
        <v>3.5</v>
      </c>
      <c r="V296" s="131" t="str">
        <f t="shared" si="32"/>
        <v/>
      </c>
      <c r="W296" s="17"/>
      <c r="X296" s="7"/>
      <c r="Y296" s="161"/>
      <c r="Z296" s="7"/>
      <c r="AA296" s="117"/>
      <c r="AB296" s="117"/>
      <c r="AC296" s="117"/>
      <c r="CH296" s="2"/>
    </row>
    <row r="297" spans="1:86" x14ac:dyDescent="0.3">
      <c r="A297" s="2">
        <v>147</v>
      </c>
      <c r="B297" s="2" t="s">
        <v>84</v>
      </c>
      <c r="C297" s="2" t="s">
        <v>1</v>
      </c>
      <c r="D297" s="2" t="s">
        <v>633</v>
      </c>
      <c r="E297" s="2">
        <v>500</v>
      </c>
      <c r="F297" s="2">
        <v>4.1300000000000003E-2</v>
      </c>
      <c r="G297" s="2"/>
      <c r="H297" s="4">
        <f t="shared" si="27"/>
        <v>1</v>
      </c>
      <c r="I297" s="2" t="s">
        <v>98</v>
      </c>
      <c r="J297" s="2" t="s">
        <v>634</v>
      </c>
      <c r="K297" s="2" t="s">
        <v>413</v>
      </c>
      <c r="L297" s="2" t="s">
        <v>76</v>
      </c>
      <c r="M297" s="155"/>
      <c r="N297" s="155"/>
      <c r="O297" s="2">
        <v>18</v>
      </c>
      <c r="P297" s="6">
        <v>6</v>
      </c>
      <c r="Q297" s="131">
        <f t="shared" si="28"/>
        <v>172.79999999999998</v>
      </c>
      <c r="R297" s="33">
        <f t="shared" si="29"/>
        <v>6</v>
      </c>
      <c r="S297" s="132">
        <f t="shared" si="30"/>
        <v>0.75</v>
      </c>
      <c r="T297" s="132">
        <f t="shared" si="31"/>
        <v>0.75</v>
      </c>
      <c r="V297" s="131" t="str">
        <f t="shared" si="32"/>
        <v/>
      </c>
      <c r="W297" s="17"/>
      <c r="X297" s="7"/>
      <c r="Y297" s="161"/>
      <c r="Z297" s="7"/>
      <c r="AA297" s="117"/>
      <c r="AB297" s="117"/>
      <c r="AC297" s="117"/>
      <c r="CH297" s="2"/>
    </row>
    <row r="298" spans="1:86" x14ac:dyDescent="0.3">
      <c r="A298" s="2">
        <v>148</v>
      </c>
      <c r="B298" s="2" t="s">
        <v>84</v>
      </c>
      <c r="C298" s="2" t="s">
        <v>1</v>
      </c>
      <c r="D298" s="2" t="s">
        <v>635</v>
      </c>
      <c r="E298" s="2">
        <v>500</v>
      </c>
      <c r="F298" s="2">
        <v>4.1300000000000003E-2</v>
      </c>
      <c r="G298" s="2"/>
      <c r="H298" s="4">
        <f t="shared" si="27"/>
        <v>1</v>
      </c>
      <c r="I298" s="2" t="s">
        <v>98</v>
      </c>
      <c r="J298" s="2" t="s">
        <v>636</v>
      </c>
      <c r="K298" s="2" t="s">
        <v>413</v>
      </c>
      <c r="L298" s="2" t="s">
        <v>76</v>
      </c>
      <c r="M298" s="155"/>
      <c r="N298" s="155"/>
      <c r="O298" s="2">
        <v>18</v>
      </c>
      <c r="P298" s="6">
        <v>7</v>
      </c>
      <c r="Q298" s="131">
        <f t="shared" si="28"/>
        <v>148.1142857142857</v>
      </c>
      <c r="R298" s="33">
        <f t="shared" si="29"/>
        <v>7</v>
      </c>
      <c r="S298" s="132">
        <f t="shared" si="30"/>
        <v>0.875</v>
      </c>
      <c r="T298" s="132">
        <f t="shared" si="31"/>
        <v>0.875</v>
      </c>
      <c r="V298" s="131" t="str">
        <f t="shared" si="32"/>
        <v/>
      </c>
      <c r="W298" s="17"/>
      <c r="X298" s="7"/>
      <c r="Y298" s="161"/>
      <c r="Z298" s="7"/>
      <c r="AA298" s="117"/>
      <c r="AB298" s="117"/>
      <c r="AC298" s="117"/>
      <c r="CH298" s="2"/>
    </row>
    <row r="299" spans="1:86" x14ac:dyDescent="0.3">
      <c r="A299" s="2">
        <v>149</v>
      </c>
      <c r="B299" s="2" t="s">
        <v>84</v>
      </c>
      <c r="C299" s="2" t="s">
        <v>1</v>
      </c>
      <c r="D299" s="2" t="s">
        <v>637</v>
      </c>
      <c r="E299" s="2">
        <v>900</v>
      </c>
      <c r="F299" s="2">
        <v>3.6499999999999998E-2</v>
      </c>
      <c r="G299" s="2"/>
      <c r="H299" s="4">
        <f t="shared" si="27"/>
        <v>1</v>
      </c>
      <c r="I299" s="2" t="s">
        <v>98</v>
      </c>
      <c r="J299" s="2" t="s">
        <v>638</v>
      </c>
      <c r="K299" s="2" t="s">
        <v>413</v>
      </c>
      <c r="L299" s="2" t="s">
        <v>76</v>
      </c>
      <c r="M299" s="155"/>
      <c r="N299" s="155"/>
      <c r="O299" s="2">
        <v>22</v>
      </c>
      <c r="P299" s="6">
        <v>7</v>
      </c>
      <c r="Q299" s="131">
        <f t="shared" si="28"/>
        <v>100.57142857142857</v>
      </c>
      <c r="R299" s="33">
        <f t="shared" si="29"/>
        <v>7</v>
      </c>
      <c r="S299" s="132">
        <f t="shared" si="30"/>
        <v>0.875</v>
      </c>
      <c r="T299" s="132">
        <f t="shared" si="31"/>
        <v>0.875</v>
      </c>
      <c r="V299" s="131" t="str">
        <f t="shared" si="32"/>
        <v/>
      </c>
      <c r="W299" s="17"/>
      <c r="X299" s="7"/>
      <c r="Y299" s="161"/>
      <c r="Z299" s="7"/>
      <c r="AA299" s="117"/>
      <c r="AB299" s="117"/>
      <c r="AC299" s="117"/>
      <c r="CH299" s="2"/>
    </row>
    <row r="300" spans="1:86" x14ac:dyDescent="0.3">
      <c r="A300" s="2">
        <v>150</v>
      </c>
      <c r="B300" s="2" t="s">
        <v>0</v>
      </c>
      <c r="C300" s="2" t="s">
        <v>1</v>
      </c>
      <c r="D300" s="2" t="s">
        <v>639</v>
      </c>
      <c r="E300" s="2">
        <v>50</v>
      </c>
      <c r="F300" s="2">
        <v>0.2069</v>
      </c>
      <c r="G300" s="2"/>
      <c r="H300" s="4">
        <f t="shared" si="27"/>
        <v>1</v>
      </c>
      <c r="I300" s="2" t="s">
        <v>98</v>
      </c>
      <c r="J300" s="2" t="s">
        <v>640</v>
      </c>
      <c r="K300" s="2" t="s">
        <v>413</v>
      </c>
      <c r="L300" s="2" t="s">
        <v>76</v>
      </c>
      <c r="M300" s="155"/>
      <c r="N300" s="155"/>
      <c r="O300" s="2">
        <v>6</v>
      </c>
      <c r="P300" s="6">
        <v>14</v>
      </c>
      <c r="Q300" s="131">
        <f t="shared" si="28"/>
        <v>246.85714285714286</v>
      </c>
      <c r="R300" s="33">
        <f t="shared" si="29"/>
        <v>14</v>
      </c>
      <c r="S300" s="132">
        <f t="shared" si="30"/>
        <v>1.75</v>
      </c>
      <c r="T300" s="132">
        <f t="shared" si="31"/>
        <v>1.75</v>
      </c>
      <c r="V300" s="131" t="str">
        <f t="shared" si="32"/>
        <v/>
      </c>
      <c r="W300" s="17"/>
      <c r="X300" s="7"/>
      <c r="Y300" s="161"/>
      <c r="Z300" s="7"/>
      <c r="AA300" s="117"/>
      <c r="AB300" s="117"/>
      <c r="AC300" s="117"/>
      <c r="CH300" s="2"/>
    </row>
    <row r="301" spans="1:86" x14ac:dyDescent="0.3">
      <c r="A301" s="2">
        <v>151</v>
      </c>
      <c r="B301" s="2" t="s">
        <v>0</v>
      </c>
      <c r="C301" s="2" t="s">
        <v>1</v>
      </c>
      <c r="D301" s="2" t="s">
        <v>641</v>
      </c>
      <c r="E301" s="2">
        <v>50</v>
      </c>
      <c r="F301" s="2">
        <v>0.2069</v>
      </c>
      <c r="G301" s="2"/>
      <c r="H301" s="4">
        <f t="shared" si="27"/>
        <v>1</v>
      </c>
      <c r="I301" s="2" t="s">
        <v>98</v>
      </c>
      <c r="J301" s="2" t="s">
        <v>642</v>
      </c>
      <c r="K301" s="2" t="s">
        <v>413</v>
      </c>
      <c r="L301" s="2" t="s">
        <v>76</v>
      </c>
      <c r="M301" s="155"/>
      <c r="N301" s="155"/>
      <c r="O301" s="2">
        <v>6</v>
      </c>
      <c r="P301" s="6">
        <v>55</v>
      </c>
      <c r="Q301" s="131">
        <f t="shared" si="28"/>
        <v>62.836363636363636</v>
      </c>
      <c r="R301" s="33">
        <f t="shared" si="29"/>
        <v>55</v>
      </c>
      <c r="S301" s="132">
        <f t="shared" si="30"/>
        <v>6.875</v>
      </c>
      <c r="T301" s="132">
        <f t="shared" si="31"/>
        <v>6.875</v>
      </c>
      <c r="V301" s="131" t="str">
        <f t="shared" si="32"/>
        <v/>
      </c>
      <c r="W301" s="17"/>
      <c r="X301" s="7"/>
      <c r="Y301" s="161"/>
      <c r="Z301" s="7"/>
      <c r="AA301" s="117"/>
      <c r="AB301" s="117"/>
      <c r="AC301" s="117"/>
      <c r="CH301" s="2"/>
    </row>
    <row r="302" spans="1:86" x14ac:dyDescent="0.3">
      <c r="A302" s="2">
        <v>152</v>
      </c>
      <c r="B302" s="2" t="s">
        <v>0</v>
      </c>
      <c r="C302" s="2" t="s">
        <v>1</v>
      </c>
      <c r="D302" s="2" t="s">
        <v>643</v>
      </c>
      <c r="E302" s="2">
        <v>70</v>
      </c>
      <c r="F302" s="2">
        <v>0.19850000000000001</v>
      </c>
      <c r="G302" s="2"/>
      <c r="H302" s="4">
        <f t="shared" si="27"/>
        <v>1</v>
      </c>
      <c r="I302" s="2" t="s">
        <v>98</v>
      </c>
      <c r="J302" s="2" t="s">
        <v>642</v>
      </c>
      <c r="K302" s="2" t="s">
        <v>413</v>
      </c>
      <c r="L302" s="2" t="s">
        <v>76</v>
      </c>
      <c r="M302" s="155"/>
      <c r="N302" s="155"/>
      <c r="O302" s="2">
        <v>6</v>
      </c>
      <c r="P302" s="6">
        <v>35</v>
      </c>
      <c r="Q302" s="131">
        <f t="shared" si="28"/>
        <v>70.530612244897952</v>
      </c>
      <c r="R302" s="33">
        <f t="shared" si="29"/>
        <v>35</v>
      </c>
      <c r="S302" s="132">
        <f t="shared" si="30"/>
        <v>4.375</v>
      </c>
      <c r="T302" s="132">
        <f t="shared" si="31"/>
        <v>4.375</v>
      </c>
      <c r="V302" s="131" t="str">
        <f t="shared" si="32"/>
        <v/>
      </c>
      <c r="W302" s="17"/>
      <c r="X302" s="7"/>
      <c r="Y302" s="161"/>
      <c r="Z302" s="7"/>
      <c r="AA302" s="117"/>
      <c r="AB302" s="117"/>
      <c r="AC302" s="117"/>
      <c r="CH302" s="2"/>
    </row>
    <row r="303" spans="1:86" x14ac:dyDescent="0.3">
      <c r="A303" s="2">
        <v>155</v>
      </c>
      <c r="B303" s="2" t="s">
        <v>84</v>
      </c>
      <c r="C303" s="2" t="s">
        <v>1</v>
      </c>
      <c r="D303" s="2" t="s">
        <v>644</v>
      </c>
      <c r="E303" s="2">
        <v>100</v>
      </c>
      <c r="F303" s="2">
        <v>2.4799999999999999E-2</v>
      </c>
      <c r="G303" s="2"/>
      <c r="H303" s="4">
        <f t="shared" si="27"/>
        <v>1</v>
      </c>
      <c r="I303" s="2" t="s">
        <v>82</v>
      </c>
      <c r="J303" s="2" t="s">
        <v>645</v>
      </c>
      <c r="K303" s="2" t="s">
        <v>90</v>
      </c>
      <c r="L303" s="2" t="s">
        <v>6</v>
      </c>
      <c r="M303" s="155"/>
      <c r="N303" s="155"/>
      <c r="O303" s="2">
        <v>2</v>
      </c>
      <c r="P303" s="6">
        <v>55</v>
      </c>
      <c r="Q303" s="131">
        <f t="shared" si="28"/>
        <v>10.472727272727273</v>
      </c>
      <c r="R303" s="33">
        <f t="shared" si="29"/>
        <v>55</v>
      </c>
      <c r="S303" s="132">
        <f t="shared" si="30"/>
        <v>6.875</v>
      </c>
      <c r="T303" s="132">
        <f t="shared" si="31"/>
        <v>6.875</v>
      </c>
      <c r="V303" s="131" t="str">
        <f t="shared" si="32"/>
        <v/>
      </c>
      <c r="W303" s="17"/>
      <c r="X303" s="7"/>
      <c r="Y303" s="161"/>
      <c r="Z303" s="7"/>
      <c r="AA303" s="117"/>
      <c r="AB303" s="117"/>
      <c r="AC303" s="117"/>
      <c r="CH303" s="2"/>
    </row>
    <row r="304" spans="1:86" x14ac:dyDescent="0.3">
      <c r="A304" s="2">
        <v>156</v>
      </c>
      <c r="B304" s="2" t="s">
        <v>84</v>
      </c>
      <c r="C304" s="2" t="s">
        <v>1</v>
      </c>
      <c r="D304" s="2" t="s">
        <v>646</v>
      </c>
      <c r="E304" s="2">
        <v>100</v>
      </c>
      <c r="F304" s="2">
        <v>2.3099999999999999E-2</v>
      </c>
      <c r="G304" s="2"/>
      <c r="H304" s="4">
        <f t="shared" si="27"/>
        <v>1</v>
      </c>
      <c r="I304" s="2" t="s">
        <v>82</v>
      </c>
      <c r="J304" s="2" t="s">
        <v>645</v>
      </c>
      <c r="K304" s="2" t="s">
        <v>90</v>
      </c>
      <c r="L304" s="2" t="s">
        <v>6</v>
      </c>
      <c r="M304" s="155"/>
      <c r="N304" s="155"/>
      <c r="O304" s="2">
        <v>2</v>
      </c>
      <c r="P304" s="6">
        <v>55</v>
      </c>
      <c r="Q304" s="131">
        <f t="shared" si="28"/>
        <v>10.472727272727273</v>
      </c>
      <c r="R304" s="33">
        <f t="shared" si="29"/>
        <v>55</v>
      </c>
      <c r="S304" s="132">
        <f t="shared" si="30"/>
        <v>6.875</v>
      </c>
      <c r="T304" s="132">
        <f t="shared" si="31"/>
        <v>6.875</v>
      </c>
      <c r="V304" s="131" t="str">
        <f t="shared" si="32"/>
        <v/>
      </c>
      <c r="W304" s="17"/>
      <c r="X304" s="7"/>
      <c r="Y304" s="161"/>
      <c r="Z304" s="7"/>
      <c r="AA304" s="117"/>
      <c r="AB304" s="117"/>
      <c r="AC304" s="117"/>
      <c r="CH304" s="2"/>
    </row>
    <row r="305" spans="1:88" x14ac:dyDescent="0.3">
      <c r="A305" s="2">
        <v>157</v>
      </c>
      <c r="B305" s="2" t="s">
        <v>84</v>
      </c>
      <c r="C305" s="2" t="s">
        <v>1</v>
      </c>
      <c r="D305" s="2" t="s">
        <v>647</v>
      </c>
      <c r="E305" s="2">
        <v>100</v>
      </c>
      <c r="F305" s="2">
        <v>3.15E-2</v>
      </c>
      <c r="G305" s="2"/>
      <c r="H305" s="4">
        <f t="shared" si="27"/>
        <v>1</v>
      </c>
      <c r="I305" s="2" t="s">
        <v>82</v>
      </c>
      <c r="J305" s="2" t="s">
        <v>645</v>
      </c>
      <c r="K305" s="2" t="s">
        <v>5</v>
      </c>
      <c r="L305" s="2" t="s">
        <v>6</v>
      </c>
      <c r="M305" s="155"/>
      <c r="N305" s="155"/>
      <c r="O305" s="2">
        <v>2</v>
      </c>
      <c r="P305" s="6">
        <v>55</v>
      </c>
      <c r="Q305" s="131">
        <f t="shared" si="28"/>
        <v>10.472727272727273</v>
      </c>
      <c r="R305" s="33">
        <f t="shared" si="29"/>
        <v>55</v>
      </c>
      <c r="S305" s="132">
        <f t="shared" si="30"/>
        <v>6.875</v>
      </c>
      <c r="T305" s="132">
        <f t="shared" si="31"/>
        <v>6.875</v>
      </c>
      <c r="V305" s="131" t="str">
        <f t="shared" si="32"/>
        <v/>
      </c>
      <c r="W305" s="17"/>
      <c r="X305" s="7"/>
      <c r="Y305" s="161"/>
      <c r="Z305" s="7"/>
      <c r="AA305" s="117"/>
      <c r="AB305" s="117"/>
      <c r="AC305" s="117"/>
      <c r="CH305" s="2"/>
    </row>
    <row r="306" spans="1:88" x14ac:dyDescent="0.3">
      <c r="A306" s="2">
        <v>158</v>
      </c>
      <c r="B306" s="2" t="s">
        <v>0</v>
      </c>
      <c r="C306" s="2" t="s">
        <v>1</v>
      </c>
      <c r="D306" s="2" t="s">
        <v>648</v>
      </c>
      <c r="E306" s="2">
        <v>100</v>
      </c>
      <c r="F306" s="2">
        <v>4.6199999999999998E-2</v>
      </c>
      <c r="G306" s="2">
        <v>3.61E-2</v>
      </c>
      <c r="H306" s="4">
        <f t="shared" si="27"/>
        <v>0.21861471861471857</v>
      </c>
      <c r="I306" s="2" t="s">
        <v>82</v>
      </c>
      <c r="J306" s="2" t="s">
        <v>598</v>
      </c>
      <c r="K306" s="2" t="s">
        <v>90</v>
      </c>
      <c r="L306" s="2" t="s">
        <v>6</v>
      </c>
      <c r="M306" s="155"/>
      <c r="N306" s="155"/>
      <c r="O306" s="2">
        <v>3</v>
      </c>
      <c r="P306" s="6">
        <v>30</v>
      </c>
      <c r="Q306" s="131">
        <f t="shared" si="28"/>
        <v>28.8</v>
      </c>
      <c r="R306" s="33">
        <f t="shared" si="29"/>
        <v>30</v>
      </c>
      <c r="S306" s="132">
        <f t="shared" si="30"/>
        <v>3.75</v>
      </c>
      <c r="T306" s="132">
        <f t="shared" si="31"/>
        <v>3.75</v>
      </c>
      <c r="V306" s="131" t="str">
        <f t="shared" si="32"/>
        <v/>
      </c>
      <c r="W306" s="17"/>
      <c r="X306" s="7"/>
      <c r="Y306" s="161"/>
      <c r="Z306" s="7"/>
      <c r="AA306" s="117"/>
      <c r="AB306" s="117"/>
      <c r="AC306" s="117"/>
      <c r="CH306" s="2"/>
    </row>
    <row r="307" spans="1:88" x14ac:dyDescent="0.3">
      <c r="A307" s="2">
        <v>172</v>
      </c>
      <c r="B307" s="2" t="s">
        <v>0</v>
      </c>
      <c r="C307" s="2" t="s">
        <v>1</v>
      </c>
      <c r="D307" s="2" t="s">
        <v>649</v>
      </c>
      <c r="E307" s="2">
        <v>700</v>
      </c>
      <c r="F307" s="2">
        <v>2.5999999999999999E-2</v>
      </c>
      <c r="G307" s="2">
        <v>1.8800000000000001E-2</v>
      </c>
      <c r="H307" s="4">
        <f t="shared" si="27"/>
        <v>0.27692307692307688</v>
      </c>
      <c r="I307" s="2" t="s">
        <v>73</v>
      </c>
      <c r="J307" s="2" t="s">
        <v>650</v>
      </c>
      <c r="K307" s="2" t="s">
        <v>105</v>
      </c>
      <c r="L307" s="2" t="s">
        <v>76</v>
      </c>
      <c r="M307" s="155"/>
      <c r="N307" s="155"/>
      <c r="O307" s="2">
        <v>24</v>
      </c>
      <c r="P307" s="6">
        <v>14</v>
      </c>
      <c r="Q307" s="131">
        <f t="shared" si="28"/>
        <v>70.530612244897966</v>
      </c>
      <c r="R307" s="33">
        <f t="shared" si="29"/>
        <v>13.999999999999998</v>
      </c>
      <c r="S307" s="132">
        <f t="shared" si="30"/>
        <v>1.7499999999999998</v>
      </c>
      <c r="T307" s="132">
        <f t="shared" si="31"/>
        <v>1.7499999999999998</v>
      </c>
      <c r="V307" s="131" t="str">
        <f t="shared" si="32"/>
        <v/>
      </c>
      <c r="W307" s="17"/>
      <c r="X307" s="7"/>
      <c r="Y307" s="161"/>
      <c r="Z307" s="7"/>
      <c r="AA307" s="117"/>
      <c r="AB307" s="117"/>
      <c r="AC307" s="117"/>
      <c r="CH307" s="2"/>
    </row>
    <row r="308" spans="1:88" x14ac:dyDescent="0.3">
      <c r="A308" s="2">
        <v>178</v>
      </c>
      <c r="B308" s="2" t="s">
        <v>0</v>
      </c>
      <c r="C308" s="2" t="s">
        <v>1</v>
      </c>
      <c r="D308" s="2" t="s">
        <v>651</v>
      </c>
      <c r="E308" s="2">
        <v>400</v>
      </c>
      <c r="F308" s="2">
        <v>3.7900000000000003E-2</v>
      </c>
      <c r="G308" s="2">
        <v>2.9000000000000001E-2</v>
      </c>
      <c r="H308" s="4">
        <f t="shared" si="27"/>
        <v>0.23482849604221639</v>
      </c>
      <c r="I308" s="2" t="s">
        <v>73</v>
      </c>
      <c r="J308" s="2" t="s">
        <v>652</v>
      </c>
      <c r="K308" s="2" t="s">
        <v>105</v>
      </c>
      <c r="L308" s="2" t="s">
        <v>76</v>
      </c>
      <c r="M308" s="155"/>
      <c r="N308" s="155"/>
      <c r="O308" s="2">
        <v>12</v>
      </c>
      <c r="P308" s="6">
        <v>23</v>
      </c>
      <c r="Q308" s="131">
        <f t="shared" si="28"/>
        <v>37.565217391304351</v>
      </c>
      <c r="R308" s="33">
        <f t="shared" si="29"/>
        <v>22.999999999999996</v>
      </c>
      <c r="S308" s="132">
        <f t="shared" si="30"/>
        <v>2.8749999999999996</v>
      </c>
      <c r="T308" s="132">
        <f t="shared" si="31"/>
        <v>2.8749999999999996</v>
      </c>
      <c r="V308" s="131" t="str">
        <f t="shared" si="32"/>
        <v/>
      </c>
      <c r="W308" s="17"/>
      <c r="X308" s="7"/>
      <c r="Y308" s="161"/>
      <c r="Z308" s="7"/>
      <c r="AA308" s="117"/>
      <c r="AB308" s="117"/>
      <c r="AC308" s="117"/>
      <c r="CH308" s="2"/>
    </row>
    <row r="309" spans="1:88" x14ac:dyDescent="0.3">
      <c r="A309" s="23">
        <v>179</v>
      </c>
      <c r="B309" s="2" t="s">
        <v>0</v>
      </c>
      <c r="C309" s="2" t="s">
        <v>1</v>
      </c>
      <c r="D309" s="2" t="s">
        <v>653</v>
      </c>
      <c r="E309" s="2">
        <v>360</v>
      </c>
      <c r="F309" s="2">
        <v>4.2099999999999999E-2</v>
      </c>
      <c r="G309" s="2">
        <v>3.1800000000000002E-2</v>
      </c>
      <c r="H309" s="4">
        <f t="shared" si="27"/>
        <v>0.24465558194774339</v>
      </c>
      <c r="I309" s="2" t="s">
        <v>73</v>
      </c>
      <c r="J309" s="2" t="s">
        <v>654</v>
      </c>
      <c r="K309" s="2" t="s">
        <v>105</v>
      </c>
      <c r="L309" s="2" t="s">
        <v>76</v>
      </c>
      <c r="M309" s="155"/>
      <c r="N309" s="155"/>
      <c r="O309" s="2">
        <v>12</v>
      </c>
      <c r="P309" s="6">
        <v>26</v>
      </c>
      <c r="Q309" s="131">
        <f t="shared" si="28"/>
        <v>36.92307692307692</v>
      </c>
      <c r="R309" s="33">
        <f t="shared" si="29"/>
        <v>26.000000000000004</v>
      </c>
      <c r="S309" s="132">
        <f t="shared" si="30"/>
        <v>3.2500000000000004</v>
      </c>
      <c r="T309" s="132">
        <f t="shared" si="31"/>
        <v>3.2500000000000004</v>
      </c>
      <c r="V309" s="131">
        <f t="shared" si="32"/>
        <v>24.365482233502537</v>
      </c>
      <c r="W309" s="17">
        <v>39.4</v>
      </c>
      <c r="X309" s="8">
        <f>60*60*8/W309</f>
        <v>730.96446700507613</v>
      </c>
      <c r="Y309" s="161">
        <v>45420</v>
      </c>
      <c r="Z309" s="7" t="s">
        <v>7</v>
      </c>
      <c r="AA309" s="117"/>
      <c r="AB309" s="117"/>
      <c r="AC309" s="117"/>
      <c r="CH309" s="2"/>
    </row>
    <row r="310" spans="1:88" x14ac:dyDescent="0.3">
      <c r="A310" s="2">
        <v>180</v>
      </c>
      <c r="B310" s="2" t="s">
        <v>0</v>
      </c>
      <c r="C310" s="2" t="s">
        <v>1</v>
      </c>
      <c r="D310" s="2" t="s">
        <v>655</v>
      </c>
      <c r="E310" s="2">
        <v>700</v>
      </c>
      <c r="F310" s="2">
        <v>2.3599999999999999E-2</v>
      </c>
      <c r="G310" s="2">
        <v>1.7999999999999999E-2</v>
      </c>
      <c r="H310" s="4">
        <f t="shared" si="27"/>
        <v>0.23728813559322037</v>
      </c>
      <c r="I310" s="2" t="s">
        <v>73</v>
      </c>
      <c r="J310" s="2" t="s">
        <v>656</v>
      </c>
      <c r="K310" s="2" t="s">
        <v>105</v>
      </c>
      <c r="L310" s="2" t="s">
        <v>76</v>
      </c>
      <c r="M310" s="155"/>
      <c r="N310" s="155"/>
      <c r="O310" s="2">
        <v>24</v>
      </c>
      <c r="P310" s="6">
        <v>14</v>
      </c>
      <c r="Q310" s="131">
        <f t="shared" si="28"/>
        <v>70.530612244897966</v>
      </c>
      <c r="R310" s="33">
        <f t="shared" si="29"/>
        <v>13.999999999999998</v>
      </c>
      <c r="S310" s="132">
        <f t="shared" si="30"/>
        <v>1.7499999999999998</v>
      </c>
      <c r="T310" s="132">
        <f t="shared" si="31"/>
        <v>1.7499999999999998</v>
      </c>
      <c r="V310" s="131" t="str">
        <f t="shared" si="32"/>
        <v/>
      </c>
      <c r="W310" s="17"/>
      <c r="X310" s="7"/>
      <c r="Y310" s="161"/>
      <c r="Z310" s="7"/>
      <c r="AA310" s="117"/>
      <c r="AB310" s="117"/>
      <c r="AC310" s="117"/>
      <c r="CH310" s="2"/>
    </row>
    <row r="311" spans="1:88" x14ac:dyDescent="0.3">
      <c r="A311" s="2">
        <v>193</v>
      </c>
      <c r="B311" s="2" t="s">
        <v>0</v>
      </c>
      <c r="C311" s="2" t="s">
        <v>1</v>
      </c>
      <c r="D311" s="2" t="s">
        <v>657</v>
      </c>
      <c r="E311" s="2">
        <v>1500</v>
      </c>
      <c r="F311" s="2">
        <v>1.18E-2</v>
      </c>
      <c r="G311" s="2">
        <v>9.7999999999999997E-3</v>
      </c>
      <c r="H311" s="4">
        <f t="shared" si="27"/>
        <v>0.16949152542372883</v>
      </c>
      <c r="I311" s="2" t="s">
        <v>82</v>
      </c>
      <c r="J311" s="2" t="s">
        <v>658</v>
      </c>
      <c r="K311" s="2" t="s">
        <v>105</v>
      </c>
      <c r="L311" s="2" t="s">
        <v>76</v>
      </c>
      <c r="M311" s="155"/>
      <c r="N311" s="155"/>
      <c r="O311" s="2">
        <v>16</v>
      </c>
      <c r="P311" s="6">
        <v>6</v>
      </c>
      <c r="Q311" s="131">
        <f t="shared" si="28"/>
        <v>51.199999999999996</v>
      </c>
      <c r="R311" s="33">
        <f t="shared" si="29"/>
        <v>6</v>
      </c>
      <c r="S311" s="132">
        <f t="shared" si="30"/>
        <v>0.75</v>
      </c>
      <c r="T311" s="132">
        <f t="shared" si="31"/>
        <v>0.75</v>
      </c>
      <c r="V311" s="131" t="str">
        <f t="shared" si="32"/>
        <v/>
      </c>
      <c r="W311" s="17"/>
      <c r="X311" s="7"/>
      <c r="Y311" s="161"/>
      <c r="Z311" s="7"/>
      <c r="AA311" s="117"/>
      <c r="AB311" s="117"/>
      <c r="AC311" s="117"/>
      <c r="CH311" s="2"/>
    </row>
    <row r="312" spans="1:88" x14ac:dyDescent="0.3">
      <c r="A312" s="2">
        <v>202</v>
      </c>
      <c r="B312" s="2" t="s">
        <v>0</v>
      </c>
      <c r="C312" s="2" t="s">
        <v>1</v>
      </c>
      <c r="D312" s="2" t="s">
        <v>659</v>
      </c>
      <c r="E312" s="2">
        <v>800</v>
      </c>
      <c r="F312" s="2">
        <v>1.6500000000000001E-2</v>
      </c>
      <c r="G312" s="2">
        <v>1.4E-2</v>
      </c>
      <c r="H312" s="4">
        <f t="shared" si="27"/>
        <v>0.15151515151515155</v>
      </c>
      <c r="I312" s="2" t="s">
        <v>98</v>
      </c>
      <c r="J312" s="2" t="s">
        <v>504</v>
      </c>
      <c r="K312" s="2" t="s">
        <v>305</v>
      </c>
      <c r="L312" s="2" t="s">
        <v>96</v>
      </c>
      <c r="M312" s="155"/>
      <c r="N312" s="155"/>
      <c r="O312" s="2">
        <v>18</v>
      </c>
      <c r="P312" s="6">
        <v>28</v>
      </c>
      <c r="Q312" s="131">
        <f t="shared" si="28"/>
        <v>23.142857142857142</v>
      </c>
      <c r="R312" s="33">
        <f t="shared" si="29"/>
        <v>28</v>
      </c>
      <c r="S312" s="132">
        <f t="shared" si="30"/>
        <v>3.5</v>
      </c>
      <c r="T312" s="132">
        <f t="shared" si="31"/>
        <v>3.5</v>
      </c>
      <c r="V312" s="131" t="str">
        <f t="shared" si="32"/>
        <v/>
      </c>
      <c r="W312" s="17"/>
      <c r="X312" s="7"/>
      <c r="Y312" s="161"/>
      <c r="Z312" s="7"/>
      <c r="AA312" s="117"/>
      <c r="AB312" s="117"/>
      <c r="AC312" s="117"/>
      <c r="CH312" s="2"/>
    </row>
    <row r="313" spans="1:88" x14ac:dyDescent="0.3">
      <c r="A313" s="2">
        <v>203</v>
      </c>
      <c r="B313" s="2" t="s">
        <v>0</v>
      </c>
      <c r="C313" s="2" t="s">
        <v>1</v>
      </c>
      <c r="D313" s="2" t="s">
        <v>660</v>
      </c>
      <c r="E313" s="2">
        <v>400</v>
      </c>
      <c r="F313" s="2">
        <v>2.5600000000000001E-2</v>
      </c>
      <c r="G313" s="2">
        <v>2.0500000000000001E-2</v>
      </c>
      <c r="H313" s="4">
        <f t="shared" si="27"/>
        <v>0.19921875</v>
      </c>
      <c r="I313" s="2" t="s">
        <v>98</v>
      </c>
      <c r="J313" s="2" t="s">
        <v>99</v>
      </c>
      <c r="K313" s="2" t="s">
        <v>5</v>
      </c>
      <c r="L313" s="2" t="s">
        <v>6</v>
      </c>
      <c r="M313" s="155"/>
      <c r="N313" s="155"/>
      <c r="O313" s="2">
        <v>10</v>
      </c>
      <c r="P313" s="6">
        <v>44</v>
      </c>
      <c r="Q313" s="131">
        <f t="shared" si="28"/>
        <v>16.363636363636363</v>
      </c>
      <c r="R313" s="33">
        <f t="shared" si="29"/>
        <v>44</v>
      </c>
      <c r="S313" s="132">
        <f t="shared" si="30"/>
        <v>5.5</v>
      </c>
      <c r="T313" s="132">
        <f t="shared" si="31"/>
        <v>5.5</v>
      </c>
      <c r="V313" s="131" t="str">
        <f t="shared" si="32"/>
        <v/>
      </c>
      <c r="W313" s="17"/>
      <c r="X313" s="7"/>
      <c r="Y313" s="161"/>
      <c r="Z313" s="7"/>
      <c r="AA313" s="117"/>
      <c r="AB313" s="117"/>
      <c r="AC313" s="117"/>
      <c r="CH313" s="2"/>
    </row>
    <row r="314" spans="1:88" x14ac:dyDescent="0.3">
      <c r="A314" s="2">
        <v>204</v>
      </c>
      <c r="B314" s="23" t="s">
        <v>0</v>
      </c>
      <c r="C314" s="2" t="s">
        <v>1</v>
      </c>
      <c r="D314" s="2" t="s">
        <v>661</v>
      </c>
      <c r="E314" s="2">
        <v>540</v>
      </c>
      <c r="F314" s="2">
        <v>2.98E-2</v>
      </c>
      <c r="G314" s="2">
        <v>1.9699999999999999E-2</v>
      </c>
      <c r="H314" s="4">
        <f t="shared" si="27"/>
        <v>0.33892617449664436</v>
      </c>
      <c r="I314" s="2" t="s">
        <v>98</v>
      </c>
      <c r="J314" s="2" t="s">
        <v>662</v>
      </c>
      <c r="K314" s="2" t="s">
        <v>261</v>
      </c>
      <c r="L314" s="2" t="s">
        <v>76</v>
      </c>
      <c r="M314" s="155"/>
      <c r="N314" s="155"/>
      <c r="O314" s="2">
        <v>12</v>
      </c>
      <c r="P314" s="6">
        <v>25</v>
      </c>
      <c r="Q314" s="131">
        <f t="shared" si="28"/>
        <v>25.6</v>
      </c>
      <c r="R314" s="33">
        <f t="shared" si="29"/>
        <v>25</v>
      </c>
      <c r="S314" s="132">
        <f t="shared" si="30"/>
        <v>3.125</v>
      </c>
      <c r="T314" s="132">
        <f t="shared" si="31"/>
        <v>3.125</v>
      </c>
      <c r="V314" s="131">
        <f t="shared" si="32"/>
        <v>17.39130434782609</v>
      </c>
      <c r="W314" s="17">
        <v>36.799999999999997</v>
      </c>
      <c r="X314" s="8">
        <f>60*60*8/W314</f>
        <v>782.60869565217399</v>
      </c>
      <c r="Y314" s="161">
        <v>45575</v>
      </c>
      <c r="Z314" s="7" t="s">
        <v>7</v>
      </c>
      <c r="AA314" s="117"/>
      <c r="AB314" s="117"/>
      <c r="AC314" s="117"/>
      <c r="AD314" s="24">
        <v>45579</v>
      </c>
      <c r="AE314">
        <v>3</v>
      </c>
      <c r="AF314">
        <v>6.5</v>
      </c>
      <c r="AH314">
        <v>3</v>
      </c>
      <c r="AI314">
        <v>0.6</v>
      </c>
      <c r="AJ314">
        <v>0.6</v>
      </c>
      <c r="AK314">
        <v>11</v>
      </c>
      <c r="AL314">
        <v>10.5</v>
      </c>
      <c r="AN314">
        <v>10</v>
      </c>
      <c r="AP314">
        <v>0.2</v>
      </c>
      <c r="AS314">
        <v>36.799999999999997</v>
      </c>
      <c r="AT314">
        <v>6</v>
      </c>
      <c r="AU314">
        <v>16</v>
      </c>
      <c r="AV314">
        <v>103</v>
      </c>
      <c r="AW314">
        <v>115</v>
      </c>
      <c r="AX314">
        <v>20</v>
      </c>
      <c r="AY314">
        <v>52</v>
      </c>
      <c r="AZ314">
        <v>94</v>
      </c>
      <c r="BA314">
        <v>105</v>
      </c>
      <c r="BB314">
        <v>420</v>
      </c>
      <c r="CH314" s="2"/>
    </row>
    <row r="315" spans="1:88" x14ac:dyDescent="0.3">
      <c r="A315" s="2">
        <v>207</v>
      </c>
      <c r="B315" s="2" t="s">
        <v>0</v>
      </c>
      <c r="C315" s="2" t="s">
        <v>1</v>
      </c>
      <c r="D315" s="2" t="s">
        <v>663</v>
      </c>
      <c r="E315" s="2">
        <v>800</v>
      </c>
      <c r="F315" s="2">
        <v>1.6500000000000001E-2</v>
      </c>
      <c r="G315" s="2">
        <v>1.4E-2</v>
      </c>
      <c r="H315" s="4">
        <f t="shared" ref="H315:H378" si="33">(F315-G315)/F315</f>
        <v>0.15151515151515155</v>
      </c>
      <c r="I315" s="2" t="s">
        <v>98</v>
      </c>
      <c r="J315" s="2" t="s">
        <v>664</v>
      </c>
      <c r="K315" s="2" t="s">
        <v>305</v>
      </c>
      <c r="L315" s="2" t="s">
        <v>96</v>
      </c>
      <c r="M315" s="155"/>
      <c r="N315" s="155"/>
      <c r="O315" s="2">
        <v>18</v>
      </c>
      <c r="P315" s="6">
        <v>28</v>
      </c>
      <c r="Q315" s="131">
        <f t="shared" ref="Q315:Q378" si="34">IFERROR(60*60*8*O315/E315/P315,"")</f>
        <v>23.142857142857142</v>
      </c>
      <c r="R315" s="33">
        <f t="shared" ref="R315:R378" si="35">IFERROR(60*60*8*O315/E315/Q315,"")</f>
        <v>28</v>
      </c>
      <c r="S315" s="132">
        <f t="shared" ref="S315:S378" si="36">IFERROR(R315/8,"")</f>
        <v>3.5</v>
      </c>
      <c r="T315" s="132">
        <f t="shared" ref="T315:T378" si="37">IFERROR(IF(R315&gt;2,S315,""),"")</f>
        <v>3.5</v>
      </c>
      <c r="V315" s="131" t="str">
        <f t="shared" ref="V315:V378" si="38">IF(X315&gt;10,X315*O315/E315,"")</f>
        <v/>
      </c>
      <c r="W315" s="17"/>
      <c r="X315" s="7"/>
      <c r="Y315" s="161"/>
      <c r="Z315" s="7"/>
      <c r="AA315" s="117"/>
      <c r="AB315" s="117"/>
      <c r="AC315" s="117"/>
      <c r="CH315" s="2"/>
      <c r="CI315">
        <v>800</v>
      </c>
      <c r="CJ315">
        <v>28</v>
      </c>
    </row>
    <row r="316" spans="1:88" x14ac:dyDescent="0.3">
      <c r="A316" s="2">
        <v>208</v>
      </c>
      <c r="B316" s="2" t="s">
        <v>0</v>
      </c>
      <c r="C316" s="2" t="s">
        <v>1</v>
      </c>
      <c r="D316" s="2" t="s">
        <v>665</v>
      </c>
      <c r="E316" s="2">
        <v>450</v>
      </c>
      <c r="F316" s="2">
        <v>3.9199999999999999E-2</v>
      </c>
      <c r="G316" s="2">
        <v>2.9700000000000001E-2</v>
      </c>
      <c r="H316" s="4">
        <f t="shared" si="33"/>
        <v>0.24234693877551017</v>
      </c>
      <c r="I316" s="2" t="s">
        <v>73</v>
      </c>
      <c r="J316" s="2" t="s">
        <v>666</v>
      </c>
      <c r="K316" s="2" t="s">
        <v>105</v>
      </c>
      <c r="L316" s="2" t="s">
        <v>76</v>
      </c>
      <c r="M316" s="155"/>
      <c r="N316" s="155"/>
      <c r="O316" s="2">
        <v>12</v>
      </c>
      <c r="P316" s="6">
        <v>20</v>
      </c>
      <c r="Q316" s="131">
        <f t="shared" si="34"/>
        <v>38.4</v>
      </c>
      <c r="R316" s="33">
        <f t="shared" si="35"/>
        <v>20</v>
      </c>
      <c r="S316" s="132">
        <f t="shared" si="36"/>
        <v>2.5</v>
      </c>
      <c r="T316" s="132">
        <f t="shared" si="37"/>
        <v>2.5</v>
      </c>
      <c r="V316" s="131" t="str">
        <f t="shared" si="38"/>
        <v/>
      </c>
      <c r="W316" s="17"/>
      <c r="X316" s="7"/>
      <c r="Y316" s="161"/>
      <c r="Z316" s="7"/>
      <c r="AA316" s="117"/>
      <c r="AB316" s="117"/>
      <c r="AC316" s="117"/>
      <c r="CH316" s="2"/>
    </row>
    <row r="317" spans="1:88" x14ac:dyDescent="0.3">
      <c r="A317" s="2">
        <v>209</v>
      </c>
      <c r="B317" s="2" t="s">
        <v>0</v>
      </c>
      <c r="C317" s="2" t="s">
        <v>1</v>
      </c>
      <c r="D317" s="2" t="s">
        <v>667</v>
      </c>
      <c r="E317" s="2">
        <v>400</v>
      </c>
      <c r="F317" s="2">
        <v>4.2700000000000002E-2</v>
      </c>
      <c r="G317" s="2">
        <v>3.2300000000000002E-2</v>
      </c>
      <c r="H317" s="4">
        <f t="shared" si="33"/>
        <v>0.243559718969555</v>
      </c>
      <c r="I317" s="2" t="s">
        <v>73</v>
      </c>
      <c r="J317" s="2" t="s">
        <v>668</v>
      </c>
      <c r="K317" s="2" t="s">
        <v>105</v>
      </c>
      <c r="L317" s="2" t="s">
        <v>76</v>
      </c>
      <c r="M317" s="155"/>
      <c r="N317" s="155"/>
      <c r="O317" s="2">
        <v>12</v>
      </c>
      <c r="P317" s="6">
        <v>22</v>
      </c>
      <c r="Q317" s="131">
        <f t="shared" si="34"/>
        <v>39.272727272727273</v>
      </c>
      <c r="R317" s="33">
        <f t="shared" si="35"/>
        <v>22</v>
      </c>
      <c r="S317" s="132">
        <f t="shared" si="36"/>
        <v>2.75</v>
      </c>
      <c r="T317" s="132">
        <f t="shared" si="37"/>
        <v>2.75</v>
      </c>
      <c r="V317" s="131" t="str">
        <f t="shared" si="38"/>
        <v/>
      </c>
      <c r="W317" s="17"/>
      <c r="X317" s="7"/>
      <c r="Y317" s="161"/>
      <c r="Z317" s="7"/>
      <c r="AA317" s="117"/>
      <c r="AB317" s="117"/>
      <c r="AC317" s="117"/>
      <c r="CH317" s="2"/>
    </row>
    <row r="318" spans="1:88" x14ac:dyDescent="0.3">
      <c r="A318" s="2">
        <v>210</v>
      </c>
      <c r="B318" s="23" t="s">
        <v>0</v>
      </c>
      <c r="C318" s="2" t="s">
        <v>1</v>
      </c>
      <c r="D318" s="2" t="s">
        <v>669</v>
      </c>
      <c r="E318" s="2">
        <v>400</v>
      </c>
      <c r="F318" s="2">
        <v>2.5600000000000001E-2</v>
      </c>
      <c r="G318" s="2">
        <v>2.0500000000000001E-2</v>
      </c>
      <c r="H318" s="4">
        <f t="shared" si="33"/>
        <v>0.19921875</v>
      </c>
      <c r="I318" s="2" t="s">
        <v>98</v>
      </c>
      <c r="J318" s="2" t="s">
        <v>670</v>
      </c>
      <c r="K318" s="2" t="s">
        <v>5</v>
      </c>
      <c r="L318" s="2" t="s">
        <v>6</v>
      </c>
      <c r="M318" s="155"/>
      <c r="N318" s="155"/>
      <c r="O318" s="2">
        <v>10</v>
      </c>
      <c r="P318" s="6">
        <v>44</v>
      </c>
      <c r="Q318" s="131">
        <f t="shared" si="34"/>
        <v>16.363636363636363</v>
      </c>
      <c r="R318" s="33">
        <v>44</v>
      </c>
      <c r="S318" s="132">
        <f t="shared" si="36"/>
        <v>5.5</v>
      </c>
      <c r="T318" s="132">
        <f t="shared" si="37"/>
        <v>5.5</v>
      </c>
      <c r="V318" s="131" t="str">
        <f t="shared" si="38"/>
        <v/>
      </c>
      <c r="W318" s="17"/>
      <c r="X318" s="7"/>
      <c r="Y318" s="161"/>
      <c r="Z318" s="7"/>
      <c r="AA318" s="117"/>
      <c r="AB318" s="117"/>
      <c r="AC318" s="117"/>
      <c r="CH318" s="2"/>
      <c r="CI318">
        <v>400</v>
      </c>
      <c r="CJ318">
        <v>44</v>
      </c>
    </row>
    <row r="319" spans="1:88" x14ac:dyDescent="0.3">
      <c r="A319" s="23">
        <v>211</v>
      </c>
      <c r="B319" s="2" t="s">
        <v>0</v>
      </c>
      <c r="C319" s="2" t="s">
        <v>1</v>
      </c>
      <c r="D319" s="2" t="s">
        <v>671</v>
      </c>
      <c r="E319" s="2">
        <v>3300</v>
      </c>
      <c r="F319" s="2">
        <v>3.5000000000000001E-3</v>
      </c>
      <c r="G319" s="2">
        <v>2.7000000000000001E-3</v>
      </c>
      <c r="H319" s="4">
        <f t="shared" si="33"/>
        <v>0.22857142857142854</v>
      </c>
      <c r="I319" s="2" t="s">
        <v>98</v>
      </c>
      <c r="J319" s="2" t="s">
        <v>672</v>
      </c>
      <c r="K319" s="2" t="s">
        <v>163</v>
      </c>
      <c r="L319" s="2" t="s">
        <v>6</v>
      </c>
      <c r="M319" s="155"/>
      <c r="N319" s="155"/>
      <c r="O319" s="2">
        <v>60</v>
      </c>
      <c r="P319" s="6">
        <v>12</v>
      </c>
      <c r="Q319" s="131">
        <f t="shared" si="34"/>
        <v>43.636363636363633</v>
      </c>
      <c r="R319" s="33">
        <f t="shared" si="35"/>
        <v>12</v>
      </c>
      <c r="S319" s="132">
        <f t="shared" si="36"/>
        <v>1.5</v>
      </c>
      <c r="T319" s="132">
        <f t="shared" si="37"/>
        <v>1.5</v>
      </c>
      <c r="V319" s="131">
        <f t="shared" si="38"/>
        <v>18.181818181818183</v>
      </c>
      <c r="W319" s="17">
        <v>28.8</v>
      </c>
      <c r="X319" s="8">
        <f>60*60*8/W319</f>
        <v>1000</v>
      </c>
      <c r="Y319" s="161">
        <v>45527</v>
      </c>
      <c r="Z319" s="7" t="s">
        <v>7</v>
      </c>
      <c r="AA319" s="117"/>
      <c r="AB319" s="117"/>
      <c r="AC319" s="117"/>
      <c r="CH319" s="2"/>
    </row>
    <row r="320" spans="1:88" x14ac:dyDescent="0.3">
      <c r="A320" s="2">
        <v>213</v>
      </c>
      <c r="B320" s="2" t="s">
        <v>0</v>
      </c>
      <c r="C320" s="2" t="s">
        <v>1</v>
      </c>
      <c r="D320" s="2" t="s">
        <v>673</v>
      </c>
      <c r="E320" s="2">
        <v>250</v>
      </c>
      <c r="F320" s="2">
        <v>5.5399999999999998E-2</v>
      </c>
      <c r="G320" s="2">
        <v>3.5999999999999997E-2</v>
      </c>
      <c r="H320" s="4">
        <f t="shared" si="33"/>
        <v>0.35018050541516249</v>
      </c>
      <c r="I320" s="2" t="s">
        <v>98</v>
      </c>
      <c r="J320" s="2" t="s">
        <v>596</v>
      </c>
      <c r="K320" s="2" t="s">
        <v>105</v>
      </c>
      <c r="L320" s="2" t="s">
        <v>76</v>
      </c>
      <c r="M320" s="155"/>
      <c r="N320" s="155"/>
      <c r="O320" s="2">
        <v>8</v>
      </c>
      <c r="P320" s="6">
        <v>20</v>
      </c>
      <c r="Q320" s="131">
        <f t="shared" si="34"/>
        <v>46.08</v>
      </c>
      <c r="R320" s="33">
        <f t="shared" si="35"/>
        <v>20</v>
      </c>
      <c r="S320" s="132">
        <f t="shared" si="36"/>
        <v>2.5</v>
      </c>
      <c r="T320" s="132">
        <f t="shared" si="37"/>
        <v>2.5</v>
      </c>
      <c r="V320" s="131" t="str">
        <f t="shared" si="38"/>
        <v/>
      </c>
      <c r="W320" s="17"/>
      <c r="X320" s="7"/>
      <c r="Y320" s="161"/>
      <c r="Z320" s="7"/>
      <c r="AA320" s="117"/>
      <c r="AB320" s="117"/>
      <c r="AC320" s="117"/>
      <c r="CH320" s="2"/>
    </row>
    <row r="321" spans="1:88" x14ac:dyDescent="0.3">
      <c r="A321" s="2">
        <v>214</v>
      </c>
      <c r="B321" s="2" t="s">
        <v>0</v>
      </c>
      <c r="C321" s="2" t="s">
        <v>1</v>
      </c>
      <c r="D321" s="2" t="s">
        <v>674</v>
      </c>
      <c r="E321" s="2">
        <v>1000</v>
      </c>
      <c r="F321" s="2">
        <v>1.2800000000000001E-2</v>
      </c>
      <c r="G321" s="2">
        <v>1.01E-2</v>
      </c>
      <c r="H321" s="4">
        <f t="shared" si="33"/>
        <v>0.21093750000000006</v>
      </c>
      <c r="I321" s="2" t="s">
        <v>98</v>
      </c>
      <c r="J321" s="2" t="s">
        <v>675</v>
      </c>
      <c r="K321" s="2" t="s">
        <v>105</v>
      </c>
      <c r="L321" s="2" t="s">
        <v>76</v>
      </c>
      <c r="M321" s="155"/>
      <c r="N321" s="155"/>
      <c r="O321" s="2">
        <v>20</v>
      </c>
      <c r="P321" s="6">
        <v>20</v>
      </c>
      <c r="Q321" s="131">
        <f t="shared" si="34"/>
        <v>28.8</v>
      </c>
      <c r="R321" s="33">
        <f t="shared" si="35"/>
        <v>20</v>
      </c>
      <c r="S321" s="132">
        <f t="shared" si="36"/>
        <v>2.5</v>
      </c>
      <c r="T321" s="132">
        <f t="shared" si="37"/>
        <v>2.5</v>
      </c>
      <c r="V321" s="131" t="str">
        <f t="shared" si="38"/>
        <v/>
      </c>
      <c r="W321" s="17"/>
      <c r="X321" s="7"/>
      <c r="Y321" s="161"/>
      <c r="Z321" s="7"/>
      <c r="AA321" s="117"/>
      <c r="AB321" s="117"/>
      <c r="AC321" s="117"/>
      <c r="CH321" s="2"/>
    </row>
    <row r="322" spans="1:88" x14ac:dyDescent="0.3">
      <c r="A322" s="2">
        <v>216</v>
      </c>
      <c r="B322" s="2" t="s">
        <v>0</v>
      </c>
      <c r="C322" s="2" t="s">
        <v>1</v>
      </c>
      <c r="D322" s="2" t="s">
        <v>676</v>
      </c>
      <c r="E322" s="2">
        <v>1000</v>
      </c>
      <c r="F322" s="2">
        <v>1.2800000000000001E-2</v>
      </c>
      <c r="G322" s="2">
        <v>1.01E-2</v>
      </c>
      <c r="H322" s="4">
        <f t="shared" si="33"/>
        <v>0.21093750000000006</v>
      </c>
      <c r="I322" s="2" t="s">
        <v>98</v>
      </c>
      <c r="J322" s="2" t="s">
        <v>675</v>
      </c>
      <c r="K322" s="2" t="s">
        <v>105</v>
      </c>
      <c r="L322" s="2" t="s">
        <v>76</v>
      </c>
      <c r="M322" s="155"/>
      <c r="N322" s="155"/>
      <c r="O322" s="2">
        <v>20</v>
      </c>
      <c r="P322" s="6">
        <v>18</v>
      </c>
      <c r="Q322" s="131">
        <f t="shared" si="34"/>
        <v>32</v>
      </c>
      <c r="R322" s="33">
        <f t="shared" si="35"/>
        <v>18</v>
      </c>
      <c r="S322" s="132">
        <f t="shared" si="36"/>
        <v>2.25</v>
      </c>
      <c r="T322" s="132">
        <f t="shared" si="37"/>
        <v>2.25</v>
      </c>
      <c r="V322" s="131" t="str">
        <f t="shared" si="38"/>
        <v/>
      </c>
      <c r="W322" s="17"/>
      <c r="X322" s="7"/>
      <c r="Y322" s="161"/>
      <c r="Z322" s="7"/>
      <c r="AA322" s="117"/>
      <c r="AB322" s="117"/>
      <c r="AC322" s="117"/>
      <c r="CH322" s="2"/>
    </row>
    <row r="323" spans="1:88" x14ac:dyDescent="0.3">
      <c r="A323" s="23">
        <v>219</v>
      </c>
      <c r="B323" s="2" t="s">
        <v>0</v>
      </c>
      <c r="C323" s="2" t="s">
        <v>1</v>
      </c>
      <c r="D323" s="2" t="s">
        <v>677</v>
      </c>
      <c r="E323" s="2">
        <v>1260</v>
      </c>
      <c r="F323" s="2">
        <v>7.1999999999999998E-3</v>
      </c>
      <c r="G323" s="2">
        <v>5.4999999999999997E-3</v>
      </c>
      <c r="H323" s="4">
        <f t="shared" si="33"/>
        <v>0.23611111111111113</v>
      </c>
      <c r="I323" s="2" t="s">
        <v>98</v>
      </c>
      <c r="J323" s="2" t="s">
        <v>672</v>
      </c>
      <c r="K323" s="2" t="s">
        <v>5</v>
      </c>
      <c r="L323" s="2" t="s">
        <v>6</v>
      </c>
      <c r="M323" s="155"/>
      <c r="N323" s="155"/>
      <c r="O323" s="2">
        <v>30</v>
      </c>
      <c r="P323" s="6">
        <v>18</v>
      </c>
      <c r="Q323" s="131">
        <f t="shared" si="34"/>
        <v>38.095238095238095</v>
      </c>
      <c r="R323" s="33">
        <f t="shared" si="35"/>
        <v>18</v>
      </c>
      <c r="S323" s="132">
        <f t="shared" si="36"/>
        <v>2.25</v>
      </c>
      <c r="T323" s="132">
        <f t="shared" si="37"/>
        <v>2.25</v>
      </c>
      <c r="V323" s="131">
        <f t="shared" si="38"/>
        <v>22.119815668202765</v>
      </c>
      <c r="W323" s="17">
        <v>31</v>
      </c>
      <c r="X323" s="8">
        <f>60*60*8/W323</f>
        <v>929.0322580645161</v>
      </c>
      <c r="Y323" s="161">
        <v>45630</v>
      </c>
      <c r="Z323" s="7" t="s">
        <v>7</v>
      </c>
      <c r="AA323" s="117"/>
      <c r="AB323" s="117"/>
      <c r="AC323" s="117"/>
      <c r="CH323" s="2"/>
    </row>
    <row r="324" spans="1:88" x14ac:dyDescent="0.3">
      <c r="A324" s="2">
        <v>220</v>
      </c>
      <c r="B324" s="2" t="s">
        <v>0</v>
      </c>
      <c r="C324" s="2" t="s">
        <v>1</v>
      </c>
      <c r="D324" s="2" t="s">
        <v>678</v>
      </c>
      <c r="E324" s="2">
        <v>800</v>
      </c>
      <c r="F324" s="2">
        <v>1.9300000000000001E-2</v>
      </c>
      <c r="G324" s="2">
        <v>1.7299999999999999E-2</v>
      </c>
      <c r="H324" s="4">
        <f t="shared" si="33"/>
        <v>0.10362694300518144</v>
      </c>
      <c r="I324" s="2" t="s">
        <v>82</v>
      </c>
      <c r="J324" s="2" t="s">
        <v>583</v>
      </c>
      <c r="K324" s="2" t="s">
        <v>5</v>
      </c>
      <c r="L324" s="2" t="s">
        <v>6</v>
      </c>
      <c r="M324" s="155"/>
      <c r="N324" s="155"/>
      <c r="O324" s="2">
        <v>20</v>
      </c>
      <c r="P324" s="6">
        <v>15</v>
      </c>
      <c r="Q324" s="131">
        <f t="shared" si="34"/>
        <v>48</v>
      </c>
      <c r="R324" s="33">
        <f t="shared" si="35"/>
        <v>15</v>
      </c>
      <c r="S324" s="132">
        <f t="shared" si="36"/>
        <v>1.875</v>
      </c>
      <c r="T324" s="132">
        <f t="shared" si="37"/>
        <v>1.875</v>
      </c>
      <c r="V324" s="131" t="str">
        <f t="shared" si="38"/>
        <v/>
      </c>
      <c r="W324" s="17"/>
      <c r="X324" s="7"/>
      <c r="Y324" s="161"/>
      <c r="Z324" s="7"/>
      <c r="AA324" s="117"/>
      <c r="AB324" s="117"/>
      <c r="AC324" s="117"/>
      <c r="CH324" s="2"/>
    </row>
    <row r="325" spans="1:88" x14ac:dyDescent="0.3">
      <c r="A325" s="2">
        <v>224</v>
      </c>
      <c r="B325" s="2" t="s">
        <v>84</v>
      </c>
      <c r="C325" s="2" t="s">
        <v>1</v>
      </c>
      <c r="D325" s="2" t="s">
        <v>679</v>
      </c>
      <c r="E325" s="2">
        <v>810</v>
      </c>
      <c r="F325" s="2">
        <v>3.0499999999999999E-2</v>
      </c>
      <c r="G325" s="2">
        <v>2.53E-2</v>
      </c>
      <c r="H325" s="4">
        <f t="shared" si="33"/>
        <v>0.17049180327868851</v>
      </c>
      <c r="I325" s="2" t="s">
        <v>98</v>
      </c>
      <c r="J325" s="2" t="s">
        <v>680</v>
      </c>
      <c r="K325" s="2" t="s">
        <v>105</v>
      </c>
      <c r="L325" s="2" t="s">
        <v>76</v>
      </c>
      <c r="M325" s="155"/>
      <c r="N325" s="155"/>
      <c r="O325" s="2">
        <v>6</v>
      </c>
      <c r="P325" s="6">
        <v>26</v>
      </c>
      <c r="Q325" s="131">
        <f t="shared" si="34"/>
        <v>8.2051282051282062</v>
      </c>
      <c r="R325" s="33">
        <f t="shared" si="35"/>
        <v>25.999999999999996</v>
      </c>
      <c r="S325" s="132">
        <f t="shared" si="36"/>
        <v>3.2499999999999996</v>
      </c>
      <c r="T325" s="132">
        <f t="shared" si="37"/>
        <v>3.2499999999999996</v>
      </c>
      <c r="V325" s="131" t="str">
        <f t="shared" si="38"/>
        <v/>
      </c>
      <c r="W325" s="17"/>
      <c r="X325" s="7"/>
      <c r="Y325" s="161"/>
      <c r="Z325" s="7"/>
      <c r="AA325" s="117"/>
      <c r="AB325" s="117"/>
      <c r="AC325" s="117"/>
      <c r="CH325" s="2"/>
    </row>
    <row r="326" spans="1:88" x14ac:dyDescent="0.3">
      <c r="A326" s="2">
        <v>225</v>
      </c>
      <c r="B326" s="2" t="s">
        <v>84</v>
      </c>
      <c r="C326" s="2" t="s">
        <v>1</v>
      </c>
      <c r="D326" s="2" t="s">
        <v>681</v>
      </c>
      <c r="E326" s="2">
        <v>810</v>
      </c>
      <c r="F326" s="2">
        <v>3.6200000000000003E-2</v>
      </c>
      <c r="G326" s="2"/>
      <c r="H326" s="4">
        <f t="shared" si="33"/>
        <v>1</v>
      </c>
      <c r="I326" s="2" t="s">
        <v>98</v>
      </c>
      <c r="J326" s="2" t="s">
        <v>99</v>
      </c>
      <c r="K326" s="2" t="s">
        <v>105</v>
      </c>
      <c r="L326" s="2" t="s">
        <v>76</v>
      </c>
      <c r="M326" s="155"/>
      <c r="N326" s="155"/>
      <c r="O326" s="2">
        <v>6</v>
      </c>
      <c r="P326" s="6">
        <v>22</v>
      </c>
      <c r="Q326" s="131">
        <f t="shared" si="34"/>
        <v>9.6969696969696972</v>
      </c>
      <c r="R326" s="33">
        <f t="shared" si="35"/>
        <v>22</v>
      </c>
      <c r="S326" s="132">
        <f t="shared" si="36"/>
        <v>2.75</v>
      </c>
      <c r="T326" s="132">
        <f t="shared" si="37"/>
        <v>2.75</v>
      </c>
      <c r="V326" s="131" t="str">
        <f t="shared" si="38"/>
        <v/>
      </c>
      <c r="W326" s="17"/>
      <c r="X326" s="7"/>
      <c r="Y326" s="161"/>
      <c r="Z326" s="7"/>
      <c r="AA326" s="117"/>
      <c r="AB326" s="117"/>
      <c r="AC326" s="117"/>
      <c r="CH326" s="2"/>
      <c r="CI326">
        <v>810</v>
      </c>
      <c r="CJ326">
        <v>22</v>
      </c>
    </row>
    <row r="327" spans="1:88" x14ac:dyDescent="0.3">
      <c r="A327" s="2">
        <v>226</v>
      </c>
      <c r="B327" s="2" t="s">
        <v>84</v>
      </c>
      <c r="C327" s="2" t="s">
        <v>1</v>
      </c>
      <c r="D327" s="2" t="s">
        <v>682</v>
      </c>
      <c r="E327" s="2">
        <v>810</v>
      </c>
      <c r="F327" s="2">
        <v>3.0499999999999999E-2</v>
      </c>
      <c r="G327" s="2">
        <v>2.53E-2</v>
      </c>
      <c r="H327" s="4">
        <f t="shared" si="33"/>
        <v>0.17049180327868851</v>
      </c>
      <c r="I327" s="2" t="s">
        <v>98</v>
      </c>
      <c r="J327" s="2" t="s">
        <v>683</v>
      </c>
      <c r="K327" s="2" t="s">
        <v>105</v>
      </c>
      <c r="L327" s="2" t="s">
        <v>76</v>
      </c>
      <c r="M327" s="155"/>
      <c r="N327" s="155"/>
      <c r="O327" s="2">
        <v>6</v>
      </c>
      <c r="P327" s="6">
        <v>26</v>
      </c>
      <c r="Q327" s="131">
        <f t="shared" si="34"/>
        <v>8.2051282051282062</v>
      </c>
      <c r="R327" s="33">
        <f t="shared" si="35"/>
        <v>25.999999999999996</v>
      </c>
      <c r="S327" s="132">
        <f t="shared" si="36"/>
        <v>3.2499999999999996</v>
      </c>
      <c r="T327" s="132">
        <f t="shared" si="37"/>
        <v>3.2499999999999996</v>
      </c>
      <c r="V327" s="131" t="str">
        <f t="shared" si="38"/>
        <v/>
      </c>
      <c r="W327" s="17"/>
      <c r="X327" s="7"/>
      <c r="Y327" s="161"/>
      <c r="Z327" s="7"/>
      <c r="AA327" s="117"/>
      <c r="AB327" s="117"/>
      <c r="AC327" s="117"/>
      <c r="CH327" s="2"/>
      <c r="CI327">
        <v>810</v>
      </c>
      <c r="CJ327">
        <v>26</v>
      </c>
    </row>
    <row r="328" spans="1:88" x14ac:dyDescent="0.3">
      <c r="A328" s="23">
        <v>227</v>
      </c>
      <c r="B328" s="2" t="s">
        <v>0</v>
      </c>
      <c r="C328" s="2" t="s">
        <v>1</v>
      </c>
      <c r="D328" s="2" t="s">
        <v>684</v>
      </c>
      <c r="E328" s="2">
        <v>720</v>
      </c>
      <c r="F328" s="2">
        <v>3.5400000000000001E-2</v>
      </c>
      <c r="G328" s="2">
        <v>2.8899999999999999E-2</v>
      </c>
      <c r="H328" s="4">
        <f t="shared" si="33"/>
        <v>0.1836158192090396</v>
      </c>
      <c r="I328" s="2" t="s">
        <v>98</v>
      </c>
      <c r="J328" s="2" t="s">
        <v>685</v>
      </c>
      <c r="K328" s="2" t="s">
        <v>261</v>
      </c>
      <c r="L328" s="2" t="s">
        <v>76</v>
      </c>
      <c r="M328" s="155">
        <v>4</v>
      </c>
      <c r="N328" s="155">
        <v>180</v>
      </c>
      <c r="O328" s="2">
        <v>6</v>
      </c>
      <c r="P328" s="6">
        <v>17</v>
      </c>
      <c r="Q328" s="131">
        <f t="shared" si="34"/>
        <v>14.117647058823529</v>
      </c>
      <c r="R328" s="33">
        <f t="shared" si="35"/>
        <v>17</v>
      </c>
      <c r="S328" s="132">
        <f t="shared" si="36"/>
        <v>2.125</v>
      </c>
      <c r="T328" s="132">
        <f t="shared" si="37"/>
        <v>2.125</v>
      </c>
      <c r="V328" s="131">
        <f t="shared" si="38"/>
        <v>8</v>
      </c>
      <c r="W328" s="17">
        <v>30</v>
      </c>
      <c r="X328" s="8">
        <f>60*60*8/W328</f>
        <v>960</v>
      </c>
      <c r="Y328" s="161">
        <v>45307</v>
      </c>
      <c r="Z328" s="7" t="s">
        <v>7</v>
      </c>
      <c r="AA328" s="117"/>
      <c r="AB328" s="117"/>
      <c r="AC328" s="117"/>
      <c r="AD328" s="22">
        <v>45526</v>
      </c>
      <c r="AE328">
        <v>3</v>
      </c>
      <c r="AF328">
        <v>4</v>
      </c>
      <c r="AG328">
        <v>1.8</v>
      </c>
      <c r="AK328">
        <v>7</v>
      </c>
      <c r="AL328">
        <v>6.5</v>
      </c>
      <c r="AN328">
        <v>11</v>
      </c>
      <c r="AO328">
        <v>0.6</v>
      </c>
      <c r="AP328">
        <v>0.2</v>
      </c>
      <c r="AS328">
        <v>30</v>
      </c>
      <c r="AT328">
        <v>6.5</v>
      </c>
      <c r="AU328">
        <v>17.5</v>
      </c>
      <c r="AV328">
        <v>109</v>
      </c>
      <c r="AW328">
        <v>121</v>
      </c>
      <c r="AX328">
        <v>20</v>
      </c>
      <c r="AY328">
        <v>51</v>
      </c>
      <c r="AZ328">
        <v>94</v>
      </c>
      <c r="BA328">
        <v>115</v>
      </c>
      <c r="BB328">
        <v>430</v>
      </c>
      <c r="CH328" s="2"/>
      <c r="CI328">
        <v>720</v>
      </c>
      <c r="CJ328">
        <v>17</v>
      </c>
    </row>
    <row r="329" spans="1:88" x14ac:dyDescent="0.3">
      <c r="A329" s="23">
        <v>228</v>
      </c>
      <c r="B329" s="2" t="s">
        <v>0</v>
      </c>
      <c r="C329" s="2" t="s">
        <v>1</v>
      </c>
      <c r="D329" s="2" t="s">
        <v>686</v>
      </c>
      <c r="E329" s="2">
        <v>500</v>
      </c>
      <c r="F329" s="2">
        <v>2.5000000000000001E-2</v>
      </c>
      <c r="G329" s="2">
        <v>1.6299999999999999E-2</v>
      </c>
      <c r="H329" s="4">
        <f t="shared" si="33"/>
        <v>0.34800000000000009</v>
      </c>
      <c r="I329" s="2" t="s">
        <v>98</v>
      </c>
      <c r="J329" s="2" t="s">
        <v>687</v>
      </c>
      <c r="K329" s="2" t="s">
        <v>90</v>
      </c>
      <c r="L329" s="2" t="s">
        <v>6</v>
      </c>
      <c r="M329" s="155"/>
      <c r="N329" s="155"/>
      <c r="O329" s="2">
        <v>8</v>
      </c>
      <c r="P329" s="6">
        <v>26</v>
      </c>
      <c r="Q329" s="131">
        <f t="shared" si="34"/>
        <v>17.723076923076924</v>
      </c>
      <c r="R329" s="33">
        <f t="shared" si="35"/>
        <v>26</v>
      </c>
      <c r="S329" s="132">
        <f t="shared" si="36"/>
        <v>3.25</v>
      </c>
      <c r="T329" s="132">
        <f t="shared" si="37"/>
        <v>3.25</v>
      </c>
      <c r="V329" s="131">
        <f t="shared" si="38"/>
        <v>16.665461121157325</v>
      </c>
      <c r="W329" s="17">
        <v>27.65</v>
      </c>
      <c r="X329" s="8">
        <f>60*60*8/W329</f>
        <v>1041.5913200723328</v>
      </c>
      <c r="Y329" s="161">
        <v>45359</v>
      </c>
      <c r="Z329" s="7" t="s">
        <v>7</v>
      </c>
      <c r="AA329" s="117"/>
      <c r="AB329" s="117"/>
      <c r="AC329" s="117"/>
      <c r="AD329" s="22">
        <v>45528</v>
      </c>
      <c r="AE329">
        <v>8</v>
      </c>
      <c r="AF329">
        <v>3.8</v>
      </c>
      <c r="AG329">
        <v>1.8</v>
      </c>
      <c r="AI329">
        <v>0.1</v>
      </c>
      <c r="AJ329">
        <v>0.2</v>
      </c>
      <c r="AK329">
        <v>6</v>
      </c>
      <c r="AL329">
        <v>5.5</v>
      </c>
      <c r="AN329">
        <v>10</v>
      </c>
      <c r="AS329">
        <v>27.65</v>
      </c>
      <c r="AT329">
        <v>6.5</v>
      </c>
      <c r="AU329">
        <v>16</v>
      </c>
      <c r="AV329">
        <v>109</v>
      </c>
      <c r="AW329">
        <v>112.2</v>
      </c>
      <c r="AX329">
        <v>12</v>
      </c>
      <c r="AY329">
        <v>24</v>
      </c>
      <c r="AZ329">
        <v>101</v>
      </c>
      <c r="BA329">
        <v>112</v>
      </c>
      <c r="BB329">
        <v>420</v>
      </c>
      <c r="CH329" s="2"/>
      <c r="CI329">
        <v>500</v>
      </c>
      <c r="CJ329">
        <v>24</v>
      </c>
    </row>
    <row r="330" spans="1:88" x14ac:dyDescent="0.3">
      <c r="A330" s="2">
        <v>229</v>
      </c>
      <c r="B330" s="2" t="s">
        <v>84</v>
      </c>
      <c r="C330" s="2" t="s">
        <v>1</v>
      </c>
      <c r="D330" s="2" t="s">
        <v>688</v>
      </c>
      <c r="E330" s="2">
        <v>500</v>
      </c>
      <c r="F330" s="2">
        <v>2.5000000000000001E-2</v>
      </c>
      <c r="G330" s="2">
        <v>1.6299999999999999E-2</v>
      </c>
      <c r="H330" s="4">
        <f t="shared" si="33"/>
        <v>0.34800000000000009</v>
      </c>
      <c r="I330" s="2" t="s">
        <v>98</v>
      </c>
      <c r="J330" s="2" t="s">
        <v>689</v>
      </c>
      <c r="K330" s="2" t="s">
        <v>90</v>
      </c>
      <c r="L330" s="2" t="s">
        <v>6</v>
      </c>
      <c r="M330" s="155"/>
      <c r="N330" s="155"/>
      <c r="O330" s="2">
        <v>8</v>
      </c>
      <c r="P330" s="6"/>
      <c r="Q330" s="131" t="str">
        <f t="shared" si="34"/>
        <v/>
      </c>
      <c r="R330" s="33" t="str">
        <f t="shared" si="35"/>
        <v/>
      </c>
      <c r="S330" s="132" t="str">
        <f t="shared" si="36"/>
        <v/>
      </c>
      <c r="T330" s="132" t="str">
        <f t="shared" si="37"/>
        <v/>
      </c>
      <c r="V330" s="131" t="str">
        <f t="shared" si="38"/>
        <v/>
      </c>
      <c r="W330" s="17"/>
      <c r="X330" s="7"/>
      <c r="Y330" s="161"/>
      <c r="Z330" s="7"/>
      <c r="AA330" s="117"/>
      <c r="AB330" s="117"/>
      <c r="AC330" s="117"/>
      <c r="CH330" s="2"/>
    </row>
    <row r="331" spans="1:88" x14ac:dyDescent="0.3">
      <c r="A331" s="2">
        <v>230</v>
      </c>
      <c r="B331" s="2" t="s">
        <v>84</v>
      </c>
      <c r="C331" s="2" t="s">
        <v>1</v>
      </c>
      <c r="D331" s="2" t="s">
        <v>690</v>
      </c>
      <c r="E331" s="2">
        <v>720</v>
      </c>
      <c r="F331" s="2">
        <v>3.5400000000000001E-2</v>
      </c>
      <c r="G331" s="2">
        <v>2.8899999999999999E-2</v>
      </c>
      <c r="H331" s="4">
        <f t="shared" si="33"/>
        <v>0.1836158192090396</v>
      </c>
      <c r="I331" s="2" t="s">
        <v>98</v>
      </c>
      <c r="J331" s="2" t="s">
        <v>685</v>
      </c>
      <c r="K331" s="2" t="s">
        <v>261</v>
      </c>
      <c r="L331" s="2" t="s">
        <v>76</v>
      </c>
      <c r="M331" s="155"/>
      <c r="N331" s="155"/>
      <c r="O331" s="2">
        <v>6</v>
      </c>
      <c r="P331" s="6"/>
      <c r="Q331" s="131" t="str">
        <f t="shared" si="34"/>
        <v/>
      </c>
      <c r="R331" s="33" t="str">
        <f t="shared" si="35"/>
        <v/>
      </c>
      <c r="S331" s="132" t="str">
        <f t="shared" si="36"/>
        <v/>
      </c>
      <c r="T331" s="132" t="str">
        <f t="shared" si="37"/>
        <v/>
      </c>
      <c r="V331" s="131" t="str">
        <f t="shared" si="38"/>
        <v/>
      </c>
      <c r="W331" s="17"/>
      <c r="X331" s="7"/>
      <c r="Y331" s="161"/>
      <c r="Z331" s="7"/>
      <c r="AA331" s="117"/>
      <c r="AB331" s="117"/>
      <c r="AC331" s="117"/>
      <c r="CH331" s="2"/>
    </row>
    <row r="332" spans="1:88" x14ac:dyDescent="0.3">
      <c r="A332" s="2">
        <v>231</v>
      </c>
      <c r="B332" s="2" t="s">
        <v>84</v>
      </c>
      <c r="C332" s="2" t="s">
        <v>1</v>
      </c>
      <c r="D332" s="2" t="s">
        <v>691</v>
      </c>
      <c r="E332" s="2">
        <v>800</v>
      </c>
      <c r="F332" s="2">
        <v>2.9499999999999998E-2</v>
      </c>
      <c r="G332" s="2"/>
      <c r="H332" s="4">
        <f t="shared" si="33"/>
        <v>1</v>
      </c>
      <c r="I332" s="2" t="s">
        <v>98</v>
      </c>
      <c r="J332" s="2" t="s">
        <v>692</v>
      </c>
      <c r="K332" s="2" t="s">
        <v>222</v>
      </c>
      <c r="L332" s="2" t="s">
        <v>76</v>
      </c>
      <c r="M332" s="155"/>
      <c r="N332" s="155"/>
      <c r="O332" s="2">
        <v>6</v>
      </c>
      <c r="P332" s="6">
        <v>12</v>
      </c>
      <c r="Q332" s="131">
        <f t="shared" si="34"/>
        <v>18</v>
      </c>
      <c r="R332" s="33">
        <f t="shared" si="35"/>
        <v>12</v>
      </c>
      <c r="S332" s="132">
        <f t="shared" si="36"/>
        <v>1.5</v>
      </c>
      <c r="T332" s="132">
        <f t="shared" si="37"/>
        <v>1.5</v>
      </c>
      <c r="V332" s="131" t="str">
        <f t="shared" si="38"/>
        <v/>
      </c>
      <c r="W332" s="17"/>
      <c r="X332" s="7"/>
      <c r="Y332" s="161"/>
      <c r="Z332" s="7"/>
      <c r="AA332" s="117"/>
      <c r="AB332" s="117"/>
      <c r="AC332" s="117"/>
      <c r="CH332" s="2"/>
    </row>
    <row r="333" spans="1:88" x14ac:dyDescent="0.3">
      <c r="A333" s="2">
        <v>232</v>
      </c>
      <c r="B333" s="2" t="s">
        <v>84</v>
      </c>
      <c r="C333" s="2" t="s">
        <v>1</v>
      </c>
      <c r="D333" s="2" t="s">
        <v>693</v>
      </c>
      <c r="E333" s="2">
        <v>800</v>
      </c>
      <c r="F333" s="2">
        <v>2.9499999999999998E-2</v>
      </c>
      <c r="G333" s="2"/>
      <c r="H333" s="4">
        <f t="shared" si="33"/>
        <v>1</v>
      </c>
      <c r="I333" s="2" t="s">
        <v>98</v>
      </c>
      <c r="J333" s="2" t="s">
        <v>687</v>
      </c>
      <c r="K333" s="2" t="s">
        <v>222</v>
      </c>
      <c r="L333" s="2" t="s">
        <v>76</v>
      </c>
      <c r="M333" s="155"/>
      <c r="N333" s="155"/>
      <c r="O333" s="2">
        <v>6</v>
      </c>
      <c r="P333" s="6">
        <v>12</v>
      </c>
      <c r="Q333" s="131">
        <f t="shared" si="34"/>
        <v>18</v>
      </c>
      <c r="R333" s="33">
        <f t="shared" si="35"/>
        <v>12</v>
      </c>
      <c r="S333" s="132">
        <f t="shared" si="36"/>
        <v>1.5</v>
      </c>
      <c r="T333" s="132">
        <f t="shared" si="37"/>
        <v>1.5</v>
      </c>
      <c r="V333" s="131" t="str">
        <f t="shared" si="38"/>
        <v/>
      </c>
      <c r="W333" s="17"/>
      <c r="X333" s="7"/>
      <c r="Y333" s="161"/>
      <c r="Z333" s="7"/>
      <c r="AA333" s="117"/>
      <c r="AB333" s="117"/>
      <c r="AC333" s="117"/>
      <c r="CH333" s="2"/>
    </row>
    <row r="334" spans="1:88" x14ac:dyDescent="0.3">
      <c r="A334" s="2">
        <v>237</v>
      </c>
      <c r="B334" s="2" t="s">
        <v>0</v>
      </c>
      <c r="C334" s="2" t="s">
        <v>1</v>
      </c>
      <c r="D334" s="2" t="s">
        <v>694</v>
      </c>
      <c r="E334" s="2">
        <v>40</v>
      </c>
      <c r="F334" s="2">
        <v>0.32340000000000002</v>
      </c>
      <c r="G334" s="2">
        <v>0.24199999999999999</v>
      </c>
      <c r="H334" s="4">
        <f t="shared" si="33"/>
        <v>0.2517006802721089</v>
      </c>
      <c r="I334" s="2" t="s">
        <v>98</v>
      </c>
      <c r="J334" s="2" t="s">
        <v>624</v>
      </c>
      <c r="K334" s="2" t="s">
        <v>105</v>
      </c>
      <c r="L334" s="2" t="s">
        <v>76</v>
      </c>
      <c r="M334" s="155"/>
      <c r="N334" s="155"/>
      <c r="O334" s="2">
        <v>2</v>
      </c>
      <c r="P334" s="6">
        <v>20</v>
      </c>
      <c r="Q334" s="131">
        <f t="shared" si="34"/>
        <v>72</v>
      </c>
      <c r="R334" s="33">
        <f t="shared" si="35"/>
        <v>20</v>
      </c>
      <c r="S334" s="132">
        <f t="shared" si="36"/>
        <v>2.5</v>
      </c>
      <c r="T334" s="132">
        <f t="shared" si="37"/>
        <v>2.5</v>
      </c>
      <c r="V334" s="131" t="str">
        <f t="shared" si="38"/>
        <v/>
      </c>
      <c r="W334" s="17"/>
      <c r="X334" s="7"/>
      <c r="Y334" s="161"/>
      <c r="Z334" s="7"/>
      <c r="AA334" s="117"/>
      <c r="AB334" s="117"/>
      <c r="AC334" s="117"/>
      <c r="CH334" s="2"/>
    </row>
    <row r="335" spans="1:88" x14ac:dyDescent="0.3">
      <c r="A335" s="2">
        <v>238</v>
      </c>
      <c r="B335" s="2" t="s">
        <v>0</v>
      </c>
      <c r="C335" s="2" t="s">
        <v>1</v>
      </c>
      <c r="D335" s="2" t="s">
        <v>695</v>
      </c>
      <c r="E335" s="2">
        <v>52</v>
      </c>
      <c r="F335" s="2">
        <v>0.32340000000000002</v>
      </c>
      <c r="G335" s="2">
        <v>0.24199999999999999</v>
      </c>
      <c r="H335" s="4">
        <f t="shared" si="33"/>
        <v>0.2517006802721089</v>
      </c>
      <c r="I335" s="2" t="s">
        <v>98</v>
      </c>
      <c r="J335" s="2" t="s">
        <v>624</v>
      </c>
      <c r="K335" s="2" t="s">
        <v>105</v>
      </c>
      <c r="L335" s="2" t="s">
        <v>76</v>
      </c>
      <c r="M335" s="155"/>
      <c r="N335" s="155"/>
      <c r="O335" s="2">
        <v>3</v>
      </c>
      <c r="P335" s="6">
        <v>20</v>
      </c>
      <c r="Q335" s="131">
        <f t="shared" si="34"/>
        <v>83.076923076923066</v>
      </c>
      <c r="R335" s="33">
        <f t="shared" si="35"/>
        <v>20</v>
      </c>
      <c r="S335" s="132">
        <f t="shared" si="36"/>
        <v>2.5</v>
      </c>
      <c r="T335" s="132">
        <f t="shared" si="37"/>
        <v>2.5</v>
      </c>
      <c r="V335" s="131" t="str">
        <f t="shared" si="38"/>
        <v/>
      </c>
      <c r="W335" s="17"/>
      <c r="X335" s="7"/>
      <c r="Y335" s="161"/>
      <c r="Z335" s="7"/>
      <c r="AA335" s="117"/>
      <c r="AB335" s="117"/>
      <c r="AC335" s="117"/>
      <c r="CH335" s="2"/>
    </row>
    <row r="336" spans="1:88" x14ac:dyDescent="0.3">
      <c r="A336" s="2">
        <v>239</v>
      </c>
      <c r="B336" s="2" t="s">
        <v>0</v>
      </c>
      <c r="C336" s="2" t="s">
        <v>1</v>
      </c>
      <c r="D336" s="2" t="s">
        <v>696</v>
      </c>
      <c r="E336" s="2">
        <v>6120</v>
      </c>
      <c r="F336" s="2">
        <v>3.0000000000000001E-3</v>
      </c>
      <c r="G336" s="2">
        <v>2.3999999999999998E-3</v>
      </c>
      <c r="H336" s="4">
        <f t="shared" si="33"/>
        <v>0.20000000000000009</v>
      </c>
      <c r="I336" s="2" t="s">
        <v>697</v>
      </c>
      <c r="J336" s="2" t="s">
        <v>698</v>
      </c>
      <c r="K336" s="2" t="s">
        <v>5</v>
      </c>
      <c r="L336" s="2" t="s">
        <v>6</v>
      </c>
      <c r="M336" s="155"/>
      <c r="N336" s="155"/>
      <c r="O336" s="2">
        <v>48</v>
      </c>
      <c r="P336" s="6">
        <v>9</v>
      </c>
      <c r="Q336" s="131">
        <f t="shared" si="34"/>
        <v>25.098039215686274</v>
      </c>
      <c r="R336" s="33">
        <f t="shared" si="35"/>
        <v>9</v>
      </c>
      <c r="S336" s="132">
        <f t="shared" si="36"/>
        <v>1.125</v>
      </c>
      <c r="T336" s="132">
        <f t="shared" si="37"/>
        <v>1.125</v>
      </c>
      <c r="V336" s="131" t="str">
        <f t="shared" si="38"/>
        <v/>
      </c>
      <c r="W336" s="17"/>
      <c r="X336" s="7"/>
      <c r="Y336" s="161"/>
      <c r="Z336" s="7"/>
      <c r="AA336" s="117"/>
      <c r="AB336" s="117"/>
      <c r="AC336" s="117"/>
      <c r="CH336" s="2"/>
    </row>
    <row r="337" spans="1:86" x14ac:dyDescent="0.3">
      <c r="A337" s="2">
        <v>240</v>
      </c>
      <c r="B337" s="2" t="s">
        <v>0</v>
      </c>
      <c r="C337" s="2" t="s">
        <v>1</v>
      </c>
      <c r="D337" s="2" t="s">
        <v>699</v>
      </c>
      <c r="E337" s="2">
        <v>60</v>
      </c>
      <c r="F337" s="2">
        <v>0.32340000000000002</v>
      </c>
      <c r="G337" s="2">
        <v>0.24199999999999999</v>
      </c>
      <c r="H337" s="4">
        <f t="shared" si="33"/>
        <v>0.2517006802721089</v>
      </c>
      <c r="I337" s="2" t="s">
        <v>98</v>
      </c>
      <c r="J337" s="2" t="s">
        <v>700</v>
      </c>
      <c r="K337" s="2" t="s">
        <v>105</v>
      </c>
      <c r="L337" s="2" t="s">
        <v>76</v>
      </c>
      <c r="M337" s="155"/>
      <c r="N337" s="155"/>
      <c r="O337" s="2">
        <v>3</v>
      </c>
      <c r="P337" s="6">
        <v>20</v>
      </c>
      <c r="Q337" s="131">
        <f t="shared" si="34"/>
        <v>72</v>
      </c>
      <c r="R337" s="33">
        <f t="shared" si="35"/>
        <v>20</v>
      </c>
      <c r="S337" s="132">
        <f t="shared" si="36"/>
        <v>2.5</v>
      </c>
      <c r="T337" s="132">
        <f t="shared" si="37"/>
        <v>2.5</v>
      </c>
      <c r="V337" s="131" t="str">
        <f t="shared" si="38"/>
        <v/>
      </c>
      <c r="W337" s="17"/>
      <c r="X337" s="7"/>
      <c r="Y337" s="161"/>
      <c r="Z337" s="7"/>
      <c r="AA337" s="117"/>
      <c r="AB337" s="117"/>
      <c r="AC337" s="117"/>
      <c r="CH337" s="2"/>
    </row>
    <row r="338" spans="1:86" x14ac:dyDescent="0.3">
      <c r="A338" s="2">
        <v>241</v>
      </c>
      <c r="B338" s="2" t="s">
        <v>0</v>
      </c>
      <c r="C338" s="2" t="s">
        <v>1</v>
      </c>
      <c r="D338" s="2" t="s">
        <v>701</v>
      </c>
      <c r="E338" s="2">
        <v>30</v>
      </c>
      <c r="F338" s="2">
        <v>0.32340000000000002</v>
      </c>
      <c r="G338" s="2">
        <v>0.24199999999999999</v>
      </c>
      <c r="H338" s="4">
        <f t="shared" si="33"/>
        <v>0.2517006802721089</v>
      </c>
      <c r="I338" s="2" t="s">
        <v>98</v>
      </c>
      <c r="J338" s="2" t="s">
        <v>624</v>
      </c>
      <c r="K338" s="2" t="s">
        <v>105</v>
      </c>
      <c r="L338" s="2" t="s">
        <v>76</v>
      </c>
      <c r="M338" s="155"/>
      <c r="N338" s="155"/>
      <c r="O338" s="2">
        <v>3</v>
      </c>
      <c r="P338" s="6">
        <v>20</v>
      </c>
      <c r="Q338" s="131">
        <f t="shared" si="34"/>
        <v>144</v>
      </c>
      <c r="R338" s="33">
        <f t="shared" si="35"/>
        <v>20</v>
      </c>
      <c r="S338" s="132">
        <f t="shared" si="36"/>
        <v>2.5</v>
      </c>
      <c r="T338" s="132">
        <f t="shared" si="37"/>
        <v>2.5</v>
      </c>
      <c r="V338" s="131" t="str">
        <f t="shared" si="38"/>
        <v/>
      </c>
      <c r="W338" s="17"/>
      <c r="X338" s="7"/>
      <c r="Y338" s="161"/>
      <c r="Z338" s="7"/>
      <c r="AA338" s="117"/>
      <c r="AB338" s="117"/>
      <c r="AC338" s="117"/>
      <c r="CH338" s="2"/>
    </row>
    <row r="339" spans="1:86" x14ac:dyDescent="0.3">
      <c r="A339" s="23">
        <v>242</v>
      </c>
      <c r="B339" s="2" t="s">
        <v>0</v>
      </c>
      <c r="C339" s="2" t="s">
        <v>1</v>
      </c>
      <c r="D339" s="2" t="s">
        <v>702</v>
      </c>
      <c r="E339" s="2">
        <v>40</v>
      </c>
      <c r="F339" s="2">
        <v>0.32340000000000002</v>
      </c>
      <c r="G339" s="2">
        <v>0.24199999999999999</v>
      </c>
      <c r="H339" s="4">
        <f t="shared" si="33"/>
        <v>0.2517006802721089</v>
      </c>
      <c r="I339" s="2" t="s">
        <v>98</v>
      </c>
      <c r="J339" s="2" t="s">
        <v>703</v>
      </c>
      <c r="K339" s="2" t="s">
        <v>105</v>
      </c>
      <c r="L339" s="2" t="s">
        <v>76</v>
      </c>
      <c r="M339" s="155"/>
      <c r="N339" s="155"/>
      <c r="O339" s="2">
        <v>3</v>
      </c>
      <c r="P339" s="6">
        <v>20</v>
      </c>
      <c r="Q339" s="131">
        <f t="shared" si="34"/>
        <v>108</v>
      </c>
      <c r="R339" s="33">
        <f t="shared" si="35"/>
        <v>20</v>
      </c>
      <c r="S339" s="132">
        <f t="shared" si="36"/>
        <v>2.5</v>
      </c>
      <c r="T339" s="132">
        <f t="shared" si="37"/>
        <v>2.5</v>
      </c>
      <c r="V339" s="131">
        <f t="shared" si="38"/>
        <v>35.36</v>
      </c>
      <c r="W339" s="134">
        <v>61.085972850678736</v>
      </c>
      <c r="X339" s="8">
        <f>60*60*8/W339</f>
        <v>471.46666666666664</v>
      </c>
      <c r="Y339" s="161">
        <v>45331</v>
      </c>
      <c r="Z339" s="7" t="s">
        <v>704</v>
      </c>
      <c r="AA339" s="117"/>
      <c r="AB339" s="117"/>
      <c r="AC339" s="117"/>
      <c r="CH339" s="2"/>
    </row>
    <row r="340" spans="1:86" x14ac:dyDescent="0.3">
      <c r="A340" s="23">
        <v>243</v>
      </c>
      <c r="B340" s="2" t="s">
        <v>0</v>
      </c>
      <c r="C340" s="2" t="s">
        <v>1</v>
      </c>
      <c r="D340" s="2" t="s">
        <v>705</v>
      </c>
      <c r="E340" s="2">
        <v>2000</v>
      </c>
      <c r="F340" s="2">
        <v>5.4999999999999997E-3</v>
      </c>
      <c r="G340" s="2">
        <v>4.5999999999999999E-3</v>
      </c>
      <c r="H340" s="4">
        <f t="shared" si="33"/>
        <v>0.16363636363636361</v>
      </c>
      <c r="I340" s="2" t="s">
        <v>697</v>
      </c>
      <c r="J340" s="2" t="s">
        <v>410</v>
      </c>
      <c r="K340" s="2" t="s">
        <v>5</v>
      </c>
      <c r="L340" s="2" t="s">
        <v>6</v>
      </c>
      <c r="M340" s="155"/>
      <c r="N340" s="155"/>
      <c r="O340" s="2">
        <v>35</v>
      </c>
      <c r="P340" s="6">
        <v>14</v>
      </c>
      <c r="Q340" s="131">
        <f t="shared" si="34"/>
        <v>36</v>
      </c>
      <c r="R340" s="33">
        <f t="shared" si="35"/>
        <v>14</v>
      </c>
      <c r="S340" s="132">
        <f t="shared" si="36"/>
        <v>1.75</v>
      </c>
      <c r="T340" s="132">
        <f t="shared" si="37"/>
        <v>1.75</v>
      </c>
      <c r="V340" s="131">
        <f t="shared" si="38"/>
        <v>16.8</v>
      </c>
      <c r="W340" s="17">
        <v>30</v>
      </c>
      <c r="X340" s="8">
        <f>60*60*8/W340</f>
        <v>960</v>
      </c>
      <c r="Y340" s="161">
        <v>45307</v>
      </c>
      <c r="Z340" s="7" t="s">
        <v>7</v>
      </c>
      <c r="AA340" s="117"/>
      <c r="AB340" s="117"/>
      <c r="AC340" s="117"/>
      <c r="CH340" s="2"/>
    </row>
    <row r="341" spans="1:86" x14ac:dyDescent="0.3">
      <c r="A341" s="2">
        <v>244</v>
      </c>
      <c r="B341" s="2" t="s">
        <v>0</v>
      </c>
      <c r="C341" s="2" t="s">
        <v>1</v>
      </c>
      <c r="D341" s="2" t="s">
        <v>706</v>
      </c>
      <c r="E341" s="2">
        <v>3570</v>
      </c>
      <c r="F341" s="2">
        <v>5.4999999999999997E-3</v>
      </c>
      <c r="G341" s="2">
        <v>4.5999999999999999E-3</v>
      </c>
      <c r="H341" s="4">
        <f t="shared" si="33"/>
        <v>0.16363636363636361</v>
      </c>
      <c r="I341" s="2" t="s">
        <v>697</v>
      </c>
      <c r="J341" s="2" t="s">
        <v>410</v>
      </c>
      <c r="K341" s="2" t="s">
        <v>5</v>
      </c>
      <c r="L341" s="2" t="s">
        <v>6</v>
      </c>
      <c r="M341" s="155"/>
      <c r="N341" s="155"/>
      <c r="O341" s="2">
        <v>35</v>
      </c>
      <c r="P341" s="6">
        <v>9</v>
      </c>
      <c r="Q341" s="131">
        <f t="shared" si="34"/>
        <v>31.372549019607845</v>
      </c>
      <c r="R341" s="33">
        <f t="shared" si="35"/>
        <v>9</v>
      </c>
      <c r="S341" s="132">
        <f t="shared" si="36"/>
        <v>1.125</v>
      </c>
      <c r="T341" s="132">
        <f t="shared" si="37"/>
        <v>1.125</v>
      </c>
      <c r="V341" s="131" t="str">
        <f t="shared" si="38"/>
        <v/>
      </c>
      <c r="W341" s="17"/>
      <c r="X341" s="7"/>
      <c r="Y341" s="161"/>
      <c r="Z341" s="7"/>
      <c r="AA341" s="117"/>
      <c r="AB341" s="117"/>
      <c r="AC341" s="117"/>
      <c r="CH341" s="2"/>
    </row>
    <row r="342" spans="1:86" x14ac:dyDescent="0.3">
      <c r="A342" s="2">
        <v>245</v>
      </c>
      <c r="B342" s="2" t="s">
        <v>0</v>
      </c>
      <c r="C342" s="2" t="s">
        <v>1</v>
      </c>
      <c r="D342" s="2" t="s">
        <v>707</v>
      </c>
      <c r="E342" s="2">
        <v>40</v>
      </c>
      <c r="F342" s="2">
        <v>0.32340000000000002</v>
      </c>
      <c r="G342" s="2">
        <v>0.24199999999999999</v>
      </c>
      <c r="H342" s="4">
        <f t="shared" si="33"/>
        <v>0.2517006802721089</v>
      </c>
      <c r="I342" s="2" t="s">
        <v>98</v>
      </c>
      <c r="J342" s="2" t="s">
        <v>700</v>
      </c>
      <c r="K342" s="2" t="s">
        <v>105</v>
      </c>
      <c r="L342" s="2" t="s">
        <v>76</v>
      </c>
      <c r="M342" s="155"/>
      <c r="N342" s="155"/>
      <c r="O342" s="2">
        <v>3</v>
      </c>
      <c r="P342" s="6">
        <v>20</v>
      </c>
      <c r="Q342" s="131">
        <f t="shared" si="34"/>
        <v>108</v>
      </c>
      <c r="R342" s="33">
        <f t="shared" si="35"/>
        <v>20</v>
      </c>
      <c r="S342" s="132">
        <f t="shared" si="36"/>
        <v>2.5</v>
      </c>
      <c r="T342" s="132">
        <f t="shared" si="37"/>
        <v>2.5</v>
      </c>
      <c r="V342" s="131" t="str">
        <f t="shared" si="38"/>
        <v/>
      </c>
      <c r="W342" s="17"/>
      <c r="X342" s="7"/>
      <c r="Y342" s="161"/>
      <c r="Z342" s="7"/>
      <c r="AA342" s="117"/>
      <c r="AB342" s="117"/>
      <c r="AC342" s="117"/>
      <c r="CH342" s="2"/>
    </row>
    <row r="343" spans="1:86" x14ac:dyDescent="0.3">
      <c r="A343" s="2">
        <v>246</v>
      </c>
      <c r="B343" s="2" t="s">
        <v>0</v>
      </c>
      <c r="C343" s="2" t="s">
        <v>1</v>
      </c>
      <c r="D343" s="2" t="s">
        <v>708</v>
      </c>
      <c r="E343" s="2">
        <v>60</v>
      </c>
      <c r="F343" s="2">
        <v>0.32340000000000002</v>
      </c>
      <c r="G343" s="2">
        <v>0.24199999999999999</v>
      </c>
      <c r="H343" s="4">
        <f t="shared" si="33"/>
        <v>0.2517006802721089</v>
      </c>
      <c r="I343" s="2" t="s">
        <v>98</v>
      </c>
      <c r="J343" s="2" t="s">
        <v>700</v>
      </c>
      <c r="K343" s="2" t="s">
        <v>129</v>
      </c>
      <c r="L343" s="2" t="s">
        <v>76</v>
      </c>
      <c r="M343" s="155"/>
      <c r="N343" s="155"/>
      <c r="O343" s="2">
        <v>3</v>
      </c>
      <c r="P343" s="6">
        <v>20</v>
      </c>
      <c r="Q343" s="131">
        <f t="shared" si="34"/>
        <v>72</v>
      </c>
      <c r="R343" s="33">
        <f t="shared" si="35"/>
        <v>20</v>
      </c>
      <c r="S343" s="132">
        <f t="shared" si="36"/>
        <v>2.5</v>
      </c>
      <c r="T343" s="132">
        <f t="shared" si="37"/>
        <v>2.5</v>
      </c>
      <c r="V343" s="131" t="str">
        <f t="shared" si="38"/>
        <v/>
      </c>
      <c r="W343" s="17"/>
      <c r="X343" s="7"/>
      <c r="Y343" s="161"/>
      <c r="Z343" s="7"/>
      <c r="AA343" s="117"/>
      <c r="AB343" s="117"/>
      <c r="AC343" s="117"/>
      <c r="CH343" s="2"/>
    </row>
    <row r="344" spans="1:86" x14ac:dyDescent="0.3">
      <c r="A344" s="2">
        <v>247</v>
      </c>
      <c r="B344" s="2" t="s">
        <v>0</v>
      </c>
      <c r="C344" s="2" t="s">
        <v>1</v>
      </c>
      <c r="D344" s="2" t="s">
        <v>709</v>
      </c>
      <c r="E344" s="2">
        <v>40</v>
      </c>
      <c r="F344" s="2">
        <v>0.34649999999999997</v>
      </c>
      <c r="G344" s="2">
        <v>0.24199999999999999</v>
      </c>
      <c r="H344" s="4">
        <f t="shared" si="33"/>
        <v>0.30158730158730157</v>
      </c>
      <c r="I344" s="2" t="s">
        <v>98</v>
      </c>
      <c r="J344" s="2" t="s">
        <v>624</v>
      </c>
      <c r="K344" s="2" t="s">
        <v>105</v>
      </c>
      <c r="L344" s="2" t="s">
        <v>76</v>
      </c>
      <c r="M344" s="155"/>
      <c r="N344" s="155"/>
      <c r="O344" s="2">
        <v>3</v>
      </c>
      <c r="P344" s="6">
        <v>20</v>
      </c>
      <c r="Q344" s="131">
        <f t="shared" si="34"/>
        <v>108</v>
      </c>
      <c r="R344" s="33">
        <f t="shared" si="35"/>
        <v>20</v>
      </c>
      <c r="S344" s="132">
        <f t="shared" si="36"/>
        <v>2.5</v>
      </c>
      <c r="T344" s="132">
        <f t="shared" si="37"/>
        <v>2.5</v>
      </c>
      <c r="V344" s="131" t="str">
        <f t="shared" si="38"/>
        <v/>
      </c>
      <c r="W344" s="17"/>
      <c r="X344" s="7"/>
      <c r="Y344" s="161"/>
      <c r="Z344" s="7"/>
      <c r="AA344" s="117"/>
      <c r="AB344" s="117"/>
      <c r="AC344" s="117"/>
      <c r="CH344" s="2"/>
    </row>
    <row r="345" spans="1:86" x14ac:dyDescent="0.3">
      <c r="A345" s="2">
        <v>248</v>
      </c>
      <c r="B345" s="2" t="s">
        <v>0</v>
      </c>
      <c r="C345" s="2" t="s">
        <v>1</v>
      </c>
      <c r="D345" s="2" t="s">
        <v>710</v>
      </c>
      <c r="E345" s="2">
        <v>45</v>
      </c>
      <c r="F345" s="2">
        <v>0.32340000000000002</v>
      </c>
      <c r="G345" s="2">
        <v>0.24199999999999999</v>
      </c>
      <c r="H345" s="4">
        <f t="shared" si="33"/>
        <v>0.2517006802721089</v>
      </c>
      <c r="I345" s="2" t="s">
        <v>98</v>
      </c>
      <c r="J345" s="2" t="s">
        <v>700</v>
      </c>
      <c r="K345" s="2" t="s">
        <v>105</v>
      </c>
      <c r="L345" s="2" t="s">
        <v>76</v>
      </c>
      <c r="M345" s="155"/>
      <c r="N345" s="155"/>
      <c r="O345" s="2">
        <v>3</v>
      </c>
      <c r="P345" s="6">
        <v>20</v>
      </c>
      <c r="Q345" s="131">
        <f t="shared" si="34"/>
        <v>96</v>
      </c>
      <c r="R345" s="33">
        <f t="shared" si="35"/>
        <v>20</v>
      </c>
      <c r="S345" s="132">
        <f t="shared" si="36"/>
        <v>2.5</v>
      </c>
      <c r="T345" s="132">
        <f t="shared" si="37"/>
        <v>2.5</v>
      </c>
      <c r="V345" s="131" t="str">
        <f t="shared" si="38"/>
        <v/>
      </c>
      <c r="W345" s="17"/>
      <c r="X345" s="7"/>
      <c r="Y345" s="161"/>
      <c r="Z345" s="7"/>
      <c r="AA345" s="117"/>
      <c r="AB345" s="117"/>
      <c r="AC345" s="117"/>
      <c r="CH345" s="2"/>
    </row>
    <row r="346" spans="1:86" x14ac:dyDescent="0.3">
      <c r="A346" s="2">
        <v>249</v>
      </c>
      <c r="B346" s="2" t="s">
        <v>84</v>
      </c>
      <c r="C346" s="2" t="s">
        <v>1</v>
      </c>
      <c r="D346" s="2" t="s">
        <v>711</v>
      </c>
      <c r="E346" s="2">
        <v>400</v>
      </c>
      <c r="F346" s="2">
        <v>5.7000000000000002E-2</v>
      </c>
      <c r="G346" s="2"/>
      <c r="H346" s="4">
        <f t="shared" si="33"/>
        <v>1</v>
      </c>
      <c r="I346" s="2" t="s">
        <v>82</v>
      </c>
      <c r="J346" s="2" t="s">
        <v>658</v>
      </c>
      <c r="K346" s="2"/>
      <c r="L346" s="2"/>
      <c r="M346" s="155"/>
      <c r="N346" s="155"/>
      <c r="O346" s="2">
        <v>2</v>
      </c>
      <c r="P346" s="6"/>
      <c r="Q346" s="131" t="str">
        <f t="shared" si="34"/>
        <v/>
      </c>
      <c r="R346" s="33" t="str">
        <f t="shared" si="35"/>
        <v/>
      </c>
      <c r="S346" s="132" t="str">
        <f t="shared" si="36"/>
        <v/>
      </c>
      <c r="T346" s="132" t="str">
        <f t="shared" si="37"/>
        <v/>
      </c>
      <c r="V346" s="131" t="str">
        <f t="shared" si="38"/>
        <v/>
      </c>
      <c r="W346" s="17"/>
      <c r="X346" s="7"/>
      <c r="Y346" s="161"/>
      <c r="Z346" s="7"/>
      <c r="AA346" s="117"/>
      <c r="AB346" s="117"/>
      <c r="AC346" s="117"/>
      <c r="CH346" s="2"/>
    </row>
    <row r="347" spans="1:86" x14ac:dyDescent="0.3">
      <c r="A347" s="2">
        <v>250</v>
      </c>
      <c r="B347" s="2" t="s">
        <v>84</v>
      </c>
      <c r="C347" s="2" t="s">
        <v>1</v>
      </c>
      <c r="D347" s="2" t="s">
        <v>712</v>
      </c>
      <c r="E347" s="2">
        <v>400</v>
      </c>
      <c r="F347" s="2">
        <v>5.7000000000000002E-2</v>
      </c>
      <c r="G347" s="2"/>
      <c r="H347" s="4">
        <f t="shared" si="33"/>
        <v>1</v>
      </c>
      <c r="I347" s="2" t="s">
        <v>82</v>
      </c>
      <c r="J347" s="2" t="s">
        <v>658</v>
      </c>
      <c r="K347" s="2"/>
      <c r="L347" s="2"/>
      <c r="M347" s="155"/>
      <c r="N347" s="155"/>
      <c r="O347" s="2">
        <v>2</v>
      </c>
      <c r="P347" s="6"/>
      <c r="Q347" s="131" t="str">
        <f t="shared" si="34"/>
        <v/>
      </c>
      <c r="R347" s="33" t="str">
        <f t="shared" si="35"/>
        <v/>
      </c>
      <c r="S347" s="132" t="str">
        <f t="shared" si="36"/>
        <v/>
      </c>
      <c r="T347" s="132" t="str">
        <f t="shared" si="37"/>
        <v/>
      </c>
      <c r="V347" s="131" t="str">
        <f t="shared" si="38"/>
        <v/>
      </c>
      <c r="W347" s="17"/>
      <c r="X347" s="7"/>
      <c r="Y347" s="161"/>
      <c r="Z347" s="7"/>
      <c r="AA347" s="117"/>
      <c r="AB347" s="117"/>
      <c r="AC347" s="117"/>
      <c r="CH347" s="2"/>
    </row>
    <row r="348" spans="1:86" x14ac:dyDescent="0.3">
      <c r="A348" s="2">
        <v>251</v>
      </c>
      <c r="B348" s="2" t="s">
        <v>0</v>
      </c>
      <c r="C348" s="2" t="s">
        <v>1</v>
      </c>
      <c r="D348" s="2" t="s">
        <v>713</v>
      </c>
      <c r="E348" s="2">
        <v>30</v>
      </c>
      <c r="F348" s="2">
        <v>0.32029999999999997</v>
      </c>
      <c r="G348" s="2">
        <v>0.24199999999999999</v>
      </c>
      <c r="H348" s="4">
        <f t="shared" si="33"/>
        <v>0.24445832032469555</v>
      </c>
      <c r="I348" s="2" t="s">
        <v>98</v>
      </c>
      <c r="J348" s="2" t="s">
        <v>624</v>
      </c>
      <c r="K348" s="2" t="s">
        <v>105</v>
      </c>
      <c r="L348" s="2" t="s">
        <v>76</v>
      </c>
      <c r="M348" s="155"/>
      <c r="N348" s="155"/>
      <c r="O348" s="2">
        <v>3</v>
      </c>
      <c r="P348" s="6">
        <v>20</v>
      </c>
      <c r="Q348" s="131">
        <f t="shared" si="34"/>
        <v>144</v>
      </c>
      <c r="R348" s="33">
        <f t="shared" si="35"/>
        <v>20</v>
      </c>
      <c r="S348" s="132">
        <f t="shared" si="36"/>
        <v>2.5</v>
      </c>
      <c r="T348" s="132">
        <f t="shared" si="37"/>
        <v>2.5</v>
      </c>
      <c r="V348" s="131" t="str">
        <f t="shared" si="38"/>
        <v/>
      </c>
      <c r="W348" s="17"/>
      <c r="X348" s="7"/>
      <c r="Y348" s="161"/>
      <c r="Z348" s="7"/>
      <c r="AA348" s="117"/>
      <c r="AB348" s="117"/>
      <c r="AC348" s="117"/>
      <c r="CH348" s="2"/>
    </row>
    <row r="349" spans="1:86" x14ac:dyDescent="0.3">
      <c r="A349" s="2">
        <v>253</v>
      </c>
      <c r="B349" s="2" t="s">
        <v>0</v>
      </c>
      <c r="C349" s="2" t="s">
        <v>1</v>
      </c>
      <c r="D349" s="2" t="s">
        <v>714</v>
      </c>
      <c r="E349" s="2">
        <v>60</v>
      </c>
      <c r="F349" s="2">
        <v>0.32340000000000002</v>
      </c>
      <c r="G349" s="2">
        <v>0.24199999999999999</v>
      </c>
      <c r="H349" s="4">
        <f t="shared" si="33"/>
        <v>0.2517006802721089</v>
      </c>
      <c r="I349" s="2" t="s">
        <v>98</v>
      </c>
      <c r="J349" s="2" t="s">
        <v>700</v>
      </c>
      <c r="K349" s="2"/>
      <c r="L349" s="2"/>
      <c r="M349" s="155"/>
      <c r="N349" s="155"/>
      <c r="O349" s="2">
        <v>3</v>
      </c>
      <c r="P349" s="6">
        <v>20</v>
      </c>
      <c r="Q349" s="131">
        <f t="shared" si="34"/>
        <v>72</v>
      </c>
      <c r="R349" s="33">
        <f t="shared" si="35"/>
        <v>20</v>
      </c>
      <c r="S349" s="132">
        <f t="shared" si="36"/>
        <v>2.5</v>
      </c>
      <c r="T349" s="132">
        <f t="shared" si="37"/>
        <v>2.5</v>
      </c>
      <c r="V349" s="131" t="str">
        <f t="shared" si="38"/>
        <v/>
      </c>
      <c r="W349" s="17"/>
      <c r="X349" s="7"/>
      <c r="Y349" s="161"/>
      <c r="Z349" s="7"/>
      <c r="AA349" s="117"/>
      <c r="AB349" s="117"/>
      <c r="AC349" s="117"/>
      <c r="CH349" s="2"/>
    </row>
    <row r="350" spans="1:86" x14ac:dyDescent="0.3">
      <c r="A350" s="2">
        <v>254</v>
      </c>
      <c r="B350" s="2" t="s">
        <v>0</v>
      </c>
      <c r="C350" s="2" t="s">
        <v>1</v>
      </c>
      <c r="D350" s="2" t="s">
        <v>715</v>
      </c>
      <c r="E350" s="2">
        <v>40</v>
      </c>
      <c r="F350" s="2">
        <v>0.32340000000000002</v>
      </c>
      <c r="G350" s="2">
        <v>0.24199999999999999</v>
      </c>
      <c r="H350" s="4">
        <f t="shared" si="33"/>
        <v>0.2517006802721089</v>
      </c>
      <c r="I350" s="2" t="s">
        <v>98</v>
      </c>
      <c r="J350" s="2" t="s">
        <v>624</v>
      </c>
      <c r="K350" s="2" t="s">
        <v>105</v>
      </c>
      <c r="L350" s="2" t="s">
        <v>76</v>
      </c>
      <c r="M350" s="155"/>
      <c r="N350" s="155"/>
      <c r="O350" s="2">
        <v>3</v>
      </c>
      <c r="P350" s="6">
        <v>20</v>
      </c>
      <c r="Q350" s="131">
        <f t="shared" si="34"/>
        <v>108</v>
      </c>
      <c r="R350" s="33">
        <f t="shared" si="35"/>
        <v>20</v>
      </c>
      <c r="S350" s="132">
        <f t="shared" si="36"/>
        <v>2.5</v>
      </c>
      <c r="T350" s="132">
        <f t="shared" si="37"/>
        <v>2.5</v>
      </c>
      <c r="V350" s="131" t="str">
        <f t="shared" si="38"/>
        <v/>
      </c>
      <c r="W350" s="17"/>
      <c r="X350" s="7"/>
      <c r="Y350" s="161"/>
      <c r="Z350" s="7"/>
      <c r="AA350" s="117"/>
      <c r="AB350" s="117"/>
      <c r="AC350" s="117"/>
      <c r="CH350" s="2"/>
    </row>
    <row r="351" spans="1:86" x14ac:dyDescent="0.3">
      <c r="A351" s="2">
        <v>255</v>
      </c>
      <c r="B351" s="2" t="s">
        <v>0</v>
      </c>
      <c r="C351" s="2" t="s">
        <v>1</v>
      </c>
      <c r="D351" s="2" t="s">
        <v>716</v>
      </c>
      <c r="E351" s="2">
        <v>40</v>
      </c>
      <c r="F351" s="2">
        <v>0.32340000000000002</v>
      </c>
      <c r="G351" s="2">
        <v>0.24199999999999999</v>
      </c>
      <c r="H351" s="4">
        <f t="shared" si="33"/>
        <v>0.2517006802721089</v>
      </c>
      <c r="I351" s="2" t="s">
        <v>98</v>
      </c>
      <c r="J351" s="2" t="s">
        <v>717</v>
      </c>
      <c r="K351" s="2" t="s">
        <v>105</v>
      </c>
      <c r="L351" s="2" t="s">
        <v>76</v>
      </c>
      <c r="M351" s="155"/>
      <c r="N351" s="155"/>
      <c r="O351" s="2">
        <v>3</v>
      </c>
      <c r="P351" s="6">
        <v>20</v>
      </c>
      <c r="Q351" s="131">
        <f t="shared" si="34"/>
        <v>108</v>
      </c>
      <c r="R351" s="33">
        <f t="shared" si="35"/>
        <v>20</v>
      </c>
      <c r="S351" s="132">
        <f t="shared" si="36"/>
        <v>2.5</v>
      </c>
      <c r="T351" s="132">
        <f t="shared" si="37"/>
        <v>2.5</v>
      </c>
      <c r="V351" s="131" t="str">
        <f t="shared" si="38"/>
        <v/>
      </c>
      <c r="W351" s="17"/>
      <c r="X351" s="7"/>
      <c r="Y351" s="161"/>
      <c r="Z351" s="7"/>
      <c r="AA351" s="117"/>
      <c r="AB351" s="117"/>
      <c r="AC351" s="117"/>
      <c r="CH351" s="2"/>
    </row>
    <row r="352" spans="1:86" x14ac:dyDescent="0.3">
      <c r="A352" s="2">
        <v>256</v>
      </c>
      <c r="B352" s="2" t="s">
        <v>0</v>
      </c>
      <c r="C352" s="2" t="s">
        <v>1</v>
      </c>
      <c r="D352" s="2" t="s">
        <v>718</v>
      </c>
      <c r="E352" s="2">
        <v>40</v>
      </c>
      <c r="F352" s="2">
        <v>0.32340000000000002</v>
      </c>
      <c r="G352" s="2">
        <v>0.24199999999999999</v>
      </c>
      <c r="H352" s="4">
        <f t="shared" si="33"/>
        <v>0.2517006802721089</v>
      </c>
      <c r="I352" s="2" t="s">
        <v>98</v>
      </c>
      <c r="J352" s="2" t="s">
        <v>624</v>
      </c>
      <c r="K352" s="2" t="s">
        <v>105</v>
      </c>
      <c r="L352" s="2" t="s">
        <v>76</v>
      </c>
      <c r="M352" s="155"/>
      <c r="N352" s="155"/>
      <c r="O352" s="2">
        <v>3</v>
      </c>
      <c r="P352" s="6">
        <v>20</v>
      </c>
      <c r="Q352" s="131">
        <f t="shared" si="34"/>
        <v>108</v>
      </c>
      <c r="R352" s="33">
        <f t="shared" si="35"/>
        <v>20</v>
      </c>
      <c r="S352" s="132">
        <f t="shared" si="36"/>
        <v>2.5</v>
      </c>
      <c r="T352" s="132">
        <f t="shared" si="37"/>
        <v>2.5</v>
      </c>
      <c r="V352" s="131" t="str">
        <f t="shared" si="38"/>
        <v/>
      </c>
      <c r="W352" s="17"/>
      <c r="X352" s="7"/>
      <c r="Y352" s="161"/>
      <c r="Z352" s="7"/>
      <c r="AA352" s="117"/>
      <c r="AB352" s="117"/>
      <c r="AC352" s="117"/>
      <c r="CH352" s="2"/>
    </row>
    <row r="353" spans="1:88" x14ac:dyDescent="0.3">
      <c r="A353" s="2">
        <v>257</v>
      </c>
      <c r="B353" s="2" t="s">
        <v>0</v>
      </c>
      <c r="C353" s="2" t="s">
        <v>1</v>
      </c>
      <c r="D353" s="2" t="s">
        <v>719</v>
      </c>
      <c r="E353" s="2">
        <v>50</v>
      </c>
      <c r="F353" s="2">
        <v>0.32340000000000002</v>
      </c>
      <c r="G353" s="2">
        <v>0.24199999999999999</v>
      </c>
      <c r="H353" s="4">
        <f t="shared" si="33"/>
        <v>0.2517006802721089</v>
      </c>
      <c r="I353" s="2" t="s">
        <v>98</v>
      </c>
      <c r="J353" s="2" t="s">
        <v>624</v>
      </c>
      <c r="K353" s="2" t="s">
        <v>105</v>
      </c>
      <c r="L353" s="2" t="s">
        <v>76</v>
      </c>
      <c r="M353" s="155"/>
      <c r="N353" s="155"/>
      <c r="O353" s="2">
        <v>3</v>
      </c>
      <c r="P353" s="6">
        <v>20</v>
      </c>
      <c r="Q353" s="131">
        <f t="shared" si="34"/>
        <v>86.4</v>
      </c>
      <c r="R353" s="33">
        <f t="shared" si="35"/>
        <v>20</v>
      </c>
      <c r="S353" s="132">
        <f t="shared" si="36"/>
        <v>2.5</v>
      </c>
      <c r="T353" s="132">
        <f t="shared" si="37"/>
        <v>2.5</v>
      </c>
      <c r="V353" s="131" t="str">
        <f t="shared" si="38"/>
        <v/>
      </c>
      <c r="W353" s="17"/>
      <c r="X353" s="7"/>
      <c r="Y353" s="161"/>
      <c r="Z353" s="7"/>
      <c r="AA353" s="117"/>
      <c r="AB353" s="117"/>
      <c r="AC353" s="117"/>
      <c r="CH353" s="2"/>
    </row>
    <row r="354" spans="1:88" x14ac:dyDescent="0.3">
      <c r="A354" s="23">
        <v>258</v>
      </c>
      <c r="B354" s="2" t="s">
        <v>0</v>
      </c>
      <c r="C354" s="2" t="s">
        <v>1</v>
      </c>
      <c r="D354" s="2" t="s">
        <v>720</v>
      </c>
      <c r="E354" s="2">
        <v>1200</v>
      </c>
      <c r="F354" s="2">
        <v>1.09E-2</v>
      </c>
      <c r="G354" s="2">
        <v>8.0000000000000002E-3</v>
      </c>
      <c r="H354" s="4">
        <f t="shared" si="33"/>
        <v>0.26605504587155959</v>
      </c>
      <c r="I354" s="2" t="s">
        <v>98</v>
      </c>
      <c r="J354" s="2" t="s">
        <v>721</v>
      </c>
      <c r="K354" s="2" t="s">
        <v>5</v>
      </c>
      <c r="L354" s="2" t="s">
        <v>6</v>
      </c>
      <c r="M354" s="155"/>
      <c r="N354" s="155"/>
      <c r="O354" s="2">
        <v>20</v>
      </c>
      <c r="P354" s="6">
        <v>20</v>
      </c>
      <c r="Q354" s="131">
        <f t="shared" si="34"/>
        <v>24</v>
      </c>
      <c r="R354" s="33">
        <f t="shared" si="35"/>
        <v>20</v>
      </c>
      <c r="S354" s="132">
        <f t="shared" si="36"/>
        <v>2.5</v>
      </c>
      <c r="T354" s="132">
        <f t="shared" si="37"/>
        <v>2.5</v>
      </c>
      <c r="V354" s="131">
        <f t="shared" si="38"/>
        <v>16.979129819596746</v>
      </c>
      <c r="W354" s="17">
        <v>28.27</v>
      </c>
      <c r="X354" s="8">
        <f>60*60*8/W354</f>
        <v>1018.7477891758048</v>
      </c>
      <c r="Y354" s="161">
        <v>45362</v>
      </c>
      <c r="Z354" s="7" t="s">
        <v>7</v>
      </c>
      <c r="AA354" s="117"/>
      <c r="AB354" s="117"/>
      <c r="AC354" s="117"/>
      <c r="AD354" s="22">
        <v>45527</v>
      </c>
      <c r="AE354">
        <v>8</v>
      </c>
      <c r="AF354">
        <v>3.2</v>
      </c>
      <c r="AG354">
        <v>1.8</v>
      </c>
      <c r="AI354">
        <v>0.1</v>
      </c>
      <c r="AJ354">
        <v>0.1</v>
      </c>
      <c r="AK354">
        <v>7</v>
      </c>
      <c r="AL354">
        <v>6.5</v>
      </c>
      <c r="AN354">
        <v>10</v>
      </c>
      <c r="AS354">
        <v>28.27</v>
      </c>
      <c r="AT354">
        <v>6.5</v>
      </c>
      <c r="AU354">
        <v>16</v>
      </c>
      <c r="AV354">
        <v>129</v>
      </c>
      <c r="AW354">
        <v>139</v>
      </c>
      <c r="AX354">
        <v>12</v>
      </c>
      <c r="AY354">
        <v>24</v>
      </c>
      <c r="AZ354">
        <v>101</v>
      </c>
      <c r="BA354">
        <v>112</v>
      </c>
      <c r="BB354">
        <v>420</v>
      </c>
      <c r="CH354" s="2"/>
    </row>
    <row r="355" spans="1:88" x14ac:dyDescent="0.3">
      <c r="A355" s="2">
        <v>259</v>
      </c>
      <c r="B355" s="2" t="s">
        <v>0</v>
      </c>
      <c r="C355" s="2" t="s">
        <v>1</v>
      </c>
      <c r="D355" s="2" t="s">
        <v>722</v>
      </c>
      <c r="E355" s="2">
        <v>40</v>
      </c>
      <c r="F355" s="2">
        <v>0.32029999999999997</v>
      </c>
      <c r="G355" s="2">
        <v>0.24199999999999999</v>
      </c>
      <c r="H355" s="4">
        <f t="shared" si="33"/>
        <v>0.24445832032469555</v>
      </c>
      <c r="I355" s="2" t="s">
        <v>98</v>
      </c>
      <c r="J355" s="2" t="s">
        <v>624</v>
      </c>
      <c r="K355" s="2" t="s">
        <v>105</v>
      </c>
      <c r="L355" s="2" t="s">
        <v>76</v>
      </c>
      <c r="M355" s="155"/>
      <c r="N355" s="155"/>
      <c r="O355" s="2">
        <v>3</v>
      </c>
      <c r="P355" s="6">
        <v>20</v>
      </c>
      <c r="Q355" s="131">
        <f t="shared" si="34"/>
        <v>108</v>
      </c>
      <c r="R355" s="33">
        <f t="shared" si="35"/>
        <v>20</v>
      </c>
      <c r="S355" s="132">
        <f t="shared" si="36"/>
        <v>2.5</v>
      </c>
      <c r="T355" s="132">
        <f t="shared" si="37"/>
        <v>2.5</v>
      </c>
      <c r="V355" s="131" t="str">
        <f t="shared" si="38"/>
        <v/>
      </c>
      <c r="W355" s="17"/>
      <c r="X355" s="7"/>
      <c r="Y355" s="161"/>
      <c r="Z355" s="7"/>
      <c r="AA355" s="117"/>
      <c r="AB355" s="117"/>
      <c r="AC355" s="117"/>
      <c r="CH355" s="2"/>
    </row>
    <row r="356" spans="1:88" x14ac:dyDescent="0.3">
      <c r="A356" s="2">
        <v>260</v>
      </c>
      <c r="B356" s="2" t="s">
        <v>0</v>
      </c>
      <c r="C356" s="2" t="s">
        <v>1</v>
      </c>
      <c r="D356" s="2" t="s">
        <v>723</v>
      </c>
      <c r="E356" s="2">
        <v>40</v>
      </c>
      <c r="F356" s="2">
        <v>0.31719999999999998</v>
      </c>
      <c r="G356" s="2">
        <v>0.24199999999999999</v>
      </c>
      <c r="H356" s="4">
        <f t="shared" si="33"/>
        <v>0.23707440100882721</v>
      </c>
      <c r="I356" s="2" t="s">
        <v>98</v>
      </c>
      <c r="J356" s="2" t="s">
        <v>624</v>
      </c>
      <c r="K356" s="2" t="s">
        <v>105</v>
      </c>
      <c r="L356" s="2" t="s">
        <v>76</v>
      </c>
      <c r="M356" s="155"/>
      <c r="N356" s="155"/>
      <c r="O356" s="2">
        <v>3</v>
      </c>
      <c r="P356" s="6">
        <v>20</v>
      </c>
      <c r="Q356" s="131">
        <f t="shared" si="34"/>
        <v>108</v>
      </c>
      <c r="R356" s="33">
        <f t="shared" si="35"/>
        <v>20</v>
      </c>
      <c r="S356" s="132">
        <f t="shared" si="36"/>
        <v>2.5</v>
      </c>
      <c r="T356" s="132">
        <f t="shared" si="37"/>
        <v>2.5</v>
      </c>
      <c r="V356" s="131" t="str">
        <f t="shared" si="38"/>
        <v/>
      </c>
      <c r="W356" s="17"/>
      <c r="X356" s="7"/>
      <c r="Y356" s="161"/>
      <c r="Z356" s="7"/>
      <c r="AA356" s="117"/>
      <c r="AB356" s="117"/>
      <c r="AC356" s="117"/>
      <c r="CH356" s="2"/>
    </row>
    <row r="357" spans="1:88" x14ac:dyDescent="0.3">
      <c r="A357" s="2">
        <v>261</v>
      </c>
      <c r="B357" s="2" t="s">
        <v>0</v>
      </c>
      <c r="C357" s="2" t="s">
        <v>1</v>
      </c>
      <c r="D357" s="2" t="s">
        <v>724</v>
      </c>
      <c r="E357" s="2">
        <v>45</v>
      </c>
      <c r="F357" s="2">
        <v>0.32029999999999997</v>
      </c>
      <c r="G357" s="2">
        <v>0.24199999999999999</v>
      </c>
      <c r="H357" s="4">
        <f t="shared" si="33"/>
        <v>0.24445832032469555</v>
      </c>
      <c r="I357" s="2" t="s">
        <v>98</v>
      </c>
      <c r="J357" s="2" t="s">
        <v>624</v>
      </c>
      <c r="K357" s="2" t="s">
        <v>105</v>
      </c>
      <c r="L357" s="2" t="s">
        <v>76</v>
      </c>
      <c r="M357" s="155"/>
      <c r="N357" s="155"/>
      <c r="O357" s="2">
        <v>3</v>
      </c>
      <c r="P357" s="6">
        <v>20</v>
      </c>
      <c r="Q357" s="131">
        <f t="shared" si="34"/>
        <v>96</v>
      </c>
      <c r="R357" s="33">
        <f t="shared" si="35"/>
        <v>20</v>
      </c>
      <c r="S357" s="132">
        <f t="shared" si="36"/>
        <v>2.5</v>
      </c>
      <c r="T357" s="132">
        <f t="shared" si="37"/>
        <v>2.5</v>
      </c>
      <c r="V357" s="131" t="str">
        <f t="shared" si="38"/>
        <v/>
      </c>
      <c r="W357" s="17"/>
      <c r="X357" s="7"/>
      <c r="Y357" s="161"/>
      <c r="Z357" s="7"/>
      <c r="AA357" s="117"/>
      <c r="AB357" s="117"/>
      <c r="AC357" s="117"/>
      <c r="CH357" s="2"/>
    </row>
    <row r="358" spans="1:88" x14ac:dyDescent="0.3">
      <c r="A358" s="2">
        <v>262</v>
      </c>
      <c r="B358" s="2" t="s">
        <v>0</v>
      </c>
      <c r="C358" s="2" t="s">
        <v>1</v>
      </c>
      <c r="D358" s="2" t="s">
        <v>725</v>
      </c>
      <c r="E358" s="2">
        <v>40</v>
      </c>
      <c r="F358" s="2">
        <v>0.31719999999999998</v>
      </c>
      <c r="G358" s="2">
        <v>0.24199999999999999</v>
      </c>
      <c r="H358" s="4">
        <f t="shared" si="33"/>
        <v>0.23707440100882721</v>
      </c>
      <c r="I358" s="2" t="s">
        <v>98</v>
      </c>
      <c r="J358" s="2" t="s">
        <v>624</v>
      </c>
      <c r="K358" s="2" t="s">
        <v>105</v>
      </c>
      <c r="L358" s="2" t="s">
        <v>76</v>
      </c>
      <c r="M358" s="155"/>
      <c r="N358" s="155"/>
      <c r="O358" s="2">
        <v>3</v>
      </c>
      <c r="P358" s="6">
        <v>20</v>
      </c>
      <c r="Q358" s="131">
        <f t="shared" si="34"/>
        <v>108</v>
      </c>
      <c r="R358" s="33">
        <f t="shared" si="35"/>
        <v>20</v>
      </c>
      <c r="S358" s="132">
        <f t="shared" si="36"/>
        <v>2.5</v>
      </c>
      <c r="T358" s="132">
        <f t="shared" si="37"/>
        <v>2.5</v>
      </c>
      <c r="V358" s="131" t="str">
        <f t="shared" si="38"/>
        <v/>
      </c>
      <c r="W358" s="17"/>
      <c r="X358" s="7"/>
      <c r="Y358" s="161"/>
      <c r="Z358" s="7"/>
      <c r="AA358" s="117"/>
      <c r="AB358" s="117"/>
      <c r="AC358" s="117"/>
      <c r="CH358" s="2"/>
    </row>
    <row r="359" spans="1:88" x14ac:dyDescent="0.3">
      <c r="A359" s="2">
        <v>263</v>
      </c>
      <c r="B359" s="2" t="s">
        <v>0</v>
      </c>
      <c r="C359" s="2" t="s">
        <v>1</v>
      </c>
      <c r="D359" s="2" t="s">
        <v>726</v>
      </c>
      <c r="E359" s="2">
        <v>40</v>
      </c>
      <c r="F359" s="2">
        <v>0.31719999999999998</v>
      </c>
      <c r="G359" s="2">
        <v>0.24199999999999999</v>
      </c>
      <c r="H359" s="4">
        <f t="shared" si="33"/>
        <v>0.23707440100882721</v>
      </c>
      <c r="I359" s="2" t="s">
        <v>98</v>
      </c>
      <c r="J359" s="2" t="s">
        <v>624</v>
      </c>
      <c r="K359" s="2" t="s">
        <v>105</v>
      </c>
      <c r="L359" s="2" t="s">
        <v>76</v>
      </c>
      <c r="M359" s="155"/>
      <c r="N359" s="155"/>
      <c r="O359" s="2">
        <v>3</v>
      </c>
      <c r="P359" s="6">
        <v>20</v>
      </c>
      <c r="Q359" s="131">
        <f t="shared" si="34"/>
        <v>108</v>
      </c>
      <c r="R359" s="33">
        <f t="shared" si="35"/>
        <v>20</v>
      </c>
      <c r="S359" s="132">
        <f t="shared" si="36"/>
        <v>2.5</v>
      </c>
      <c r="T359" s="132">
        <f t="shared" si="37"/>
        <v>2.5</v>
      </c>
      <c r="V359" s="131" t="str">
        <f t="shared" si="38"/>
        <v/>
      </c>
      <c r="W359" s="17"/>
      <c r="X359" s="7"/>
      <c r="Y359" s="161"/>
      <c r="Z359" s="7"/>
      <c r="AA359" s="117"/>
      <c r="AB359" s="117"/>
      <c r="AC359" s="117"/>
      <c r="CH359" s="2"/>
    </row>
    <row r="360" spans="1:88" x14ac:dyDescent="0.3">
      <c r="A360" s="2">
        <v>264</v>
      </c>
      <c r="B360" s="2" t="s">
        <v>0</v>
      </c>
      <c r="C360" s="2" t="s">
        <v>1</v>
      </c>
      <c r="D360" s="2" t="s">
        <v>727</v>
      </c>
      <c r="E360" s="2">
        <v>50</v>
      </c>
      <c r="F360" s="2">
        <v>0.32340000000000002</v>
      </c>
      <c r="G360" s="2">
        <v>0.24199999999999999</v>
      </c>
      <c r="H360" s="4">
        <f t="shared" si="33"/>
        <v>0.2517006802721089</v>
      </c>
      <c r="I360" s="2" t="s">
        <v>98</v>
      </c>
      <c r="J360" s="2" t="s">
        <v>624</v>
      </c>
      <c r="K360" s="2" t="s">
        <v>105</v>
      </c>
      <c r="L360" s="2" t="s">
        <v>76</v>
      </c>
      <c r="M360" s="155"/>
      <c r="N360" s="155"/>
      <c r="O360" s="2">
        <v>3</v>
      </c>
      <c r="P360" s="6">
        <v>20</v>
      </c>
      <c r="Q360" s="131">
        <f t="shared" si="34"/>
        <v>86.4</v>
      </c>
      <c r="R360" s="33">
        <f t="shared" si="35"/>
        <v>20</v>
      </c>
      <c r="S360" s="132">
        <f t="shared" si="36"/>
        <v>2.5</v>
      </c>
      <c r="T360" s="132">
        <f t="shared" si="37"/>
        <v>2.5</v>
      </c>
      <c r="V360" s="131" t="str">
        <f t="shared" si="38"/>
        <v/>
      </c>
      <c r="W360" s="17"/>
      <c r="X360" s="7"/>
      <c r="Y360" s="161"/>
      <c r="Z360" s="7"/>
      <c r="AA360" s="117"/>
      <c r="AB360" s="117"/>
      <c r="AC360" s="117"/>
      <c r="CH360" s="2"/>
    </row>
    <row r="361" spans="1:88" x14ac:dyDescent="0.3">
      <c r="A361" s="2">
        <v>265</v>
      </c>
      <c r="B361" s="2" t="s">
        <v>0</v>
      </c>
      <c r="C361" s="2" t="s">
        <v>1</v>
      </c>
      <c r="D361" s="2" t="s">
        <v>728</v>
      </c>
      <c r="E361" s="2">
        <v>40</v>
      </c>
      <c r="F361" s="2">
        <v>0.32340000000000002</v>
      </c>
      <c r="G361" s="2">
        <v>0.24199999999999999</v>
      </c>
      <c r="H361" s="4">
        <f t="shared" si="33"/>
        <v>0.2517006802721089</v>
      </c>
      <c r="I361" s="2" t="s">
        <v>98</v>
      </c>
      <c r="J361" s="2" t="s">
        <v>624</v>
      </c>
      <c r="K361" s="2" t="s">
        <v>105</v>
      </c>
      <c r="L361" s="2" t="s">
        <v>76</v>
      </c>
      <c r="M361" s="155"/>
      <c r="N361" s="155"/>
      <c r="O361" s="2">
        <v>3</v>
      </c>
      <c r="P361" s="6">
        <v>20</v>
      </c>
      <c r="Q361" s="131">
        <f t="shared" si="34"/>
        <v>108</v>
      </c>
      <c r="R361" s="33">
        <f t="shared" si="35"/>
        <v>20</v>
      </c>
      <c r="S361" s="132">
        <f t="shared" si="36"/>
        <v>2.5</v>
      </c>
      <c r="T361" s="132">
        <f t="shared" si="37"/>
        <v>2.5</v>
      </c>
      <c r="V361" s="131" t="str">
        <f t="shared" si="38"/>
        <v/>
      </c>
      <c r="W361" s="17"/>
      <c r="X361" s="7"/>
      <c r="Y361" s="161"/>
      <c r="Z361" s="7"/>
      <c r="AA361" s="117"/>
      <c r="AB361" s="117"/>
      <c r="AC361" s="117"/>
      <c r="CH361" s="2"/>
    </row>
    <row r="362" spans="1:88" x14ac:dyDescent="0.3">
      <c r="A362" s="2">
        <v>266</v>
      </c>
      <c r="B362" s="2" t="s">
        <v>0</v>
      </c>
      <c r="C362" s="2" t="s">
        <v>1</v>
      </c>
      <c r="D362" s="2" t="s">
        <v>729</v>
      </c>
      <c r="E362" s="2">
        <v>45</v>
      </c>
      <c r="F362" s="2">
        <v>0.32340000000000002</v>
      </c>
      <c r="G362" s="2">
        <v>0.24199999999999999</v>
      </c>
      <c r="H362" s="4">
        <f t="shared" si="33"/>
        <v>0.2517006802721089</v>
      </c>
      <c r="I362" s="2" t="s">
        <v>98</v>
      </c>
      <c r="J362" s="2" t="s">
        <v>730</v>
      </c>
      <c r="K362" s="2" t="s">
        <v>105</v>
      </c>
      <c r="L362" s="2" t="s">
        <v>76</v>
      </c>
      <c r="M362" s="155"/>
      <c r="N362" s="155"/>
      <c r="O362" s="2">
        <v>3</v>
      </c>
      <c r="P362" s="6">
        <v>20</v>
      </c>
      <c r="Q362" s="131">
        <f t="shared" si="34"/>
        <v>96</v>
      </c>
      <c r="R362" s="33">
        <f t="shared" si="35"/>
        <v>20</v>
      </c>
      <c r="S362" s="132">
        <f t="shared" si="36"/>
        <v>2.5</v>
      </c>
      <c r="T362" s="132">
        <f t="shared" si="37"/>
        <v>2.5</v>
      </c>
      <c r="V362" s="131" t="str">
        <f t="shared" si="38"/>
        <v/>
      </c>
      <c r="W362" s="17"/>
      <c r="X362" s="7"/>
      <c r="Y362" s="161"/>
      <c r="Z362" s="7"/>
      <c r="AA362" s="117"/>
      <c r="AB362" s="117"/>
      <c r="AC362" s="117"/>
      <c r="CH362" s="2"/>
    </row>
    <row r="363" spans="1:88" x14ac:dyDescent="0.3">
      <c r="A363" s="2">
        <v>267</v>
      </c>
      <c r="B363" s="2" t="s">
        <v>0</v>
      </c>
      <c r="C363" s="2" t="s">
        <v>1</v>
      </c>
      <c r="D363" s="2" t="s">
        <v>731</v>
      </c>
      <c r="E363" s="2">
        <v>40</v>
      </c>
      <c r="F363" s="2">
        <v>0.32340000000000002</v>
      </c>
      <c r="G363" s="2">
        <v>0.24199999999999999</v>
      </c>
      <c r="H363" s="4">
        <f t="shared" si="33"/>
        <v>0.2517006802721089</v>
      </c>
      <c r="I363" s="2" t="s">
        <v>98</v>
      </c>
      <c r="J363" s="2" t="s">
        <v>624</v>
      </c>
      <c r="K363" s="2" t="s">
        <v>105</v>
      </c>
      <c r="L363" s="2" t="s">
        <v>76</v>
      </c>
      <c r="M363" s="155"/>
      <c r="N363" s="155"/>
      <c r="O363" s="2">
        <v>3</v>
      </c>
      <c r="P363" s="6">
        <v>20</v>
      </c>
      <c r="Q363" s="131">
        <f t="shared" si="34"/>
        <v>108</v>
      </c>
      <c r="R363" s="33">
        <f t="shared" si="35"/>
        <v>20</v>
      </c>
      <c r="S363" s="132">
        <f t="shared" si="36"/>
        <v>2.5</v>
      </c>
      <c r="T363" s="132">
        <f t="shared" si="37"/>
        <v>2.5</v>
      </c>
      <c r="V363" s="131" t="str">
        <f t="shared" si="38"/>
        <v/>
      </c>
      <c r="W363" s="17"/>
      <c r="X363" s="7"/>
      <c r="Y363" s="161"/>
      <c r="Z363" s="7"/>
      <c r="AA363" s="117"/>
      <c r="AB363" s="117"/>
      <c r="AC363" s="117"/>
      <c r="CH363" s="2"/>
    </row>
    <row r="364" spans="1:88" x14ac:dyDescent="0.3">
      <c r="A364" s="23">
        <v>269</v>
      </c>
      <c r="B364" s="2" t="s">
        <v>0</v>
      </c>
      <c r="C364" s="2" t="s">
        <v>1</v>
      </c>
      <c r="D364" s="2" t="s">
        <v>732</v>
      </c>
      <c r="E364" s="2">
        <v>330</v>
      </c>
      <c r="F364" s="2">
        <v>3.61E-2</v>
      </c>
      <c r="G364" s="2">
        <v>2.3199999999999998E-2</v>
      </c>
      <c r="H364" s="4">
        <f t="shared" si="33"/>
        <v>0.35734072022160668</v>
      </c>
      <c r="I364" s="2" t="s">
        <v>82</v>
      </c>
      <c r="J364" s="2" t="s">
        <v>598</v>
      </c>
      <c r="K364" s="2" t="s">
        <v>105</v>
      </c>
      <c r="L364" s="2" t="s">
        <v>76</v>
      </c>
      <c r="M364" s="155"/>
      <c r="N364" s="155"/>
      <c r="O364" s="2">
        <v>3</v>
      </c>
      <c r="P364" s="6">
        <v>15</v>
      </c>
      <c r="Q364" s="131">
        <f t="shared" si="34"/>
        <v>17.454545454545453</v>
      </c>
      <c r="R364" s="33">
        <f t="shared" si="35"/>
        <v>15</v>
      </c>
      <c r="S364" s="132">
        <f t="shared" si="36"/>
        <v>1.875</v>
      </c>
      <c r="T364" s="132">
        <f t="shared" si="37"/>
        <v>1.875</v>
      </c>
      <c r="V364" s="131">
        <f t="shared" si="38"/>
        <v>7.6316256687609467</v>
      </c>
      <c r="W364" s="134">
        <v>34.307000000000002</v>
      </c>
      <c r="X364" s="8">
        <f>60*60*8/W364</f>
        <v>839.47882356370417</v>
      </c>
      <c r="Y364" s="161">
        <v>45344</v>
      </c>
      <c r="Z364" s="7" t="s">
        <v>7</v>
      </c>
      <c r="AA364" s="117"/>
      <c r="AB364" s="117"/>
      <c r="AC364" s="117"/>
      <c r="AD364" s="24">
        <v>45496</v>
      </c>
      <c r="AE364">
        <v>6</v>
      </c>
      <c r="AF364">
        <v>6.4</v>
      </c>
      <c r="AG364">
        <v>1.8</v>
      </c>
      <c r="AJ364">
        <v>0.5</v>
      </c>
      <c r="AK364">
        <v>8</v>
      </c>
      <c r="AL364">
        <v>7.5</v>
      </c>
      <c r="AN364">
        <v>13</v>
      </c>
      <c r="AO364">
        <v>1.7</v>
      </c>
      <c r="AP364">
        <v>0.8</v>
      </c>
      <c r="AS364" s="29">
        <v>34.31</v>
      </c>
      <c r="AT364">
        <v>9</v>
      </c>
      <c r="AU364">
        <v>24</v>
      </c>
      <c r="AV364">
        <v>54</v>
      </c>
      <c r="AW364">
        <v>63</v>
      </c>
      <c r="AX364">
        <v>18</v>
      </c>
      <c r="AY364">
        <v>41</v>
      </c>
      <c r="AZ364">
        <v>81</v>
      </c>
      <c r="BA364">
        <v>113</v>
      </c>
      <c r="BB364">
        <v>350</v>
      </c>
      <c r="CH364" s="2"/>
    </row>
    <row r="365" spans="1:88" x14ac:dyDescent="0.3">
      <c r="A365" s="2">
        <v>271</v>
      </c>
      <c r="B365" s="2" t="s">
        <v>0</v>
      </c>
      <c r="C365" s="2" t="s">
        <v>1</v>
      </c>
      <c r="D365" s="2" t="s">
        <v>733</v>
      </c>
      <c r="E365" s="2">
        <v>450</v>
      </c>
      <c r="F365" s="2">
        <v>3.5200000000000002E-2</v>
      </c>
      <c r="G365" s="2">
        <v>2.1499999999999998E-2</v>
      </c>
      <c r="H365" s="4">
        <f t="shared" si="33"/>
        <v>0.38920454545454553</v>
      </c>
      <c r="I365" s="2" t="s">
        <v>98</v>
      </c>
      <c r="J365" s="2" t="s">
        <v>734</v>
      </c>
      <c r="K365" s="2" t="s">
        <v>413</v>
      </c>
      <c r="L365" s="2" t="s">
        <v>76</v>
      </c>
      <c r="M365" s="155"/>
      <c r="N365" s="155"/>
      <c r="O365" s="2">
        <v>15</v>
      </c>
      <c r="P365" s="6">
        <v>15</v>
      </c>
      <c r="Q365" s="131">
        <f t="shared" si="34"/>
        <v>64</v>
      </c>
      <c r="R365" s="33">
        <f t="shared" si="35"/>
        <v>15</v>
      </c>
      <c r="S365" s="132">
        <f t="shared" si="36"/>
        <v>1.875</v>
      </c>
      <c r="T365" s="132">
        <f t="shared" si="37"/>
        <v>1.875</v>
      </c>
      <c r="V365" s="131" t="str">
        <f t="shared" si="38"/>
        <v/>
      </c>
      <c r="W365" s="17"/>
      <c r="X365" s="7"/>
      <c r="Y365" s="161"/>
      <c r="Z365" s="7"/>
      <c r="AA365" s="117"/>
      <c r="AB365" s="117"/>
      <c r="AC365" s="117"/>
      <c r="CH365" s="2"/>
    </row>
    <row r="366" spans="1:88" x14ac:dyDescent="0.3">
      <c r="A366" s="2">
        <v>273</v>
      </c>
      <c r="B366" s="2" t="s">
        <v>0</v>
      </c>
      <c r="C366" s="2" t="s">
        <v>1</v>
      </c>
      <c r="D366" s="2" t="s">
        <v>735</v>
      </c>
      <c r="E366" s="2">
        <v>300</v>
      </c>
      <c r="F366" s="2">
        <v>6.3600000000000004E-2</v>
      </c>
      <c r="G366" s="2">
        <v>4.7E-2</v>
      </c>
      <c r="H366" s="4">
        <f t="shared" si="33"/>
        <v>0.26100628930817615</v>
      </c>
      <c r="I366" s="2" t="s">
        <v>98</v>
      </c>
      <c r="J366" s="2" t="s">
        <v>736</v>
      </c>
      <c r="K366" s="2" t="s">
        <v>5</v>
      </c>
      <c r="L366" s="2" t="s">
        <v>6</v>
      </c>
      <c r="M366" s="155"/>
      <c r="N366" s="155"/>
      <c r="O366" s="2">
        <v>4</v>
      </c>
      <c r="P366" s="6">
        <v>18</v>
      </c>
      <c r="Q366" s="131">
        <f t="shared" si="34"/>
        <v>21.333333333333332</v>
      </c>
      <c r="R366" s="33">
        <f t="shared" si="35"/>
        <v>18</v>
      </c>
      <c r="S366" s="132">
        <f t="shared" si="36"/>
        <v>2.25</v>
      </c>
      <c r="T366" s="132">
        <f t="shared" si="37"/>
        <v>2.25</v>
      </c>
      <c r="V366" s="131" t="str">
        <f t="shared" si="38"/>
        <v/>
      </c>
      <c r="W366" s="17"/>
      <c r="X366" s="7"/>
      <c r="Y366" s="161"/>
      <c r="Z366" s="7"/>
      <c r="AA366" s="117"/>
      <c r="AB366" s="117"/>
      <c r="AC366" s="117"/>
      <c r="CH366" s="2"/>
      <c r="CI366">
        <v>300</v>
      </c>
      <c r="CJ366">
        <v>18</v>
      </c>
    </row>
    <row r="367" spans="1:88" x14ac:dyDescent="0.3">
      <c r="A367" s="2">
        <v>277</v>
      </c>
      <c r="B367" s="2" t="s">
        <v>84</v>
      </c>
      <c r="C367" s="2" t="s">
        <v>1</v>
      </c>
      <c r="D367" s="2" t="s">
        <v>737</v>
      </c>
      <c r="E367" s="2">
        <v>1100</v>
      </c>
      <c r="F367" s="2">
        <v>5.1000000000000004E-3</v>
      </c>
      <c r="G367" s="2">
        <v>3.5999999999999999E-3</v>
      </c>
      <c r="H367" s="4">
        <f t="shared" si="33"/>
        <v>0.29411764705882359</v>
      </c>
      <c r="I367" s="2" t="s">
        <v>98</v>
      </c>
      <c r="J367" s="2" t="s">
        <v>499</v>
      </c>
      <c r="K367" s="2" t="s">
        <v>5</v>
      </c>
      <c r="L367" s="2" t="s">
        <v>6</v>
      </c>
      <c r="M367" s="155"/>
      <c r="N367" s="155"/>
      <c r="O367" s="2">
        <v>40</v>
      </c>
      <c r="P367" s="6">
        <v>11</v>
      </c>
      <c r="Q367" s="131">
        <f t="shared" si="34"/>
        <v>95.206611570247929</v>
      </c>
      <c r="R367" s="33">
        <f t="shared" si="35"/>
        <v>11</v>
      </c>
      <c r="S367" s="132">
        <f t="shared" si="36"/>
        <v>1.375</v>
      </c>
      <c r="T367" s="132">
        <f t="shared" si="37"/>
        <v>1.375</v>
      </c>
      <c r="V367" s="131" t="str">
        <f t="shared" si="38"/>
        <v/>
      </c>
      <c r="W367" s="17"/>
      <c r="X367" s="7"/>
      <c r="Y367" s="161"/>
      <c r="Z367" s="7"/>
      <c r="AA367" s="117"/>
      <c r="AB367" s="117"/>
      <c r="AC367" s="117"/>
      <c r="CH367" s="2"/>
    </row>
    <row r="368" spans="1:88" x14ac:dyDescent="0.3">
      <c r="A368" s="2">
        <v>278</v>
      </c>
      <c r="B368" s="2" t="s">
        <v>84</v>
      </c>
      <c r="C368" s="2" t="s">
        <v>1</v>
      </c>
      <c r="D368" s="2" t="s">
        <v>738</v>
      </c>
      <c r="E368" s="2">
        <v>1100</v>
      </c>
      <c r="F368" s="2">
        <v>7.1999999999999998E-3</v>
      </c>
      <c r="G368" s="2">
        <v>3.5999999999999999E-3</v>
      </c>
      <c r="H368" s="4">
        <f t="shared" si="33"/>
        <v>0.5</v>
      </c>
      <c r="I368" s="2" t="s">
        <v>82</v>
      </c>
      <c r="J368" s="2" t="s">
        <v>739</v>
      </c>
      <c r="K368" s="2" t="s">
        <v>5</v>
      </c>
      <c r="L368" s="2" t="s">
        <v>6</v>
      </c>
      <c r="M368" s="155"/>
      <c r="N368" s="155"/>
      <c r="O368" s="2">
        <v>15</v>
      </c>
      <c r="P368" s="6"/>
      <c r="Q368" s="131" t="str">
        <f t="shared" si="34"/>
        <v/>
      </c>
      <c r="R368" s="33" t="str">
        <f t="shared" si="35"/>
        <v/>
      </c>
      <c r="S368" s="132" t="str">
        <f t="shared" si="36"/>
        <v/>
      </c>
      <c r="T368" s="132" t="str">
        <f t="shared" si="37"/>
        <v/>
      </c>
      <c r="V368" s="131" t="str">
        <f t="shared" si="38"/>
        <v/>
      </c>
      <c r="W368" s="17"/>
      <c r="X368" s="7"/>
      <c r="Y368" s="161"/>
      <c r="Z368" s="7"/>
      <c r="AA368" s="117"/>
      <c r="AB368" s="117"/>
      <c r="AC368" s="117"/>
      <c r="CH368" s="2"/>
    </row>
    <row r="369" spans="1:88" x14ac:dyDescent="0.3">
      <c r="A369" s="2">
        <v>280</v>
      </c>
      <c r="B369" s="2" t="s">
        <v>0</v>
      </c>
      <c r="C369" s="2" t="s">
        <v>1</v>
      </c>
      <c r="D369" s="2" t="s">
        <v>740</v>
      </c>
      <c r="E369" s="2">
        <v>500</v>
      </c>
      <c r="F369" s="2">
        <v>2.18E-2</v>
      </c>
      <c r="G369" s="2"/>
      <c r="H369" s="4">
        <f t="shared" si="33"/>
        <v>1</v>
      </c>
      <c r="I369" s="2" t="s">
        <v>98</v>
      </c>
      <c r="J369" s="2" t="s">
        <v>594</v>
      </c>
      <c r="K369" s="2" t="s">
        <v>222</v>
      </c>
      <c r="L369" s="2" t="s">
        <v>76</v>
      </c>
      <c r="M369" s="155"/>
      <c r="N369" s="155"/>
      <c r="O369" s="2">
        <v>18</v>
      </c>
      <c r="P369" s="6">
        <v>25</v>
      </c>
      <c r="Q369" s="131">
        <f t="shared" si="34"/>
        <v>41.472000000000001</v>
      </c>
      <c r="R369" s="33">
        <f t="shared" si="35"/>
        <v>24.999999999999996</v>
      </c>
      <c r="S369" s="132">
        <f t="shared" si="36"/>
        <v>3.1249999999999996</v>
      </c>
      <c r="T369" s="132">
        <f t="shared" si="37"/>
        <v>3.1249999999999996</v>
      </c>
      <c r="V369" s="131" t="str">
        <f t="shared" si="38"/>
        <v/>
      </c>
      <c r="W369" s="17"/>
      <c r="X369" s="7"/>
      <c r="Y369" s="161"/>
      <c r="Z369" s="7"/>
      <c r="AA369" s="117"/>
      <c r="AB369" s="117"/>
      <c r="AC369" s="117"/>
      <c r="CH369" s="2"/>
    </row>
    <row r="370" spans="1:88" x14ac:dyDescent="0.3">
      <c r="A370" s="2">
        <v>283</v>
      </c>
      <c r="B370" s="2" t="s">
        <v>0</v>
      </c>
      <c r="C370" s="2" t="s">
        <v>1</v>
      </c>
      <c r="D370" s="2" t="s">
        <v>741</v>
      </c>
      <c r="E370" s="2">
        <v>2500</v>
      </c>
      <c r="F370" s="2">
        <v>4.7999999999999996E-3</v>
      </c>
      <c r="G370" s="2">
        <v>3.7000000000000002E-3</v>
      </c>
      <c r="H370" s="4">
        <f t="shared" si="33"/>
        <v>0.22916666666666657</v>
      </c>
      <c r="I370" s="2" t="s">
        <v>98</v>
      </c>
      <c r="J370" s="2" t="s">
        <v>689</v>
      </c>
      <c r="K370" s="2" t="s">
        <v>5</v>
      </c>
      <c r="L370" s="2" t="s">
        <v>6</v>
      </c>
      <c r="M370" s="155"/>
      <c r="N370" s="155"/>
      <c r="O370" s="2">
        <v>42</v>
      </c>
      <c r="P370" s="6">
        <v>12</v>
      </c>
      <c r="Q370" s="131">
        <f t="shared" si="34"/>
        <v>40.32</v>
      </c>
      <c r="R370" s="33">
        <f t="shared" si="35"/>
        <v>12</v>
      </c>
      <c r="S370" s="132">
        <f t="shared" si="36"/>
        <v>1.5</v>
      </c>
      <c r="T370" s="132">
        <f t="shared" si="37"/>
        <v>1.5</v>
      </c>
      <c r="V370" s="131" t="str">
        <f t="shared" si="38"/>
        <v/>
      </c>
      <c r="W370" s="17"/>
      <c r="X370" s="7"/>
      <c r="Y370" s="161"/>
      <c r="Z370" s="7"/>
      <c r="AA370" s="117"/>
      <c r="AB370" s="117"/>
      <c r="AC370" s="117"/>
      <c r="CH370" s="2"/>
    </row>
    <row r="371" spans="1:88" ht="15.75" customHeight="1" x14ac:dyDescent="0.3">
      <c r="A371" s="23">
        <v>288</v>
      </c>
      <c r="B371" s="2" t="s">
        <v>0</v>
      </c>
      <c r="C371" s="2" t="s">
        <v>1</v>
      </c>
      <c r="D371" s="2" t="s">
        <v>742</v>
      </c>
      <c r="E371" s="2">
        <v>900</v>
      </c>
      <c r="F371" s="2">
        <v>2.46E-2</v>
      </c>
      <c r="G371" s="2">
        <v>1.9199999999999998E-2</v>
      </c>
      <c r="H371" s="4">
        <f t="shared" si="33"/>
        <v>0.2195121951219513</v>
      </c>
      <c r="I371" s="2" t="s">
        <v>82</v>
      </c>
      <c r="J371" s="2" t="s">
        <v>743</v>
      </c>
      <c r="K371" s="2" t="s">
        <v>105</v>
      </c>
      <c r="L371" s="2" t="s">
        <v>76</v>
      </c>
      <c r="M371" s="155"/>
      <c r="N371" s="155"/>
      <c r="O371" s="2">
        <v>6</v>
      </c>
      <c r="P371" s="6">
        <v>14</v>
      </c>
      <c r="Q371" s="131">
        <f t="shared" si="34"/>
        <v>13.714285714285714</v>
      </c>
      <c r="R371" s="33">
        <f t="shared" si="35"/>
        <v>14</v>
      </c>
      <c r="S371" s="132">
        <f t="shared" si="36"/>
        <v>1.75</v>
      </c>
      <c r="T371" s="132">
        <f t="shared" si="37"/>
        <v>1.75</v>
      </c>
      <c r="V371" s="131">
        <f t="shared" si="38"/>
        <v>5.333333333333333</v>
      </c>
      <c r="W371" s="17">
        <v>36</v>
      </c>
      <c r="X371" s="8">
        <f>60*60*8/W371</f>
        <v>800</v>
      </c>
      <c r="Y371" s="161">
        <v>45541</v>
      </c>
      <c r="Z371" s="7" t="s">
        <v>7</v>
      </c>
      <c r="AA371" s="117"/>
      <c r="AB371" s="117"/>
      <c r="AC371" s="117"/>
      <c r="AD371" s="24">
        <v>45545</v>
      </c>
      <c r="AE371">
        <v>6</v>
      </c>
      <c r="AF371">
        <v>5.4</v>
      </c>
      <c r="AH371">
        <v>3</v>
      </c>
      <c r="AI371">
        <v>0.6</v>
      </c>
      <c r="AJ371">
        <v>0.7</v>
      </c>
      <c r="AK371">
        <v>8</v>
      </c>
      <c r="AL371">
        <v>7.5</v>
      </c>
      <c r="AN371">
        <v>10</v>
      </c>
      <c r="AO371">
        <v>0.3</v>
      </c>
      <c r="AS371">
        <v>36</v>
      </c>
      <c r="AT371">
        <v>9.5</v>
      </c>
      <c r="AU371">
        <v>18</v>
      </c>
      <c r="AV371">
        <v>108</v>
      </c>
      <c r="AW371">
        <v>121</v>
      </c>
      <c r="AX371">
        <v>18</v>
      </c>
      <c r="AY371">
        <v>41</v>
      </c>
      <c r="AZ371">
        <v>81</v>
      </c>
      <c r="BA371">
        <v>123</v>
      </c>
      <c r="BB371">
        <v>420</v>
      </c>
      <c r="CH371" s="2"/>
      <c r="CI371">
        <v>900</v>
      </c>
      <c r="CJ371">
        <v>14</v>
      </c>
    </row>
    <row r="372" spans="1:88" x14ac:dyDescent="0.3">
      <c r="A372" s="23">
        <v>289</v>
      </c>
      <c r="B372" s="2" t="s">
        <v>0</v>
      </c>
      <c r="C372" s="2" t="s">
        <v>1</v>
      </c>
      <c r="D372" s="2" t="s">
        <v>744</v>
      </c>
      <c r="E372" s="2">
        <v>1350</v>
      </c>
      <c r="F372" s="2">
        <v>1.78E-2</v>
      </c>
      <c r="G372" s="2">
        <v>1.41E-2</v>
      </c>
      <c r="H372" s="4">
        <f t="shared" si="33"/>
        <v>0.20786516853932585</v>
      </c>
      <c r="I372" s="2" t="s">
        <v>82</v>
      </c>
      <c r="J372" s="2" t="s">
        <v>743</v>
      </c>
      <c r="K372" s="2" t="s">
        <v>261</v>
      </c>
      <c r="L372" s="2" t="s">
        <v>76</v>
      </c>
      <c r="M372" s="155"/>
      <c r="N372" s="155"/>
      <c r="O372" s="2">
        <v>10</v>
      </c>
      <c r="P372" s="6">
        <v>11</v>
      </c>
      <c r="Q372" s="131">
        <f t="shared" si="34"/>
        <v>19.393939393939394</v>
      </c>
      <c r="R372" s="33">
        <f t="shared" si="35"/>
        <v>11</v>
      </c>
      <c r="S372" s="132">
        <f t="shared" si="36"/>
        <v>1.375</v>
      </c>
      <c r="T372" s="132">
        <f t="shared" si="37"/>
        <v>1.375</v>
      </c>
      <c r="V372" s="131">
        <f t="shared" si="38"/>
        <v>5.9259259259259256</v>
      </c>
      <c r="W372" s="17">
        <v>36</v>
      </c>
      <c r="X372" s="8">
        <f>60*60*8/W372</f>
        <v>800</v>
      </c>
      <c r="Y372" s="161">
        <v>45605</v>
      </c>
      <c r="Z372" s="7" t="s">
        <v>7</v>
      </c>
      <c r="AA372" s="117"/>
      <c r="AB372" s="117"/>
      <c r="AC372" s="117"/>
      <c r="AD372" s="24">
        <v>45546</v>
      </c>
      <c r="AE372">
        <v>6</v>
      </c>
      <c r="AF372">
        <v>5.3</v>
      </c>
      <c r="AH372">
        <v>3</v>
      </c>
      <c r="AI372">
        <v>0.6</v>
      </c>
      <c r="AJ372">
        <v>0.7</v>
      </c>
      <c r="AK372">
        <v>8</v>
      </c>
      <c r="AL372">
        <v>7.5</v>
      </c>
      <c r="AN372">
        <v>10</v>
      </c>
      <c r="AO372">
        <v>0.3</v>
      </c>
      <c r="AS372">
        <v>36</v>
      </c>
      <c r="AT372">
        <v>9.5</v>
      </c>
      <c r="AU372">
        <v>18</v>
      </c>
      <c r="AV372">
        <v>131</v>
      </c>
      <c r="AW372">
        <v>144</v>
      </c>
      <c r="AX372">
        <v>18</v>
      </c>
      <c r="AY372">
        <v>41</v>
      </c>
      <c r="AZ372">
        <v>81</v>
      </c>
      <c r="BA372">
        <v>123</v>
      </c>
      <c r="BB372">
        <v>420</v>
      </c>
      <c r="CH372" s="2"/>
      <c r="CI372">
        <v>1350</v>
      </c>
      <c r="CJ372">
        <v>11</v>
      </c>
    </row>
    <row r="373" spans="1:88" x14ac:dyDescent="0.3">
      <c r="A373" s="2">
        <v>291</v>
      </c>
      <c r="B373" s="2" t="s">
        <v>0</v>
      </c>
      <c r="C373" s="2" t="s">
        <v>1</v>
      </c>
      <c r="D373" s="2" t="s">
        <v>745</v>
      </c>
      <c r="E373" s="2">
        <v>600</v>
      </c>
      <c r="F373" s="2">
        <v>2.4199999999999999E-2</v>
      </c>
      <c r="G373" s="2"/>
      <c r="H373" s="4">
        <f t="shared" si="33"/>
        <v>1</v>
      </c>
      <c r="I373" s="2" t="s">
        <v>82</v>
      </c>
      <c r="J373" s="2" t="s">
        <v>645</v>
      </c>
      <c r="K373" s="2" t="s">
        <v>222</v>
      </c>
      <c r="L373" s="2" t="s">
        <v>76</v>
      </c>
      <c r="M373" s="155"/>
      <c r="N373" s="155"/>
      <c r="O373" s="2">
        <v>8</v>
      </c>
      <c r="P373" s="6">
        <v>20</v>
      </c>
      <c r="Q373" s="131">
        <f t="shared" si="34"/>
        <v>19.2</v>
      </c>
      <c r="R373" s="33">
        <f t="shared" si="35"/>
        <v>20</v>
      </c>
      <c r="S373" s="132">
        <f t="shared" si="36"/>
        <v>2.5</v>
      </c>
      <c r="T373" s="132">
        <f t="shared" si="37"/>
        <v>2.5</v>
      </c>
      <c r="V373" s="131" t="str">
        <f t="shared" si="38"/>
        <v/>
      </c>
      <c r="W373" s="17"/>
      <c r="X373" s="7"/>
      <c r="Y373" s="161"/>
      <c r="Z373" s="7"/>
      <c r="AA373" s="117"/>
      <c r="AB373" s="117"/>
      <c r="AC373" s="117"/>
      <c r="CH373" s="2"/>
    </row>
    <row r="374" spans="1:88" x14ac:dyDescent="0.3">
      <c r="A374" s="2">
        <v>299</v>
      </c>
      <c r="B374" s="2" t="s">
        <v>0</v>
      </c>
      <c r="C374" s="2" t="s">
        <v>1</v>
      </c>
      <c r="D374" s="2" t="s">
        <v>746</v>
      </c>
      <c r="E374" s="2">
        <v>300</v>
      </c>
      <c r="F374" s="2">
        <v>9.6799999999999997E-2</v>
      </c>
      <c r="G374" s="2">
        <v>5.96E-2</v>
      </c>
      <c r="H374" s="4">
        <f t="shared" si="33"/>
        <v>0.38429752066115702</v>
      </c>
      <c r="I374" s="2" t="s">
        <v>98</v>
      </c>
      <c r="J374" s="2" t="s">
        <v>747</v>
      </c>
      <c r="K374" s="2" t="s">
        <v>413</v>
      </c>
      <c r="L374" s="2" t="s">
        <v>76</v>
      </c>
      <c r="M374" s="155"/>
      <c r="N374" s="155"/>
      <c r="O374" s="2">
        <v>6</v>
      </c>
      <c r="P374" s="6">
        <v>20</v>
      </c>
      <c r="Q374" s="131">
        <f t="shared" si="34"/>
        <v>28.8</v>
      </c>
      <c r="R374" s="33">
        <f t="shared" si="35"/>
        <v>20</v>
      </c>
      <c r="S374" s="132">
        <f t="shared" si="36"/>
        <v>2.5</v>
      </c>
      <c r="T374" s="132">
        <f t="shared" si="37"/>
        <v>2.5</v>
      </c>
      <c r="V374" s="131" t="str">
        <f t="shared" si="38"/>
        <v/>
      </c>
      <c r="W374" s="17"/>
      <c r="X374" s="7"/>
      <c r="Y374" s="161"/>
      <c r="Z374" s="7"/>
      <c r="AA374" s="117"/>
      <c r="AB374" s="117"/>
      <c r="AC374" s="117"/>
      <c r="CH374" s="2"/>
    </row>
    <row r="375" spans="1:88" x14ac:dyDescent="0.3">
      <c r="A375" s="23">
        <v>306</v>
      </c>
      <c r="B375" s="2" t="s">
        <v>0</v>
      </c>
      <c r="C375" s="2" t="s">
        <v>1</v>
      </c>
      <c r="D375" s="2" t="s">
        <v>748</v>
      </c>
      <c r="E375" s="2">
        <v>3000</v>
      </c>
      <c r="F375" s="2">
        <v>6.7999999999999996E-3</v>
      </c>
      <c r="G375" s="2">
        <v>6.0000000000000001E-3</v>
      </c>
      <c r="H375" s="4">
        <f t="shared" si="33"/>
        <v>0.11764705882352934</v>
      </c>
      <c r="I375" s="2" t="s">
        <v>98</v>
      </c>
      <c r="J375" s="2" t="s">
        <v>721</v>
      </c>
      <c r="K375" s="2" t="s">
        <v>129</v>
      </c>
      <c r="L375" s="2" t="s">
        <v>96</v>
      </c>
      <c r="M375" s="155"/>
      <c r="N375" s="155"/>
      <c r="O375" s="2">
        <v>20</v>
      </c>
      <c r="P375" s="6">
        <v>10</v>
      </c>
      <c r="Q375" s="131">
        <f t="shared" si="34"/>
        <v>19.2</v>
      </c>
      <c r="R375" s="33">
        <f t="shared" si="35"/>
        <v>10</v>
      </c>
      <c r="S375" s="132">
        <f t="shared" si="36"/>
        <v>1.25</v>
      </c>
      <c r="T375" s="132">
        <f t="shared" si="37"/>
        <v>1.25</v>
      </c>
      <c r="V375" s="131">
        <f t="shared" si="38"/>
        <v>6.7844522968197873</v>
      </c>
      <c r="W375" s="17">
        <v>28.3</v>
      </c>
      <c r="X375" s="8">
        <f>60*60*8/W375</f>
        <v>1017.6678445229682</v>
      </c>
      <c r="Y375" s="161">
        <v>45603</v>
      </c>
      <c r="Z375" s="7" t="s">
        <v>7</v>
      </c>
      <c r="AA375" s="117"/>
      <c r="AB375" s="117"/>
      <c r="AC375" s="117"/>
      <c r="CH375" s="2"/>
    </row>
    <row r="376" spans="1:88" x14ac:dyDescent="0.3">
      <c r="A376" s="2">
        <v>307</v>
      </c>
      <c r="B376" s="2" t="s">
        <v>84</v>
      </c>
      <c r="C376" s="2" t="s">
        <v>1</v>
      </c>
      <c r="D376" s="2" t="s">
        <v>749</v>
      </c>
      <c r="E376" s="2">
        <v>650</v>
      </c>
      <c r="F376" s="2">
        <v>2.1700000000000001E-2</v>
      </c>
      <c r="G376" s="2">
        <v>1.2699999999999999E-2</v>
      </c>
      <c r="H376" s="4">
        <f t="shared" si="33"/>
        <v>0.41474654377880188</v>
      </c>
      <c r="I376" s="2" t="s">
        <v>82</v>
      </c>
      <c r="J376" s="2" t="s">
        <v>83</v>
      </c>
      <c r="K376" s="2" t="s">
        <v>105</v>
      </c>
      <c r="L376" s="2" t="s">
        <v>76</v>
      </c>
      <c r="M376" s="155"/>
      <c r="N376" s="155"/>
      <c r="O376" s="2">
        <v>6</v>
      </c>
      <c r="P376" s="6"/>
      <c r="Q376" s="131" t="str">
        <f t="shared" si="34"/>
        <v/>
      </c>
      <c r="R376" s="33" t="str">
        <f t="shared" si="35"/>
        <v/>
      </c>
      <c r="S376" s="132" t="str">
        <f t="shared" si="36"/>
        <v/>
      </c>
      <c r="T376" s="132" t="str">
        <f t="shared" si="37"/>
        <v/>
      </c>
      <c r="V376" s="131" t="str">
        <f t="shared" si="38"/>
        <v/>
      </c>
      <c r="W376" s="17"/>
      <c r="X376" s="7"/>
      <c r="Y376" s="161"/>
      <c r="Z376" s="7"/>
      <c r="AA376" s="117"/>
      <c r="AB376" s="117"/>
      <c r="AC376" s="117"/>
      <c r="CH376" s="2"/>
    </row>
    <row r="377" spans="1:88" x14ac:dyDescent="0.3">
      <c r="A377" s="2">
        <v>308</v>
      </c>
      <c r="B377" s="2" t="s">
        <v>0</v>
      </c>
      <c r="C377" s="2" t="s">
        <v>1</v>
      </c>
      <c r="D377" s="2" t="s">
        <v>750</v>
      </c>
      <c r="E377" s="2">
        <v>1500</v>
      </c>
      <c r="F377" s="2">
        <v>8.0999999999999996E-3</v>
      </c>
      <c r="G377" s="2">
        <v>7.4999999999999997E-3</v>
      </c>
      <c r="H377" s="4">
        <f t="shared" si="33"/>
        <v>7.4074074074074056E-2</v>
      </c>
      <c r="I377" s="2" t="s">
        <v>98</v>
      </c>
      <c r="J377" s="2" t="s">
        <v>721</v>
      </c>
      <c r="K377" s="2" t="s">
        <v>222</v>
      </c>
      <c r="L377" s="2" t="s">
        <v>76</v>
      </c>
      <c r="M377" s="155"/>
      <c r="N377" s="155"/>
      <c r="O377" s="2">
        <v>18</v>
      </c>
      <c r="P377" s="6">
        <v>10</v>
      </c>
      <c r="Q377" s="131">
        <f t="shared" si="34"/>
        <v>34.56</v>
      </c>
      <c r="R377" s="33">
        <f t="shared" si="35"/>
        <v>10</v>
      </c>
      <c r="S377" s="132">
        <f t="shared" si="36"/>
        <v>1.25</v>
      </c>
      <c r="T377" s="132">
        <f t="shared" si="37"/>
        <v>1.25</v>
      </c>
      <c r="V377" s="131" t="str">
        <f t="shared" si="38"/>
        <v/>
      </c>
      <c r="W377" s="17"/>
      <c r="X377" s="7"/>
      <c r="Y377" s="161"/>
      <c r="Z377" s="7"/>
      <c r="AA377" s="117"/>
      <c r="AB377" s="117"/>
      <c r="AC377" s="117"/>
      <c r="CH377" s="2"/>
    </row>
    <row r="378" spans="1:88" x14ac:dyDescent="0.3">
      <c r="A378" s="2">
        <v>309</v>
      </c>
      <c r="B378" s="2" t="s">
        <v>84</v>
      </c>
      <c r="C378" s="2" t="s">
        <v>1</v>
      </c>
      <c r="D378" s="2" t="s">
        <v>751</v>
      </c>
      <c r="E378" s="2">
        <v>650</v>
      </c>
      <c r="F378" s="2">
        <v>2.1700000000000001E-2</v>
      </c>
      <c r="G378" s="2">
        <v>1.2699999999999999E-2</v>
      </c>
      <c r="H378" s="4">
        <f t="shared" si="33"/>
        <v>0.41474654377880188</v>
      </c>
      <c r="I378" s="2" t="s">
        <v>82</v>
      </c>
      <c r="J378" s="2" t="s">
        <v>83</v>
      </c>
      <c r="K378" s="2" t="s">
        <v>105</v>
      </c>
      <c r="L378" s="2" t="s">
        <v>76</v>
      </c>
      <c r="M378" s="155"/>
      <c r="N378" s="155"/>
      <c r="O378" s="2">
        <v>6</v>
      </c>
      <c r="P378" s="6"/>
      <c r="Q378" s="131" t="str">
        <f t="shared" si="34"/>
        <v/>
      </c>
      <c r="R378" s="33" t="str">
        <f t="shared" si="35"/>
        <v/>
      </c>
      <c r="S378" s="132" t="str">
        <f t="shared" si="36"/>
        <v/>
      </c>
      <c r="T378" s="132" t="str">
        <f t="shared" si="37"/>
        <v/>
      </c>
      <c r="V378" s="131" t="str">
        <f t="shared" si="38"/>
        <v/>
      </c>
      <c r="W378" s="17"/>
      <c r="X378" s="7"/>
      <c r="Y378" s="161"/>
      <c r="Z378" s="7"/>
      <c r="AA378" s="117"/>
      <c r="AB378" s="117"/>
      <c r="AC378" s="117"/>
      <c r="CH378" s="2"/>
    </row>
    <row r="379" spans="1:88" x14ac:dyDescent="0.3">
      <c r="A379" s="2">
        <v>313</v>
      </c>
      <c r="B379" s="2" t="s">
        <v>0</v>
      </c>
      <c r="C379" s="2" t="s">
        <v>1</v>
      </c>
      <c r="D379" s="2" t="s">
        <v>752</v>
      </c>
      <c r="E379" s="2">
        <v>650</v>
      </c>
      <c r="F379" s="2">
        <v>2.4299999999999999E-2</v>
      </c>
      <c r="G379" s="2">
        <v>1.8800000000000001E-2</v>
      </c>
      <c r="H379" s="4">
        <f t="shared" ref="H379:H442" si="39">(F379-G379)/F379</f>
        <v>0.22633744855967072</v>
      </c>
      <c r="I379" s="2" t="s">
        <v>98</v>
      </c>
      <c r="J379" s="2" t="s">
        <v>753</v>
      </c>
      <c r="K379" s="2" t="s">
        <v>105</v>
      </c>
      <c r="L379" s="2" t="s">
        <v>76</v>
      </c>
      <c r="M379" s="155"/>
      <c r="N379" s="155"/>
      <c r="O379" s="2">
        <v>12</v>
      </c>
      <c r="P379" s="6">
        <v>10</v>
      </c>
      <c r="Q379" s="131">
        <f t="shared" ref="Q379:Q442" si="40">IFERROR(60*60*8*O379/E379/P379,"")</f>
        <v>53.169230769230772</v>
      </c>
      <c r="R379" s="33">
        <f t="shared" ref="R379:R442" si="41">IFERROR(60*60*8*O379/E379/Q379,"")</f>
        <v>10</v>
      </c>
      <c r="S379" s="132">
        <f t="shared" ref="S379:S442" si="42">IFERROR(R379/8,"")</f>
        <v>1.25</v>
      </c>
      <c r="T379" s="132">
        <f t="shared" ref="T379:T442" si="43">IFERROR(IF(R379&gt;2,S379,""),"")</f>
        <v>1.25</v>
      </c>
      <c r="V379" s="131" t="str">
        <f t="shared" ref="V379:V442" si="44">IF(X379&gt;10,X379*O379/E379,"")</f>
        <v/>
      </c>
      <c r="W379" s="17"/>
      <c r="X379" s="7"/>
      <c r="Y379" s="161"/>
      <c r="Z379" s="7"/>
      <c r="AA379" s="117"/>
      <c r="AB379" s="117"/>
      <c r="AC379" s="117"/>
      <c r="CH379" s="2"/>
    </row>
    <row r="380" spans="1:88" x14ac:dyDescent="0.3">
      <c r="A380" s="23">
        <v>315</v>
      </c>
      <c r="B380" s="2" t="s">
        <v>0</v>
      </c>
      <c r="C380" s="2" t="s">
        <v>1</v>
      </c>
      <c r="D380" s="2" t="s">
        <v>754</v>
      </c>
      <c r="E380" s="2">
        <v>1400</v>
      </c>
      <c r="F380" s="2">
        <v>1.7999999999999999E-2</v>
      </c>
      <c r="G380" s="2">
        <v>1.4800000000000001E-2</v>
      </c>
      <c r="H380" s="4">
        <f t="shared" si="39"/>
        <v>0.17777777777777767</v>
      </c>
      <c r="I380" s="2" t="s">
        <v>98</v>
      </c>
      <c r="J380" s="2" t="s">
        <v>755</v>
      </c>
      <c r="K380" s="2" t="s">
        <v>105</v>
      </c>
      <c r="L380" s="2" t="s">
        <v>76</v>
      </c>
      <c r="M380" s="155"/>
      <c r="N380" s="155"/>
      <c r="O380" s="2">
        <v>10</v>
      </c>
      <c r="P380" s="6">
        <v>10</v>
      </c>
      <c r="Q380" s="131">
        <f t="shared" si="40"/>
        <v>20.571428571428573</v>
      </c>
      <c r="R380" s="33">
        <f t="shared" si="41"/>
        <v>10</v>
      </c>
      <c r="S380" s="132">
        <f t="shared" si="42"/>
        <v>1.25</v>
      </c>
      <c r="T380" s="132">
        <f t="shared" si="43"/>
        <v>1.25</v>
      </c>
      <c r="V380" s="131">
        <f t="shared" si="44"/>
        <v>6.7007910656119121</v>
      </c>
      <c r="W380" s="134">
        <v>30.7</v>
      </c>
      <c r="X380" s="8">
        <f>60*60*8/W380</f>
        <v>938.11074918566783</v>
      </c>
      <c r="Y380" s="161">
        <v>45363</v>
      </c>
      <c r="Z380" s="7" t="s">
        <v>7</v>
      </c>
      <c r="AA380" s="117"/>
      <c r="AB380" s="117"/>
      <c r="AC380" s="117"/>
      <c r="AD380" s="22">
        <v>45528</v>
      </c>
      <c r="AE380">
        <v>1</v>
      </c>
      <c r="AF380">
        <v>3.6</v>
      </c>
      <c r="AG380">
        <v>1.8</v>
      </c>
      <c r="AI380">
        <v>0.1</v>
      </c>
      <c r="AJ380">
        <v>0.2</v>
      </c>
      <c r="AK380">
        <v>7</v>
      </c>
      <c r="AL380">
        <v>6.5</v>
      </c>
      <c r="AN380">
        <v>9</v>
      </c>
      <c r="AS380">
        <v>30.7</v>
      </c>
      <c r="AT380">
        <v>7.5</v>
      </c>
      <c r="AU380">
        <v>19.5</v>
      </c>
      <c r="AV380">
        <v>101</v>
      </c>
      <c r="AW380">
        <v>115</v>
      </c>
      <c r="AX380">
        <v>12</v>
      </c>
      <c r="AY380">
        <v>47</v>
      </c>
      <c r="AZ380">
        <v>95</v>
      </c>
      <c r="BA380">
        <v>112</v>
      </c>
      <c r="BB380">
        <v>420</v>
      </c>
      <c r="CH380" s="2"/>
    </row>
    <row r="381" spans="1:88" x14ac:dyDescent="0.3">
      <c r="A381" s="2">
        <v>316</v>
      </c>
      <c r="B381" s="2" t="s">
        <v>84</v>
      </c>
      <c r="C381" s="2" t="s">
        <v>1</v>
      </c>
      <c r="D381" s="2" t="s">
        <v>756</v>
      </c>
      <c r="E381" s="2">
        <v>900</v>
      </c>
      <c r="F381" s="2">
        <v>2.24E-2</v>
      </c>
      <c r="G381" s="2"/>
      <c r="H381" s="4">
        <f t="shared" si="39"/>
        <v>1</v>
      </c>
      <c r="I381" s="2" t="s">
        <v>82</v>
      </c>
      <c r="J381" s="2" t="s">
        <v>757</v>
      </c>
      <c r="K381" s="2" t="s">
        <v>105</v>
      </c>
      <c r="L381" s="2" t="s">
        <v>76</v>
      </c>
      <c r="M381" s="155"/>
      <c r="N381" s="155"/>
      <c r="O381" s="2">
        <v>9</v>
      </c>
      <c r="P381" s="6"/>
      <c r="Q381" s="131" t="str">
        <f t="shared" si="40"/>
        <v/>
      </c>
      <c r="R381" s="33" t="str">
        <f t="shared" si="41"/>
        <v/>
      </c>
      <c r="S381" s="132" t="str">
        <f t="shared" si="42"/>
        <v/>
      </c>
      <c r="T381" s="132" t="str">
        <f t="shared" si="43"/>
        <v/>
      </c>
      <c r="V381" s="131" t="str">
        <f t="shared" si="44"/>
        <v/>
      </c>
      <c r="W381" s="17"/>
      <c r="X381" s="8"/>
      <c r="Y381" s="161"/>
      <c r="Z381" s="7"/>
      <c r="AA381" s="117"/>
      <c r="AB381" s="117"/>
      <c r="AC381" s="117"/>
      <c r="CH381" s="2"/>
    </row>
    <row r="382" spans="1:88" x14ac:dyDescent="0.3">
      <c r="A382" s="2">
        <v>318</v>
      </c>
      <c r="B382" s="2" t="s">
        <v>84</v>
      </c>
      <c r="C382" s="2" t="s">
        <v>1</v>
      </c>
      <c r="D382" s="2" t="s">
        <v>758</v>
      </c>
      <c r="E382" s="2">
        <v>900</v>
      </c>
      <c r="F382" s="2">
        <v>2.24E-2</v>
      </c>
      <c r="G382" s="2"/>
      <c r="H382" s="4">
        <f t="shared" si="39"/>
        <v>1</v>
      </c>
      <c r="I382" s="2" t="s">
        <v>82</v>
      </c>
      <c r="J382" s="2" t="s">
        <v>759</v>
      </c>
      <c r="K382" s="2" t="s">
        <v>105</v>
      </c>
      <c r="L382" s="2" t="s">
        <v>76</v>
      </c>
      <c r="M382" s="155"/>
      <c r="N382" s="155"/>
      <c r="O382" s="2">
        <v>9</v>
      </c>
      <c r="P382" s="6"/>
      <c r="Q382" s="131" t="str">
        <f t="shared" si="40"/>
        <v/>
      </c>
      <c r="R382" s="33" t="str">
        <f t="shared" si="41"/>
        <v/>
      </c>
      <c r="S382" s="132" t="str">
        <f t="shared" si="42"/>
        <v/>
      </c>
      <c r="T382" s="132" t="str">
        <f t="shared" si="43"/>
        <v/>
      </c>
      <c r="V382" s="131" t="str">
        <f t="shared" si="44"/>
        <v/>
      </c>
      <c r="W382" s="17"/>
      <c r="X382" s="7"/>
      <c r="Y382" s="161"/>
      <c r="Z382" s="7"/>
      <c r="AA382" s="117"/>
      <c r="AB382" s="117"/>
      <c r="AC382" s="117"/>
      <c r="CH382" s="2"/>
    </row>
    <row r="383" spans="1:88" x14ac:dyDescent="0.3">
      <c r="A383" s="23">
        <v>319</v>
      </c>
      <c r="B383" s="2" t="s">
        <v>0</v>
      </c>
      <c r="C383" s="2" t="s">
        <v>1</v>
      </c>
      <c r="D383" s="2" t="s">
        <v>760</v>
      </c>
      <c r="E383" s="2">
        <v>1600</v>
      </c>
      <c r="F383" s="2">
        <v>7.1000000000000004E-3</v>
      </c>
      <c r="G383" s="2">
        <v>6.0000000000000001E-3</v>
      </c>
      <c r="H383" s="4">
        <f t="shared" si="39"/>
        <v>0.15492957746478878</v>
      </c>
      <c r="I383" s="2" t="s">
        <v>82</v>
      </c>
      <c r="J383" s="2" t="s">
        <v>658</v>
      </c>
      <c r="K383" s="2" t="s">
        <v>222</v>
      </c>
      <c r="L383" s="2" t="s">
        <v>76</v>
      </c>
      <c r="M383" s="155"/>
      <c r="N383" s="155"/>
      <c r="O383" s="2">
        <v>32</v>
      </c>
      <c r="P383" s="6">
        <v>8</v>
      </c>
      <c r="Q383" s="131">
        <f t="shared" si="40"/>
        <v>72</v>
      </c>
      <c r="R383" s="33">
        <f t="shared" si="41"/>
        <v>8</v>
      </c>
      <c r="S383" s="132">
        <f t="shared" si="42"/>
        <v>1</v>
      </c>
      <c r="T383" s="132">
        <f t="shared" si="43"/>
        <v>1</v>
      </c>
      <c r="V383" s="131">
        <f t="shared" si="44"/>
        <v>14.117647058823529</v>
      </c>
      <c r="W383" s="134">
        <v>40.799999999999997</v>
      </c>
      <c r="X383" s="8">
        <f>60*60*8/W383</f>
        <v>705.88235294117646</v>
      </c>
      <c r="Y383" s="161">
        <v>45365</v>
      </c>
      <c r="Z383" s="7" t="s">
        <v>7</v>
      </c>
      <c r="AA383" s="117"/>
      <c r="AB383" s="117"/>
      <c r="AC383" s="117"/>
      <c r="CH383" s="2"/>
      <c r="CI383">
        <v>1600</v>
      </c>
      <c r="CJ383">
        <v>8</v>
      </c>
    </row>
    <row r="384" spans="1:88" x14ac:dyDescent="0.3">
      <c r="A384" s="23">
        <v>320</v>
      </c>
      <c r="B384" s="2" t="s">
        <v>0</v>
      </c>
      <c r="C384" s="2" t="s">
        <v>1</v>
      </c>
      <c r="D384" s="2" t="s">
        <v>761</v>
      </c>
      <c r="E384" s="2">
        <v>3200</v>
      </c>
      <c r="F384" s="2">
        <v>7.1000000000000004E-3</v>
      </c>
      <c r="G384" s="2">
        <v>6.0000000000000001E-3</v>
      </c>
      <c r="H384" s="4">
        <f t="shared" si="39"/>
        <v>0.15492957746478878</v>
      </c>
      <c r="I384" s="2" t="s">
        <v>82</v>
      </c>
      <c r="J384" s="2" t="s">
        <v>658</v>
      </c>
      <c r="K384" s="2" t="s">
        <v>90</v>
      </c>
      <c r="L384" s="2" t="s">
        <v>6</v>
      </c>
      <c r="M384" s="155"/>
      <c r="N384" s="155"/>
      <c r="O384" s="2">
        <v>32</v>
      </c>
      <c r="P384" s="6">
        <v>10</v>
      </c>
      <c r="Q384" s="131">
        <f t="shared" si="40"/>
        <v>28.8</v>
      </c>
      <c r="R384" s="33">
        <f t="shared" si="41"/>
        <v>10</v>
      </c>
      <c r="S384" s="132">
        <f t="shared" si="42"/>
        <v>1.25</v>
      </c>
      <c r="T384" s="132">
        <f t="shared" si="43"/>
        <v>1.25</v>
      </c>
      <c r="V384" s="131">
        <f t="shared" si="44"/>
        <v>6.8866571018651364</v>
      </c>
      <c r="W384" s="134">
        <v>41.82</v>
      </c>
      <c r="X384" s="8">
        <f>60*60*8/W384</f>
        <v>688.66571018651359</v>
      </c>
      <c r="Y384" s="161">
        <v>45365</v>
      </c>
      <c r="Z384" s="7" t="s">
        <v>7</v>
      </c>
      <c r="AA384" s="117"/>
      <c r="AB384" s="117"/>
      <c r="AC384" s="117"/>
      <c r="CH384" s="2"/>
      <c r="CI384">
        <v>3200</v>
      </c>
      <c r="CJ384">
        <v>10</v>
      </c>
    </row>
    <row r="385" spans="1:86" x14ac:dyDescent="0.3">
      <c r="A385" s="2">
        <v>321</v>
      </c>
      <c r="B385" s="2" t="s">
        <v>84</v>
      </c>
      <c r="C385" s="2" t="s">
        <v>1</v>
      </c>
      <c r="D385" s="2" t="s">
        <v>762</v>
      </c>
      <c r="E385" s="2">
        <v>440</v>
      </c>
      <c r="F385" s="2">
        <v>1.5800000000000002E-2</v>
      </c>
      <c r="G385" s="2">
        <v>1.24E-2</v>
      </c>
      <c r="H385" s="4">
        <f t="shared" si="39"/>
        <v>0.21518987341772161</v>
      </c>
      <c r="I385" s="2" t="s">
        <v>82</v>
      </c>
      <c r="J385" s="2" t="s">
        <v>587</v>
      </c>
      <c r="K385" s="2"/>
      <c r="L385" s="2"/>
      <c r="M385" s="155"/>
      <c r="N385" s="155"/>
      <c r="O385" s="2">
        <v>9</v>
      </c>
      <c r="P385" s="6"/>
      <c r="Q385" s="131" t="str">
        <f t="shared" si="40"/>
        <v/>
      </c>
      <c r="R385" s="33" t="str">
        <f t="shared" si="41"/>
        <v/>
      </c>
      <c r="S385" s="132" t="str">
        <f t="shared" si="42"/>
        <v/>
      </c>
      <c r="T385" s="132" t="str">
        <f t="shared" si="43"/>
        <v/>
      </c>
      <c r="V385" s="131" t="str">
        <f t="shared" si="44"/>
        <v/>
      </c>
      <c r="W385" s="17"/>
      <c r="X385" s="7"/>
      <c r="Y385" s="161"/>
      <c r="Z385" s="7"/>
      <c r="AA385" s="117"/>
      <c r="AB385" s="117"/>
      <c r="AC385" s="117"/>
      <c r="CH385" s="2"/>
    </row>
    <row r="386" spans="1:86" x14ac:dyDescent="0.3">
      <c r="A386" s="2">
        <v>322</v>
      </c>
      <c r="B386" s="2" t="s">
        <v>84</v>
      </c>
      <c r="C386" s="2" t="s">
        <v>1</v>
      </c>
      <c r="D386" s="2" t="s">
        <v>763</v>
      </c>
      <c r="E386" s="2">
        <v>360</v>
      </c>
      <c r="F386" s="2">
        <v>2.63E-2</v>
      </c>
      <c r="G386" s="2"/>
      <c r="H386" s="4">
        <f t="shared" si="39"/>
        <v>1</v>
      </c>
      <c r="I386" s="2" t="s">
        <v>82</v>
      </c>
      <c r="J386" s="2" t="s">
        <v>764</v>
      </c>
      <c r="K386" s="2"/>
      <c r="L386" s="2"/>
      <c r="M386" s="155"/>
      <c r="N386" s="155"/>
      <c r="O386" s="2">
        <v>6</v>
      </c>
      <c r="P386" s="6"/>
      <c r="Q386" s="131" t="str">
        <f t="shared" si="40"/>
        <v/>
      </c>
      <c r="R386" s="33" t="str">
        <f t="shared" si="41"/>
        <v/>
      </c>
      <c r="S386" s="132" t="str">
        <f t="shared" si="42"/>
        <v/>
      </c>
      <c r="T386" s="132" t="str">
        <f t="shared" si="43"/>
        <v/>
      </c>
      <c r="V386" s="131" t="str">
        <f t="shared" si="44"/>
        <v/>
      </c>
      <c r="W386" s="17"/>
      <c r="X386" s="7"/>
      <c r="Y386" s="161"/>
      <c r="Z386" s="7"/>
      <c r="AA386" s="117"/>
      <c r="AB386" s="117"/>
      <c r="AC386" s="117"/>
      <c r="CH386" s="2"/>
    </row>
    <row r="387" spans="1:86" x14ac:dyDescent="0.3">
      <c r="A387" s="23">
        <v>324</v>
      </c>
      <c r="B387" s="2" t="s">
        <v>0</v>
      </c>
      <c r="C387" s="2" t="s">
        <v>1</v>
      </c>
      <c r="D387" s="2" t="s">
        <v>765</v>
      </c>
      <c r="E387" s="2">
        <v>1700</v>
      </c>
      <c r="F387" s="2">
        <v>1.29E-2</v>
      </c>
      <c r="G387" s="2">
        <v>9.7999999999999997E-3</v>
      </c>
      <c r="H387" s="4">
        <f t="shared" si="39"/>
        <v>0.24031007751937988</v>
      </c>
      <c r="I387" s="2" t="s">
        <v>98</v>
      </c>
      <c r="J387" s="2" t="s">
        <v>721</v>
      </c>
      <c r="K387" s="2" t="s">
        <v>261</v>
      </c>
      <c r="L387" s="2" t="s">
        <v>76</v>
      </c>
      <c r="M387" s="155"/>
      <c r="N387" s="155"/>
      <c r="O387" s="2">
        <v>12</v>
      </c>
      <c r="P387" s="6">
        <v>10</v>
      </c>
      <c r="Q387" s="131">
        <f t="shared" si="40"/>
        <v>20.329411764705881</v>
      </c>
      <c r="R387" s="33">
        <f t="shared" si="41"/>
        <v>10</v>
      </c>
      <c r="S387" s="132">
        <f t="shared" si="42"/>
        <v>1.25</v>
      </c>
      <c r="T387" s="132">
        <f t="shared" si="43"/>
        <v>1.25</v>
      </c>
      <c r="V387" s="131">
        <f t="shared" si="44"/>
        <v>6.9030260661140517</v>
      </c>
      <c r="W387" s="134">
        <v>29.45</v>
      </c>
      <c r="X387" s="8">
        <f>60*60*8/W387</f>
        <v>977.92869269949074</v>
      </c>
      <c r="Y387" s="161">
        <v>45414</v>
      </c>
      <c r="Z387" s="7" t="s">
        <v>7</v>
      </c>
      <c r="AA387" s="117"/>
      <c r="AB387" s="117"/>
      <c r="AC387" s="117"/>
      <c r="CH387" s="2"/>
    </row>
    <row r="388" spans="1:86" x14ac:dyDescent="0.3">
      <c r="A388" s="2">
        <v>326</v>
      </c>
      <c r="B388" s="2" t="s">
        <v>0</v>
      </c>
      <c r="C388" s="2" t="s">
        <v>1</v>
      </c>
      <c r="D388" s="2" t="s">
        <v>766</v>
      </c>
      <c r="E388" s="2">
        <v>2000</v>
      </c>
      <c r="F388" s="2">
        <v>6.7000000000000002E-3</v>
      </c>
      <c r="G388" s="2">
        <v>4.4000000000000003E-3</v>
      </c>
      <c r="H388" s="4">
        <f t="shared" si="39"/>
        <v>0.34328358208955223</v>
      </c>
      <c r="I388" s="2" t="s">
        <v>82</v>
      </c>
      <c r="J388" s="2" t="s">
        <v>645</v>
      </c>
      <c r="K388" s="2" t="s">
        <v>5</v>
      </c>
      <c r="L388" s="2" t="s">
        <v>6</v>
      </c>
      <c r="M388" s="155"/>
      <c r="N388" s="155"/>
      <c r="O388" s="2">
        <v>30</v>
      </c>
      <c r="P388" s="6">
        <v>12</v>
      </c>
      <c r="Q388" s="131">
        <f t="shared" si="40"/>
        <v>36</v>
      </c>
      <c r="R388" s="33">
        <f t="shared" si="41"/>
        <v>12</v>
      </c>
      <c r="S388" s="132">
        <f t="shared" si="42"/>
        <v>1.5</v>
      </c>
      <c r="T388" s="132">
        <f t="shared" si="43"/>
        <v>1.5</v>
      </c>
      <c r="V388" s="131" t="str">
        <f t="shared" si="44"/>
        <v/>
      </c>
      <c r="W388" s="17"/>
      <c r="X388" s="7"/>
      <c r="Y388" s="161"/>
      <c r="Z388" s="7"/>
      <c r="AA388" s="117"/>
      <c r="AB388" s="117"/>
      <c r="AC388" s="117"/>
      <c r="CH388" s="2"/>
    </row>
    <row r="389" spans="1:86" x14ac:dyDescent="0.3">
      <c r="A389" s="23">
        <v>327</v>
      </c>
      <c r="B389" s="2" t="s">
        <v>0</v>
      </c>
      <c r="C389" s="2" t="s">
        <v>1</v>
      </c>
      <c r="D389" s="2" t="s">
        <v>767</v>
      </c>
      <c r="E389" s="2">
        <v>1450</v>
      </c>
      <c r="F389" s="2">
        <v>1.0200000000000001E-2</v>
      </c>
      <c r="G389" s="2">
        <v>6.6E-3</v>
      </c>
      <c r="H389" s="4">
        <f t="shared" si="39"/>
        <v>0.35294117647058826</v>
      </c>
      <c r="I389" s="2" t="s">
        <v>82</v>
      </c>
      <c r="J389" s="2" t="s">
        <v>107</v>
      </c>
      <c r="K389" s="2" t="s">
        <v>5</v>
      </c>
      <c r="L389" s="2" t="s">
        <v>6</v>
      </c>
      <c r="M389" s="155" t="s">
        <v>768</v>
      </c>
      <c r="N389" s="155"/>
      <c r="O389" s="2">
        <v>24</v>
      </c>
      <c r="P389" s="6">
        <v>14</v>
      </c>
      <c r="Q389" s="131">
        <f t="shared" si="40"/>
        <v>34.049261083743843</v>
      </c>
      <c r="R389" s="33">
        <f t="shared" si="41"/>
        <v>14</v>
      </c>
      <c r="S389" s="132">
        <f>IFERROR(R389/8,"")</f>
        <v>1.75</v>
      </c>
      <c r="T389" s="132">
        <f t="shared" si="43"/>
        <v>1.75</v>
      </c>
      <c r="V389" s="131">
        <f t="shared" si="44"/>
        <v>11.269258987527515</v>
      </c>
      <c r="W389" s="17">
        <v>42.3</v>
      </c>
      <c r="X389" s="8">
        <f>60*60*8/W389</f>
        <v>680.85106382978734</v>
      </c>
      <c r="Y389" s="161">
        <v>45520</v>
      </c>
      <c r="Z389" s="7" t="s">
        <v>7</v>
      </c>
      <c r="AA389" s="117"/>
      <c r="AB389" s="117"/>
      <c r="AC389" s="117"/>
      <c r="AD389" s="24">
        <v>45520</v>
      </c>
      <c r="AE389">
        <v>1</v>
      </c>
      <c r="AF389">
        <v>6.8</v>
      </c>
      <c r="AG389">
        <v>1.6</v>
      </c>
      <c r="AI389">
        <v>0.2</v>
      </c>
      <c r="AJ389">
        <v>0.3</v>
      </c>
      <c r="AK389">
        <v>9</v>
      </c>
      <c r="AL389">
        <v>8.5</v>
      </c>
      <c r="AN389">
        <v>14</v>
      </c>
      <c r="AS389">
        <v>42.3</v>
      </c>
      <c r="AT389">
        <v>7.5</v>
      </c>
      <c r="AU389">
        <v>19.5</v>
      </c>
      <c r="AV389">
        <v>134</v>
      </c>
      <c r="AW389">
        <v>146</v>
      </c>
      <c r="AX389">
        <v>12</v>
      </c>
      <c r="AY389">
        <v>46</v>
      </c>
      <c r="AZ389">
        <v>95</v>
      </c>
      <c r="BA389">
        <v>112</v>
      </c>
      <c r="BB389">
        <v>420</v>
      </c>
      <c r="CH389" s="2"/>
    </row>
    <row r="390" spans="1:86" x14ac:dyDescent="0.3">
      <c r="A390" s="2">
        <v>328</v>
      </c>
      <c r="B390" s="2" t="s">
        <v>84</v>
      </c>
      <c r="C390" s="2" t="s">
        <v>1</v>
      </c>
      <c r="D390" s="2" t="s">
        <v>769</v>
      </c>
      <c r="E390" s="2">
        <v>1800</v>
      </c>
      <c r="F390" s="2">
        <v>9.1000000000000004E-3</v>
      </c>
      <c r="G390" s="2">
        <v>5.7999999999999996E-3</v>
      </c>
      <c r="H390" s="4">
        <f t="shared" si="39"/>
        <v>0.36263736263736274</v>
      </c>
      <c r="I390" s="2" t="s">
        <v>82</v>
      </c>
      <c r="J390" s="2" t="s">
        <v>770</v>
      </c>
      <c r="K390" s="2"/>
      <c r="L390" s="2"/>
      <c r="M390" s="155"/>
      <c r="N390" s="155"/>
      <c r="O390" s="2">
        <v>20</v>
      </c>
      <c r="P390" s="6"/>
      <c r="Q390" s="131" t="str">
        <f t="shared" si="40"/>
        <v/>
      </c>
      <c r="R390" s="33" t="str">
        <f t="shared" si="41"/>
        <v/>
      </c>
      <c r="S390" s="132" t="str">
        <f t="shared" si="42"/>
        <v/>
      </c>
      <c r="T390" s="132" t="str">
        <f t="shared" si="43"/>
        <v/>
      </c>
      <c r="V390" s="131" t="str">
        <f t="shared" si="44"/>
        <v/>
      </c>
      <c r="W390" s="17"/>
      <c r="X390" s="7"/>
      <c r="Y390" s="161"/>
      <c r="Z390" s="7"/>
      <c r="AA390" s="117"/>
      <c r="AB390" s="117"/>
      <c r="AC390" s="117"/>
      <c r="CH390" s="2"/>
    </row>
    <row r="391" spans="1:86" x14ac:dyDescent="0.3">
      <c r="A391" s="2">
        <v>329</v>
      </c>
      <c r="B391" s="2" t="s">
        <v>84</v>
      </c>
      <c r="C391" s="2" t="s">
        <v>1</v>
      </c>
      <c r="D391" s="2" t="s">
        <v>771</v>
      </c>
      <c r="E391" s="2">
        <v>1900</v>
      </c>
      <c r="F391" s="2">
        <v>1.0999999999999999E-2</v>
      </c>
      <c r="G391" s="2">
        <v>8.2000000000000007E-3</v>
      </c>
      <c r="H391" s="4">
        <f t="shared" si="39"/>
        <v>0.25454545454545446</v>
      </c>
      <c r="I391" s="2" t="s">
        <v>82</v>
      </c>
      <c r="J391" s="2" t="s">
        <v>645</v>
      </c>
      <c r="K391" s="2"/>
      <c r="L391" s="2"/>
      <c r="M391" s="155"/>
      <c r="N391" s="155"/>
      <c r="O391" s="2">
        <v>16</v>
      </c>
      <c r="P391" s="6"/>
      <c r="Q391" s="131" t="str">
        <f t="shared" si="40"/>
        <v/>
      </c>
      <c r="R391" s="33" t="str">
        <f t="shared" si="41"/>
        <v/>
      </c>
      <c r="S391" s="132" t="str">
        <f t="shared" si="42"/>
        <v/>
      </c>
      <c r="T391" s="132" t="str">
        <f t="shared" si="43"/>
        <v/>
      </c>
      <c r="V391" s="131" t="str">
        <f t="shared" si="44"/>
        <v/>
      </c>
      <c r="W391" s="17"/>
      <c r="X391" s="7"/>
      <c r="Y391" s="161"/>
      <c r="Z391" s="7"/>
      <c r="AA391" s="117"/>
      <c r="AB391" s="117"/>
      <c r="AC391" s="117"/>
      <c r="CH391" s="2"/>
    </row>
    <row r="392" spans="1:86" x14ac:dyDescent="0.3">
      <c r="A392" s="2">
        <v>330</v>
      </c>
      <c r="B392" s="2" t="s">
        <v>84</v>
      </c>
      <c r="C392" s="2" t="s">
        <v>1</v>
      </c>
      <c r="D392" s="2" t="s">
        <v>772</v>
      </c>
      <c r="E392" s="2">
        <v>1300</v>
      </c>
      <c r="F392" s="2">
        <v>1.5599999999999999E-2</v>
      </c>
      <c r="G392" s="2">
        <v>1.21E-2</v>
      </c>
      <c r="H392" s="4">
        <f t="shared" si="39"/>
        <v>0.22435897435897434</v>
      </c>
      <c r="I392" s="2" t="s">
        <v>82</v>
      </c>
      <c r="J392" s="2" t="s">
        <v>107</v>
      </c>
      <c r="K392" s="2"/>
      <c r="L392" s="2"/>
      <c r="M392" s="155"/>
      <c r="N392" s="155"/>
      <c r="O392" s="2">
        <v>16</v>
      </c>
      <c r="P392" s="6"/>
      <c r="Q392" s="131" t="str">
        <f t="shared" si="40"/>
        <v/>
      </c>
      <c r="R392" s="33" t="str">
        <f t="shared" si="41"/>
        <v/>
      </c>
      <c r="S392" s="132" t="str">
        <f t="shared" si="42"/>
        <v/>
      </c>
      <c r="T392" s="132" t="str">
        <f t="shared" si="43"/>
        <v/>
      </c>
      <c r="V392" s="131" t="str">
        <f t="shared" si="44"/>
        <v/>
      </c>
      <c r="W392" s="17"/>
      <c r="X392" s="7"/>
      <c r="Y392" s="161"/>
      <c r="Z392" s="7"/>
      <c r="AA392" s="117"/>
      <c r="AB392" s="117"/>
      <c r="AC392" s="117"/>
      <c r="CH392" s="2"/>
    </row>
    <row r="393" spans="1:86" x14ac:dyDescent="0.3">
      <c r="A393" s="2">
        <v>331</v>
      </c>
      <c r="B393" s="2" t="s">
        <v>84</v>
      </c>
      <c r="C393" s="2" t="s">
        <v>1</v>
      </c>
      <c r="D393" s="2" t="s">
        <v>773</v>
      </c>
      <c r="E393" s="2">
        <v>1300</v>
      </c>
      <c r="F393" s="2">
        <v>2.2800000000000001E-2</v>
      </c>
      <c r="G393" s="2">
        <v>1.7000000000000001E-2</v>
      </c>
      <c r="H393" s="4">
        <f t="shared" si="39"/>
        <v>0.25438596491228066</v>
      </c>
      <c r="I393" s="2" t="s">
        <v>82</v>
      </c>
      <c r="J393" s="2" t="s">
        <v>600</v>
      </c>
      <c r="K393" s="2"/>
      <c r="L393" s="2"/>
      <c r="M393" s="155"/>
      <c r="N393" s="155"/>
      <c r="O393" s="2">
        <v>8</v>
      </c>
      <c r="P393" s="6"/>
      <c r="Q393" s="131" t="str">
        <f t="shared" si="40"/>
        <v/>
      </c>
      <c r="R393" s="33" t="str">
        <f t="shared" si="41"/>
        <v/>
      </c>
      <c r="S393" s="132" t="str">
        <f t="shared" si="42"/>
        <v/>
      </c>
      <c r="T393" s="132" t="str">
        <f t="shared" si="43"/>
        <v/>
      </c>
      <c r="V393" s="131" t="str">
        <f t="shared" si="44"/>
        <v/>
      </c>
      <c r="W393" s="17"/>
      <c r="X393" s="7"/>
      <c r="Y393" s="161"/>
      <c r="Z393" s="7"/>
      <c r="AA393" s="117"/>
      <c r="AB393" s="117"/>
      <c r="AC393" s="117"/>
      <c r="CH393" s="2"/>
    </row>
    <row r="394" spans="1:86" x14ac:dyDescent="0.3">
      <c r="A394" s="2">
        <v>332</v>
      </c>
      <c r="B394" s="2" t="s">
        <v>84</v>
      </c>
      <c r="C394" s="2" t="s">
        <v>1</v>
      </c>
      <c r="D394" s="2" t="s">
        <v>774</v>
      </c>
      <c r="E394" s="2">
        <v>1300</v>
      </c>
      <c r="F394" s="2">
        <v>1.15E-2</v>
      </c>
      <c r="G394" s="2">
        <v>8.0999999999999996E-3</v>
      </c>
      <c r="H394" s="4">
        <f t="shared" si="39"/>
        <v>0.29565217391304349</v>
      </c>
      <c r="I394" s="2" t="s">
        <v>82</v>
      </c>
      <c r="J394" s="2" t="s">
        <v>600</v>
      </c>
      <c r="K394" s="2"/>
      <c r="L394" s="2"/>
      <c r="M394" s="155"/>
      <c r="N394" s="155"/>
      <c r="O394" s="2">
        <v>8</v>
      </c>
      <c r="P394" s="6">
        <v>7</v>
      </c>
      <c r="Q394" s="131">
        <f t="shared" si="40"/>
        <v>25.318681318681318</v>
      </c>
      <c r="R394" s="33">
        <f t="shared" si="41"/>
        <v>7</v>
      </c>
      <c r="S394" s="132">
        <f t="shared" si="42"/>
        <v>0.875</v>
      </c>
      <c r="T394" s="132">
        <f t="shared" si="43"/>
        <v>0.875</v>
      </c>
      <c r="V394" s="131" t="str">
        <f t="shared" si="44"/>
        <v/>
      </c>
      <c r="W394" s="17"/>
      <c r="X394" s="7"/>
      <c r="Y394" s="161"/>
      <c r="Z394" s="7"/>
      <c r="AA394" s="117"/>
      <c r="AB394" s="117"/>
      <c r="AC394" s="117"/>
      <c r="CH394" s="2"/>
    </row>
    <row r="395" spans="1:86" x14ac:dyDescent="0.3">
      <c r="A395" s="2">
        <v>333</v>
      </c>
      <c r="B395" s="2" t="s">
        <v>84</v>
      </c>
      <c r="C395" s="2" t="s">
        <v>1</v>
      </c>
      <c r="D395" s="2" t="s">
        <v>775</v>
      </c>
      <c r="E395" s="2">
        <v>1500</v>
      </c>
      <c r="F395" s="2">
        <v>1.2800000000000001E-2</v>
      </c>
      <c r="G395" s="2">
        <v>1.06E-2</v>
      </c>
      <c r="H395" s="4">
        <f t="shared" si="39"/>
        <v>0.17187500000000003</v>
      </c>
      <c r="I395" s="2" t="s">
        <v>82</v>
      </c>
      <c r="J395" s="2" t="s">
        <v>598</v>
      </c>
      <c r="K395" s="2"/>
      <c r="L395" s="2"/>
      <c r="M395" s="155"/>
      <c r="N395" s="155"/>
      <c r="O395" s="2">
        <v>24</v>
      </c>
      <c r="P395" s="6">
        <v>6</v>
      </c>
      <c r="Q395" s="131">
        <f t="shared" si="40"/>
        <v>76.8</v>
      </c>
      <c r="R395" s="33">
        <f t="shared" si="41"/>
        <v>6</v>
      </c>
      <c r="S395" s="132">
        <f t="shared" si="42"/>
        <v>0.75</v>
      </c>
      <c r="T395" s="132">
        <f t="shared" si="43"/>
        <v>0.75</v>
      </c>
      <c r="V395" s="131" t="str">
        <f t="shared" si="44"/>
        <v/>
      </c>
      <c r="W395" s="17"/>
      <c r="X395" s="7"/>
      <c r="Y395" s="161"/>
      <c r="Z395" s="7"/>
      <c r="AA395" s="117"/>
      <c r="AB395" s="117"/>
      <c r="AC395" s="117"/>
      <c r="CH395" s="2"/>
    </row>
    <row r="396" spans="1:86" x14ac:dyDescent="0.3">
      <c r="A396" s="23">
        <v>334</v>
      </c>
      <c r="B396" s="2" t="s">
        <v>0</v>
      </c>
      <c r="C396" s="2" t="s">
        <v>1</v>
      </c>
      <c r="D396" s="2" t="s">
        <v>776</v>
      </c>
      <c r="E396" s="2">
        <v>1000</v>
      </c>
      <c r="F396" s="2">
        <v>8.3999999999999995E-3</v>
      </c>
      <c r="G396" s="2">
        <v>5.0000000000000001E-3</v>
      </c>
      <c r="H396" s="4">
        <f t="shared" si="39"/>
        <v>0.40476190476190471</v>
      </c>
      <c r="I396" s="2" t="s">
        <v>82</v>
      </c>
      <c r="J396" s="2" t="s">
        <v>610</v>
      </c>
      <c r="K396" s="2" t="s">
        <v>90</v>
      </c>
      <c r="L396" s="2" t="s">
        <v>6</v>
      </c>
      <c r="M396" s="155"/>
      <c r="N396" s="155"/>
      <c r="O396" s="2">
        <v>40</v>
      </c>
      <c r="P396" s="6">
        <v>8</v>
      </c>
      <c r="Q396" s="131">
        <f t="shared" si="40"/>
        <v>144</v>
      </c>
      <c r="R396" s="33">
        <f t="shared" si="41"/>
        <v>8</v>
      </c>
      <c r="S396" s="132">
        <f t="shared" si="42"/>
        <v>1</v>
      </c>
      <c r="T396" s="132">
        <f t="shared" si="43"/>
        <v>1</v>
      </c>
      <c r="V396" s="131">
        <f t="shared" si="44"/>
        <v>27.961165048543691</v>
      </c>
      <c r="W396" s="17">
        <v>41.2</v>
      </c>
      <c r="X396" s="8">
        <f>60*60*8/W396</f>
        <v>699.02912621359224</v>
      </c>
      <c r="Y396" s="161">
        <v>45495</v>
      </c>
      <c r="Z396" s="7" t="s">
        <v>7</v>
      </c>
      <c r="AA396" s="117"/>
      <c r="AB396" s="117"/>
      <c r="AC396" s="117"/>
      <c r="AD396" s="24">
        <v>45495</v>
      </c>
      <c r="AE396">
        <v>8</v>
      </c>
      <c r="AF396">
        <v>8.9</v>
      </c>
      <c r="AG396">
        <v>2.2000000000000002</v>
      </c>
      <c r="AI396">
        <v>0.2</v>
      </c>
      <c r="AJ396">
        <v>0.4</v>
      </c>
      <c r="AK396">
        <v>9</v>
      </c>
      <c r="AL396">
        <v>8.5</v>
      </c>
      <c r="AN396">
        <v>15</v>
      </c>
      <c r="AS396">
        <v>41.2</v>
      </c>
      <c r="AT396">
        <v>6.5</v>
      </c>
      <c r="AU396">
        <v>16</v>
      </c>
      <c r="AV396">
        <v>125</v>
      </c>
      <c r="AW396">
        <v>135</v>
      </c>
      <c r="AX396">
        <v>9.5</v>
      </c>
      <c r="AY396">
        <v>23.5</v>
      </c>
      <c r="AZ396">
        <v>101</v>
      </c>
      <c r="BA396">
        <v>112</v>
      </c>
      <c r="BB396">
        <v>400</v>
      </c>
      <c r="CH396" s="2"/>
    </row>
    <row r="397" spans="1:86" x14ac:dyDescent="0.3">
      <c r="A397" s="2">
        <v>337</v>
      </c>
      <c r="B397" s="2" t="s">
        <v>84</v>
      </c>
      <c r="C397" s="2" t="s">
        <v>1</v>
      </c>
      <c r="D397" s="2" t="s">
        <v>777</v>
      </c>
      <c r="E397" s="2">
        <v>900</v>
      </c>
      <c r="F397" s="2">
        <v>1.54E-2</v>
      </c>
      <c r="G397" s="2"/>
      <c r="H397" s="4">
        <f t="shared" si="39"/>
        <v>1</v>
      </c>
      <c r="I397" s="2" t="s">
        <v>98</v>
      </c>
      <c r="J397" s="2" t="s">
        <v>575</v>
      </c>
      <c r="K397" s="2" t="s">
        <v>105</v>
      </c>
      <c r="L397" s="2" t="s">
        <v>76</v>
      </c>
      <c r="M397" s="155"/>
      <c r="N397" s="155"/>
      <c r="O397" s="2">
        <v>10</v>
      </c>
      <c r="P397" s="6">
        <v>22</v>
      </c>
      <c r="Q397" s="131">
        <f t="shared" si="40"/>
        <v>14.545454545454545</v>
      </c>
      <c r="R397" s="33">
        <f t="shared" si="41"/>
        <v>22</v>
      </c>
      <c r="S397" s="132">
        <f t="shared" si="42"/>
        <v>2.75</v>
      </c>
      <c r="T397" s="132">
        <f t="shared" si="43"/>
        <v>2.75</v>
      </c>
      <c r="V397" s="131" t="str">
        <f t="shared" si="44"/>
        <v/>
      </c>
      <c r="W397" s="17"/>
      <c r="X397" s="7"/>
      <c r="Y397" s="161"/>
      <c r="Z397" s="7"/>
      <c r="AA397" s="117"/>
      <c r="AB397" s="117"/>
      <c r="AC397" s="117"/>
      <c r="CH397" s="2"/>
    </row>
    <row r="398" spans="1:86" x14ac:dyDescent="0.3">
      <c r="A398" s="2">
        <v>339</v>
      </c>
      <c r="B398" s="2" t="s">
        <v>84</v>
      </c>
      <c r="C398" s="2" t="s">
        <v>1</v>
      </c>
      <c r="D398" s="2" t="s">
        <v>778</v>
      </c>
      <c r="E398" s="2">
        <v>2100</v>
      </c>
      <c r="F398" s="2">
        <v>7.7000000000000002E-3</v>
      </c>
      <c r="G398" s="2"/>
      <c r="H398" s="4">
        <f t="shared" si="39"/>
        <v>1</v>
      </c>
      <c r="I398" s="2" t="s">
        <v>98</v>
      </c>
      <c r="J398" s="2" t="s">
        <v>575</v>
      </c>
      <c r="K398" s="2" t="s">
        <v>105</v>
      </c>
      <c r="L398" s="2" t="s">
        <v>76</v>
      </c>
      <c r="M398" s="155"/>
      <c r="N398" s="155"/>
      <c r="O398" s="2">
        <v>20</v>
      </c>
      <c r="P398" s="6">
        <v>15</v>
      </c>
      <c r="Q398" s="131">
        <f t="shared" si="40"/>
        <v>18.285714285714285</v>
      </c>
      <c r="R398" s="33">
        <f t="shared" si="41"/>
        <v>15</v>
      </c>
      <c r="S398" s="132">
        <f t="shared" si="42"/>
        <v>1.875</v>
      </c>
      <c r="T398" s="132">
        <f t="shared" si="43"/>
        <v>1.875</v>
      </c>
      <c r="V398" s="131" t="str">
        <f t="shared" si="44"/>
        <v/>
      </c>
      <c r="W398" s="17"/>
      <c r="X398" s="7"/>
      <c r="Y398" s="161"/>
      <c r="Z398" s="7"/>
      <c r="AA398" s="117"/>
      <c r="AB398" s="117"/>
      <c r="AC398" s="117"/>
      <c r="CH398" s="2"/>
    </row>
    <row r="399" spans="1:86" x14ac:dyDescent="0.3">
      <c r="A399" s="2">
        <v>344</v>
      </c>
      <c r="B399" s="2" t="s">
        <v>0</v>
      </c>
      <c r="C399" s="2" t="s">
        <v>1</v>
      </c>
      <c r="D399" s="2" t="s">
        <v>779</v>
      </c>
      <c r="E399" s="2">
        <v>300</v>
      </c>
      <c r="F399" s="2">
        <v>9.3399999999999997E-2</v>
      </c>
      <c r="G399" s="2"/>
      <c r="H399" s="4">
        <f t="shared" si="39"/>
        <v>1</v>
      </c>
      <c r="I399" s="2" t="s">
        <v>82</v>
      </c>
      <c r="J399" s="2" t="s">
        <v>583</v>
      </c>
      <c r="K399" s="2" t="s">
        <v>258</v>
      </c>
      <c r="L399" s="2" t="s">
        <v>76</v>
      </c>
      <c r="M399" s="155"/>
      <c r="N399" s="155"/>
      <c r="O399" s="2">
        <v>3</v>
      </c>
      <c r="P399" s="6">
        <v>16</v>
      </c>
      <c r="Q399" s="131">
        <f t="shared" si="40"/>
        <v>18</v>
      </c>
      <c r="R399" s="33">
        <f t="shared" si="41"/>
        <v>16</v>
      </c>
      <c r="S399" s="132">
        <f t="shared" si="42"/>
        <v>2</v>
      </c>
      <c r="T399" s="132">
        <f t="shared" si="43"/>
        <v>2</v>
      </c>
      <c r="V399" s="131" t="str">
        <f t="shared" si="44"/>
        <v/>
      </c>
      <c r="W399" s="17"/>
      <c r="X399" s="7"/>
      <c r="Y399" s="161"/>
      <c r="Z399" s="7"/>
      <c r="AA399" s="117"/>
      <c r="AB399" s="117"/>
      <c r="AC399" s="117"/>
      <c r="CH399" s="2"/>
    </row>
    <row r="400" spans="1:86" x14ac:dyDescent="0.3">
      <c r="A400" s="2">
        <v>345</v>
      </c>
      <c r="B400" s="2" t="s">
        <v>0</v>
      </c>
      <c r="C400" s="2" t="s">
        <v>1</v>
      </c>
      <c r="D400" s="2" t="s">
        <v>780</v>
      </c>
      <c r="E400" s="2">
        <v>200</v>
      </c>
      <c r="F400" s="2">
        <v>4.9099999999999998E-2</v>
      </c>
      <c r="G400" s="2">
        <v>4.0599999999999997E-2</v>
      </c>
      <c r="H400" s="4">
        <f t="shared" si="39"/>
        <v>0.17311608961303465</v>
      </c>
      <c r="I400" s="2" t="s">
        <v>82</v>
      </c>
      <c r="J400" s="2" t="s">
        <v>579</v>
      </c>
      <c r="K400" s="2" t="s">
        <v>5</v>
      </c>
      <c r="L400" s="2" t="s">
        <v>6</v>
      </c>
      <c r="M400" s="155"/>
      <c r="N400" s="155"/>
      <c r="O400" s="2">
        <v>8</v>
      </c>
      <c r="P400" s="6">
        <v>18</v>
      </c>
      <c r="Q400" s="131">
        <f t="shared" si="40"/>
        <v>64</v>
      </c>
      <c r="R400" s="33">
        <f t="shared" si="41"/>
        <v>18</v>
      </c>
      <c r="S400" s="132">
        <f t="shared" si="42"/>
        <v>2.25</v>
      </c>
      <c r="T400" s="132">
        <f t="shared" si="43"/>
        <v>2.25</v>
      </c>
      <c r="V400" s="131" t="str">
        <f t="shared" si="44"/>
        <v/>
      </c>
      <c r="W400" s="17"/>
      <c r="X400" s="7"/>
      <c r="Y400" s="161"/>
      <c r="Z400" s="7"/>
      <c r="AA400" s="117"/>
      <c r="AB400" s="117"/>
      <c r="AC400" s="117"/>
      <c r="CH400" s="2"/>
    </row>
    <row r="401" spans="1:86" x14ac:dyDescent="0.3">
      <c r="A401" s="2">
        <v>346</v>
      </c>
      <c r="B401" s="2" t="s">
        <v>0</v>
      </c>
      <c r="C401" s="2" t="s">
        <v>1</v>
      </c>
      <c r="D401" s="2" t="s">
        <v>781</v>
      </c>
      <c r="E401" s="2">
        <v>400</v>
      </c>
      <c r="F401" s="2">
        <v>6.2799999999999995E-2</v>
      </c>
      <c r="G401" s="2"/>
      <c r="H401" s="4">
        <f t="shared" si="39"/>
        <v>1</v>
      </c>
      <c r="I401" s="2" t="s">
        <v>82</v>
      </c>
      <c r="J401" s="2" t="s">
        <v>589</v>
      </c>
      <c r="K401" s="2" t="s">
        <v>230</v>
      </c>
      <c r="L401" s="2" t="s">
        <v>76</v>
      </c>
      <c r="M401" s="155"/>
      <c r="N401" s="155"/>
      <c r="O401" s="2">
        <v>4</v>
      </c>
      <c r="P401" s="6">
        <v>16</v>
      </c>
      <c r="Q401" s="131">
        <f t="shared" si="40"/>
        <v>18</v>
      </c>
      <c r="R401" s="33">
        <f t="shared" si="41"/>
        <v>16</v>
      </c>
      <c r="S401" s="132">
        <f t="shared" si="42"/>
        <v>2</v>
      </c>
      <c r="T401" s="132">
        <f t="shared" si="43"/>
        <v>2</v>
      </c>
      <c r="V401" s="131" t="str">
        <f t="shared" si="44"/>
        <v/>
      </c>
      <c r="W401" s="17"/>
      <c r="X401" s="7"/>
      <c r="Y401" s="161"/>
      <c r="Z401" s="7"/>
      <c r="AA401" s="117"/>
      <c r="AB401" s="117"/>
      <c r="AC401" s="117"/>
      <c r="CH401" s="2"/>
    </row>
    <row r="402" spans="1:86" x14ac:dyDescent="0.3">
      <c r="A402" s="2">
        <v>347</v>
      </c>
      <c r="B402" s="2" t="s">
        <v>0</v>
      </c>
      <c r="C402" s="2" t="s">
        <v>1</v>
      </c>
      <c r="D402" s="2" t="s">
        <v>782</v>
      </c>
      <c r="E402" s="2">
        <v>600</v>
      </c>
      <c r="F402" s="2">
        <v>1.8100000000000002E-2</v>
      </c>
      <c r="G402" s="2">
        <v>1.47E-2</v>
      </c>
      <c r="H402" s="4">
        <f t="shared" si="39"/>
        <v>0.18784530386740342</v>
      </c>
      <c r="I402" s="2" t="s">
        <v>82</v>
      </c>
      <c r="J402" s="2" t="s">
        <v>579</v>
      </c>
      <c r="K402" s="2" t="s">
        <v>222</v>
      </c>
      <c r="L402" s="2" t="s">
        <v>76</v>
      </c>
      <c r="M402" s="155"/>
      <c r="N402" s="155"/>
      <c r="O402" s="2">
        <v>21</v>
      </c>
      <c r="P402" s="6">
        <v>20</v>
      </c>
      <c r="Q402" s="131">
        <f t="shared" si="40"/>
        <v>50.4</v>
      </c>
      <c r="R402" s="33">
        <f t="shared" si="41"/>
        <v>20</v>
      </c>
      <c r="S402" s="132">
        <f t="shared" si="42"/>
        <v>2.5</v>
      </c>
      <c r="T402" s="132">
        <f t="shared" si="43"/>
        <v>2.5</v>
      </c>
      <c r="V402" s="131" t="str">
        <f t="shared" si="44"/>
        <v/>
      </c>
      <c r="W402" s="17"/>
      <c r="X402" s="7"/>
      <c r="Y402" s="161"/>
      <c r="Z402" s="7"/>
      <c r="AA402" s="117"/>
      <c r="AB402" s="117"/>
      <c r="AC402" s="117"/>
      <c r="CH402" s="2"/>
    </row>
    <row r="403" spans="1:86" x14ac:dyDescent="0.3">
      <c r="A403" s="2">
        <v>348</v>
      </c>
      <c r="B403" s="2" t="s">
        <v>0</v>
      </c>
      <c r="C403" s="2" t="s">
        <v>1</v>
      </c>
      <c r="D403" s="2" t="s">
        <v>783</v>
      </c>
      <c r="E403" s="2">
        <v>300</v>
      </c>
      <c r="F403" s="2">
        <v>3.3000000000000002E-2</v>
      </c>
      <c r="G403" s="2">
        <v>2.41E-2</v>
      </c>
      <c r="H403" s="4">
        <f t="shared" si="39"/>
        <v>0.26969696969696971</v>
      </c>
      <c r="I403" s="2" t="s">
        <v>82</v>
      </c>
      <c r="J403" s="2" t="s">
        <v>581</v>
      </c>
      <c r="K403" s="2" t="s">
        <v>105</v>
      </c>
      <c r="L403" s="2" t="s">
        <v>76</v>
      </c>
      <c r="M403" s="155"/>
      <c r="N403" s="155"/>
      <c r="O403" s="2">
        <v>10</v>
      </c>
      <c r="P403" s="6">
        <v>30</v>
      </c>
      <c r="Q403" s="131">
        <f t="shared" si="40"/>
        <v>32</v>
      </c>
      <c r="R403" s="33">
        <f t="shared" si="41"/>
        <v>30</v>
      </c>
      <c r="S403" s="132">
        <f t="shared" si="42"/>
        <v>3.75</v>
      </c>
      <c r="T403" s="132">
        <f t="shared" si="43"/>
        <v>3.75</v>
      </c>
      <c r="V403" s="131" t="str">
        <f t="shared" si="44"/>
        <v/>
      </c>
      <c r="W403" s="17"/>
      <c r="X403" s="7"/>
      <c r="Y403" s="161"/>
      <c r="Z403" s="7"/>
      <c r="AA403" s="117"/>
      <c r="AB403" s="117"/>
      <c r="AC403" s="117"/>
      <c r="CH403" s="2"/>
    </row>
    <row r="404" spans="1:86" x14ac:dyDescent="0.3">
      <c r="A404" s="2">
        <v>349</v>
      </c>
      <c r="B404" s="2" t="s">
        <v>0</v>
      </c>
      <c r="C404" s="2" t="s">
        <v>1</v>
      </c>
      <c r="D404" s="2" t="s">
        <v>784</v>
      </c>
      <c r="E404" s="2">
        <v>300</v>
      </c>
      <c r="F404" s="2">
        <v>3.3300000000000003E-2</v>
      </c>
      <c r="G404" s="2">
        <v>2.5000000000000001E-2</v>
      </c>
      <c r="H404" s="4">
        <f t="shared" si="39"/>
        <v>0.24924924924924927</v>
      </c>
      <c r="I404" s="2" t="s">
        <v>82</v>
      </c>
      <c r="J404" s="2" t="s">
        <v>581</v>
      </c>
      <c r="K404" s="2" t="s">
        <v>435</v>
      </c>
      <c r="L404" s="2" t="s">
        <v>6</v>
      </c>
      <c r="M404" s="155"/>
      <c r="N404" s="155"/>
      <c r="O404" s="2">
        <v>10</v>
      </c>
      <c r="P404" s="6">
        <v>15</v>
      </c>
      <c r="Q404" s="131">
        <f t="shared" si="40"/>
        <v>64</v>
      </c>
      <c r="R404" s="33">
        <f t="shared" si="41"/>
        <v>15</v>
      </c>
      <c r="S404" s="132">
        <f t="shared" si="42"/>
        <v>1.875</v>
      </c>
      <c r="T404" s="132">
        <f t="shared" si="43"/>
        <v>1.875</v>
      </c>
      <c r="V404" s="131" t="str">
        <f t="shared" si="44"/>
        <v/>
      </c>
      <c r="W404" s="17"/>
      <c r="X404" s="7"/>
      <c r="Y404" s="161"/>
      <c r="Z404" s="7"/>
      <c r="AA404" s="117"/>
      <c r="AB404" s="117"/>
      <c r="AC404" s="117"/>
      <c r="CH404" s="2"/>
    </row>
    <row r="405" spans="1:86" x14ac:dyDescent="0.3">
      <c r="A405" s="2">
        <v>350</v>
      </c>
      <c r="B405" s="2" t="s">
        <v>0</v>
      </c>
      <c r="C405" s="2" t="s">
        <v>1</v>
      </c>
      <c r="D405" s="2" t="s">
        <v>785</v>
      </c>
      <c r="E405" s="2">
        <v>300</v>
      </c>
      <c r="F405" s="2">
        <v>4.7699999999999999E-2</v>
      </c>
      <c r="G405" s="2">
        <v>3.4799999999999998E-2</v>
      </c>
      <c r="H405" s="4">
        <f t="shared" si="39"/>
        <v>0.27044025157232709</v>
      </c>
      <c r="I405" s="2" t="s">
        <v>82</v>
      </c>
      <c r="J405" s="2" t="s">
        <v>581</v>
      </c>
      <c r="K405" s="2" t="s">
        <v>5</v>
      </c>
      <c r="L405" s="2" t="s">
        <v>6</v>
      </c>
      <c r="M405" s="155"/>
      <c r="N405" s="155"/>
      <c r="O405" s="2">
        <v>8</v>
      </c>
      <c r="P405" s="6">
        <v>14</v>
      </c>
      <c r="Q405" s="131">
        <f t="shared" si="40"/>
        <v>54.857142857142854</v>
      </c>
      <c r="R405" s="33">
        <f t="shared" si="41"/>
        <v>14</v>
      </c>
      <c r="S405" s="132">
        <f t="shared" si="42"/>
        <v>1.75</v>
      </c>
      <c r="T405" s="132">
        <f t="shared" si="43"/>
        <v>1.75</v>
      </c>
      <c r="V405" s="131" t="str">
        <f t="shared" si="44"/>
        <v/>
      </c>
      <c r="W405" s="17"/>
      <c r="X405" s="7"/>
      <c r="Y405" s="161"/>
      <c r="Z405" s="7"/>
      <c r="AA405" s="117"/>
      <c r="AB405" s="117"/>
      <c r="AC405" s="117"/>
      <c r="CH405" s="2"/>
    </row>
    <row r="406" spans="1:86" x14ac:dyDescent="0.3">
      <c r="A406" s="2">
        <v>351</v>
      </c>
      <c r="B406" s="2" t="s">
        <v>0</v>
      </c>
      <c r="C406" s="2" t="s">
        <v>1</v>
      </c>
      <c r="D406" s="2" t="s">
        <v>786</v>
      </c>
      <c r="E406" s="2">
        <v>1500</v>
      </c>
      <c r="F406" s="2">
        <v>4.0000000000000001E-3</v>
      </c>
      <c r="G406" s="2">
        <v>2.7000000000000001E-3</v>
      </c>
      <c r="H406" s="4">
        <f t="shared" si="39"/>
        <v>0.32499999999999996</v>
      </c>
      <c r="I406" s="2" t="s">
        <v>82</v>
      </c>
      <c r="J406" s="2" t="s">
        <v>598</v>
      </c>
      <c r="K406" s="2" t="s">
        <v>90</v>
      </c>
      <c r="L406" s="2" t="s">
        <v>6</v>
      </c>
      <c r="M406" s="155"/>
      <c r="N406" s="155"/>
      <c r="O406" s="2">
        <v>35</v>
      </c>
      <c r="P406" s="6">
        <v>15</v>
      </c>
      <c r="Q406" s="131">
        <f t="shared" si="40"/>
        <v>44.8</v>
      </c>
      <c r="R406" s="33">
        <f t="shared" si="41"/>
        <v>15.000000000000002</v>
      </c>
      <c r="S406" s="132">
        <f t="shared" si="42"/>
        <v>1.8750000000000002</v>
      </c>
      <c r="T406" s="132">
        <f t="shared" si="43"/>
        <v>1.8750000000000002</v>
      </c>
      <c r="V406" s="131" t="str">
        <f t="shared" si="44"/>
        <v/>
      </c>
      <c r="W406" s="17"/>
      <c r="X406" s="7"/>
      <c r="Y406" s="161"/>
      <c r="Z406" s="7"/>
      <c r="AA406" s="117"/>
      <c r="AB406" s="117"/>
      <c r="AC406" s="117"/>
      <c r="CH406" s="2"/>
    </row>
    <row r="407" spans="1:86" x14ac:dyDescent="0.3">
      <c r="A407" s="2">
        <v>352</v>
      </c>
      <c r="B407" s="2" t="s">
        <v>0</v>
      </c>
      <c r="C407" s="2" t="s">
        <v>1</v>
      </c>
      <c r="D407" s="2" t="s">
        <v>787</v>
      </c>
      <c r="E407" s="2">
        <v>4700</v>
      </c>
      <c r="F407" s="2">
        <v>2.5999999999999999E-3</v>
      </c>
      <c r="G407" s="2">
        <v>2E-3</v>
      </c>
      <c r="H407" s="4">
        <f t="shared" si="39"/>
        <v>0.23076923076923073</v>
      </c>
      <c r="I407" s="2" t="s">
        <v>82</v>
      </c>
      <c r="J407" s="2" t="s">
        <v>645</v>
      </c>
      <c r="K407" s="2" t="s">
        <v>5</v>
      </c>
      <c r="L407" s="2" t="s">
        <v>6</v>
      </c>
      <c r="M407" s="155"/>
      <c r="N407" s="155"/>
      <c r="O407" s="2">
        <v>78</v>
      </c>
      <c r="P407" s="6">
        <v>7</v>
      </c>
      <c r="Q407" s="131">
        <f t="shared" si="40"/>
        <v>68.279635258358653</v>
      </c>
      <c r="R407" s="33">
        <f t="shared" si="41"/>
        <v>7.0000000000000009</v>
      </c>
      <c r="S407" s="132">
        <f t="shared" si="42"/>
        <v>0.87500000000000011</v>
      </c>
      <c r="T407" s="132">
        <f t="shared" si="43"/>
        <v>0.87500000000000011</v>
      </c>
      <c r="V407" s="131" t="str">
        <f t="shared" si="44"/>
        <v/>
      </c>
      <c r="W407" s="17"/>
      <c r="X407" s="7"/>
      <c r="Y407" s="161"/>
      <c r="Z407" s="7"/>
      <c r="AA407" s="117"/>
      <c r="AB407" s="117"/>
      <c r="AC407" s="117"/>
      <c r="CH407" s="2"/>
    </row>
    <row r="408" spans="1:86" x14ac:dyDescent="0.3">
      <c r="A408" s="2">
        <v>353</v>
      </c>
      <c r="B408" s="2" t="s">
        <v>0</v>
      </c>
      <c r="C408" s="2" t="s">
        <v>1</v>
      </c>
      <c r="D408" s="2" t="s">
        <v>788</v>
      </c>
      <c r="E408" s="2">
        <v>4700</v>
      </c>
      <c r="F408" s="2">
        <v>2.5999999999999999E-3</v>
      </c>
      <c r="G408" s="2">
        <v>2E-3</v>
      </c>
      <c r="H408" s="4">
        <f t="shared" si="39"/>
        <v>0.23076923076923073</v>
      </c>
      <c r="I408" s="2" t="s">
        <v>82</v>
      </c>
      <c r="J408" s="2" t="s">
        <v>645</v>
      </c>
      <c r="K408" s="2" t="s">
        <v>5</v>
      </c>
      <c r="L408" s="2" t="s">
        <v>6</v>
      </c>
      <c r="M408" s="155"/>
      <c r="N408" s="155"/>
      <c r="O408" s="2">
        <v>78</v>
      </c>
      <c r="P408" s="6">
        <v>7</v>
      </c>
      <c r="Q408" s="131">
        <f t="shared" si="40"/>
        <v>68.279635258358653</v>
      </c>
      <c r="R408" s="33">
        <f t="shared" si="41"/>
        <v>7.0000000000000009</v>
      </c>
      <c r="S408" s="132">
        <f t="shared" si="42"/>
        <v>0.87500000000000011</v>
      </c>
      <c r="T408" s="132">
        <f t="shared" si="43"/>
        <v>0.87500000000000011</v>
      </c>
      <c r="V408" s="131" t="str">
        <f t="shared" si="44"/>
        <v/>
      </c>
      <c r="W408" s="17"/>
      <c r="X408" s="7"/>
      <c r="Y408" s="161"/>
      <c r="Z408" s="7"/>
      <c r="AA408" s="117"/>
      <c r="AB408" s="117"/>
      <c r="AC408" s="117"/>
      <c r="CH408" s="2"/>
    </row>
    <row r="409" spans="1:86" x14ac:dyDescent="0.3">
      <c r="A409" s="2">
        <v>354</v>
      </c>
      <c r="B409" s="23" t="s">
        <v>0</v>
      </c>
      <c r="C409" s="2" t="s">
        <v>1</v>
      </c>
      <c r="D409" s="2" t="s">
        <v>789</v>
      </c>
      <c r="E409" s="2">
        <v>4700</v>
      </c>
      <c r="F409" s="2">
        <v>3.8999999999999998E-3</v>
      </c>
      <c r="G409" s="2">
        <v>3.0000000000000001E-3</v>
      </c>
      <c r="H409" s="4">
        <f t="shared" si="39"/>
        <v>0.23076923076923073</v>
      </c>
      <c r="I409" s="2" t="s">
        <v>82</v>
      </c>
      <c r="J409" s="2" t="s">
        <v>598</v>
      </c>
      <c r="K409" s="2" t="s">
        <v>5</v>
      </c>
      <c r="L409" s="2" t="s">
        <v>6</v>
      </c>
      <c r="M409" s="155"/>
      <c r="N409" s="155"/>
      <c r="O409" s="2">
        <v>78</v>
      </c>
      <c r="P409" s="6">
        <v>7</v>
      </c>
      <c r="Q409" s="131">
        <f t="shared" si="40"/>
        <v>68.279635258358653</v>
      </c>
      <c r="R409" s="33">
        <f t="shared" si="41"/>
        <v>7.0000000000000009</v>
      </c>
      <c r="S409" s="132">
        <f t="shared" si="42"/>
        <v>0.87500000000000011</v>
      </c>
      <c r="T409" s="132">
        <f t="shared" si="43"/>
        <v>0.87500000000000011</v>
      </c>
      <c r="V409" s="131" t="str">
        <f t="shared" si="44"/>
        <v/>
      </c>
      <c r="W409" s="17"/>
      <c r="X409" s="7"/>
      <c r="Y409" s="161"/>
      <c r="Z409" s="7"/>
      <c r="AA409" s="117"/>
      <c r="AB409" s="117"/>
      <c r="AC409" s="117"/>
      <c r="CH409" s="2"/>
    </row>
    <row r="410" spans="1:86" x14ac:dyDescent="0.3">
      <c r="A410" s="2">
        <v>355</v>
      </c>
      <c r="B410" s="2" t="s">
        <v>0</v>
      </c>
      <c r="C410" s="2" t="s">
        <v>1</v>
      </c>
      <c r="D410" s="2" t="s">
        <v>790</v>
      </c>
      <c r="E410" s="2">
        <v>2900</v>
      </c>
      <c r="F410" s="2">
        <v>4.4999999999999997E-3</v>
      </c>
      <c r="G410" s="2">
        <v>3.5999999999999999E-3</v>
      </c>
      <c r="H410" s="4">
        <f t="shared" si="39"/>
        <v>0.19999999999999996</v>
      </c>
      <c r="I410" s="2" t="s">
        <v>82</v>
      </c>
      <c r="J410" s="2" t="s">
        <v>791</v>
      </c>
      <c r="K410" s="2" t="s">
        <v>5</v>
      </c>
      <c r="L410" s="2" t="s">
        <v>6</v>
      </c>
      <c r="M410" s="155"/>
      <c r="N410" s="155"/>
      <c r="O410" s="2">
        <v>60</v>
      </c>
      <c r="P410" s="6">
        <v>12</v>
      </c>
      <c r="Q410" s="131">
        <f t="shared" si="40"/>
        <v>49.655172413793103</v>
      </c>
      <c r="R410" s="33">
        <f t="shared" si="41"/>
        <v>12</v>
      </c>
      <c r="S410" s="132">
        <f t="shared" si="42"/>
        <v>1.5</v>
      </c>
      <c r="T410" s="132">
        <f t="shared" si="43"/>
        <v>1.5</v>
      </c>
      <c r="V410" s="131">
        <f t="shared" si="44"/>
        <v>13.06715063520871</v>
      </c>
      <c r="W410" s="17">
        <v>45.6</v>
      </c>
      <c r="X410" s="8">
        <f>60*60*8/W410</f>
        <v>631.57894736842104</v>
      </c>
      <c r="Y410" s="161">
        <v>45495</v>
      </c>
      <c r="Z410" s="7" t="s">
        <v>7</v>
      </c>
      <c r="AA410" s="117"/>
      <c r="AB410" s="117"/>
      <c r="AC410" s="117"/>
      <c r="CH410" s="2"/>
    </row>
    <row r="411" spans="1:86" x14ac:dyDescent="0.3">
      <c r="A411" s="2">
        <v>356</v>
      </c>
      <c r="B411" s="2" t="s">
        <v>0</v>
      </c>
      <c r="C411" s="2" t="s">
        <v>1</v>
      </c>
      <c r="D411" s="2" t="s">
        <v>792</v>
      </c>
      <c r="E411" s="2">
        <v>2100</v>
      </c>
      <c r="F411" s="2">
        <v>3.0000000000000001E-3</v>
      </c>
      <c r="G411" s="2">
        <v>2.3999999999999998E-3</v>
      </c>
      <c r="H411" s="4">
        <f t="shared" si="39"/>
        <v>0.20000000000000009</v>
      </c>
      <c r="I411" s="2" t="s">
        <v>82</v>
      </c>
      <c r="J411" s="2" t="s">
        <v>743</v>
      </c>
      <c r="K411" s="2" t="s">
        <v>90</v>
      </c>
      <c r="L411" s="2" t="s">
        <v>6</v>
      </c>
      <c r="M411" s="155"/>
      <c r="N411" s="155"/>
      <c r="O411" s="2">
        <v>60</v>
      </c>
      <c r="P411" s="6">
        <v>10</v>
      </c>
      <c r="Q411" s="131">
        <f t="shared" si="40"/>
        <v>82.285714285714292</v>
      </c>
      <c r="R411" s="33">
        <f t="shared" si="41"/>
        <v>10</v>
      </c>
      <c r="S411" s="132">
        <f t="shared" si="42"/>
        <v>1.25</v>
      </c>
      <c r="T411" s="132">
        <f t="shared" si="43"/>
        <v>1.25</v>
      </c>
      <c r="V411" s="131" t="str">
        <f t="shared" si="44"/>
        <v/>
      </c>
      <c r="W411" s="17"/>
      <c r="X411" s="7"/>
      <c r="Y411" s="161"/>
      <c r="Z411" s="7"/>
      <c r="AA411" s="117"/>
      <c r="AB411" s="117"/>
      <c r="AC411" s="117"/>
      <c r="CH411" s="2"/>
    </row>
    <row r="412" spans="1:86" x14ac:dyDescent="0.3">
      <c r="A412" s="2">
        <v>357</v>
      </c>
      <c r="B412" s="2" t="s">
        <v>0</v>
      </c>
      <c r="C412" s="2" t="s">
        <v>1</v>
      </c>
      <c r="D412" s="2" t="s">
        <v>793</v>
      </c>
      <c r="E412" s="2">
        <v>3300</v>
      </c>
      <c r="F412" s="2">
        <v>5.5999999999999999E-3</v>
      </c>
      <c r="G412" s="2">
        <v>4.0000000000000001E-3</v>
      </c>
      <c r="H412" s="4">
        <f t="shared" si="39"/>
        <v>0.2857142857142857</v>
      </c>
      <c r="I412" s="2" t="s">
        <v>82</v>
      </c>
      <c r="J412" s="2" t="s">
        <v>598</v>
      </c>
      <c r="K412" s="2" t="s">
        <v>5</v>
      </c>
      <c r="L412" s="2" t="s">
        <v>6</v>
      </c>
      <c r="M412" s="155">
        <v>15</v>
      </c>
      <c r="N412" s="155">
        <v>220</v>
      </c>
      <c r="O412" s="2">
        <v>55</v>
      </c>
      <c r="P412" s="6">
        <v>10</v>
      </c>
      <c r="Q412" s="131">
        <f t="shared" si="40"/>
        <v>48</v>
      </c>
      <c r="R412" s="33">
        <f t="shared" si="41"/>
        <v>10</v>
      </c>
      <c r="S412" s="132">
        <f t="shared" si="42"/>
        <v>1.25</v>
      </c>
      <c r="T412" s="132">
        <f t="shared" si="43"/>
        <v>1.25</v>
      </c>
      <c r="V412" s="131" t="str">
        <f t="shared" si="44"/>
        <v/>
      </c>
      <c r="W412" s="17"/>
      <c r="X412" s="7"/>
      <c r="Y412" s="161"/>
      <c r="Z412" s="7"/>
      <c r="AA412" s="117"/>
      <c r="AB412" s="117"/>
      <c r="AC412" s="117"/>
      <c r="CH412" s="2"/>
    </row>
    <row r="413" spans="1:86" x14ac:dyDescent="0.3">
      <c r="A413" s="2">
        <v>358</v>
      </c>
      <c r="B413" s="2" t="s">
        <v>0</v>
      </c>
      <c r="C413" s="2" t="s">
        <v>1</v>
      </c>
      <c r="D413" s="2" t="s">
        <v>794</v>
      </c>
      <c r="E413" s="2">
        <v>2900</v>
      </c>
      <c r="F413" s="2">
        <v>7.4999999999999997E-3</v>
      </c>
      <c r="G413" s="2"/>
      <c r="H413" s="4">
        <f t="shared" si="39"/>
        <v>1</v>
      </c>
      <c r="I413" s="2" t="s">
        <v>82</v>
      </c>
      <c r="J413" s="2" t="s">
        <v>795</v>
      </c>
      <c r="K413" s="2"/>
      <c r="L413" s="2"/>
      <c r="M413" s="155"/>
      <c r="N413" s="155"/>
      <c r="O413" s="2">
        <v>25</v>
      </c>
      <c r="P413" s="6">
        <v>8</v>
      </c>
      <c r="Q413" s="131">
        <f t="shared" si="40"/>
        <v>31.03448275862069</v>
      </c>
      <c r="R413" s="33">
        <f t="shared" si="41"/>
        <v>8</v>
      </c>
      <c r="S413" s="132">
        <f t="shared" si="42"/>
        <v>1</v>
      </c>
      <c r="T413" s="132">
        <f t="shared" si="43"/>
        <v>1</v>
      </c>
      <c r="V413" s="131" t="str">
        <f t="shared" si="44"/>
        <v/>
      </c>
      <c r="W413" s="17"/>
      <c r="X413" s="7"/>
      <c r="Y413" s="161"/>
      <c r="Z413" s="7"/>
      <c r="AA413" s="117"/>
      <c r="AB413" s="117"/>
      <c r="AC413" s="117"/>
      <c r="CH413" s="2"/>
    </row>
    <row r="414" spans="1:86" x14ac:dyDescent="0.3">
      <c r="A414" s="23">
        <v>359</v>
      </c>
      <c r="B414" s="2" t="s">
        <v>0</v>
      </c>
      <c r="C414" s="2" t="s">
        <v>1</v>
      </c>
      <c r="D414" s="2" t="s">
        <v>796</v>
      </c>
      <c r="E414" s="2">
        <v>4000</v>
      </c>
      <c r="F414" s="2">
        <v>9.7999999999999997E-3</v>
      </c>
      <c r="G414" s="2">
        <v>6.3E-3</v>
      </c>
      <c r="H414" s="4">
        <f t="shared" si="39"/>
        <v>0.3571428571428571</v>
      </c>
      <c r="I414" s="2" t="s">
        <v>82</v>
      </c>
      <c r="J414" s="2" t="s">
        <v>598</v>
      </c>
      <c r="K414" s="2" t="s">
        <v>105</v>
      </c>
      <c r="L414" s="2" t="s">
        <v>76</v>
      </c>
      <c r="M414" s="155"/>
      <c r="N414" s="155"/>
      <c r="O414" s="2">
        <v>16</v>
      </c>
      <c r="P414" s="6">
        <v>5</v>
      </c>
      <c r="Q414" s="131">
        <f t="shared" si="40"/>
        <v>23.04</v>
      </c>
      <c r="R414" s="33">
        <f t="shared" si="41"/>
        <v>5</v>
      </c>
      <c r="S414" s="132">
        <f t="shared" si="42"/>
        <v>0.625</v>
      </c>
      <c r="T414" s="132">
        <f t="shared" si="43"/>
        <v>0.625</v>
      </c>
      <c r="V414" s="131">
        <f t="shared" si="44"/>
        <v>4.6265060240963853</v>
      </c>
      <c r="W414" s="17">
        <v>24.9</v>
      </c>
      <c r="X414" s="8">
        <f>60*60*8/W414</f>
        <v>1156.6265060240964</v>
      </c>
      <c r="Y414" s="161">
        <v>45519</v>
      </c>
      <c r="Z414" s="7" t="s">
        <v>7</v>
      </c>
      <c r="AA414" s="117"/>
      <c r="AB414" s="117"/>
      <c r="AC414" s="117"/>
      <c r="AD414" s="24">
        <v>45519</v>
      </c>
      <c r="AE414">
        <v>6</v>
      </c>
      <c r="AF414">
        <v>7.7</v>
      </c>
      <c r="AH414">
        <v>3</v>
      </c>
      <c r="AI414">
        <v>0.7</v>
      </c>
      <c r="AJ414">
        <v>1.2</v>
      </c>
      <c r="AK414">
        <v>7</v>
      </c>
      <c r="AL414">
        <v>6.5</v>
      </c>
      <c r="AN414">
        <v>12</v>
      </c>
      <c r="AO414">
        <v>1.2</v>
      </c>
      <c r="AP414">
        <v>1</v>
      </c>
      <c r="AS414">
        <v>45.6</v>
      </c>
      <c r="AT414">
        <v>10</v>
      </c>
      <c r="AU414">
        <v>18</v>
      </c>
      <c r="AV414">
        <v>75</v>
      </c>
      <c r="AW414">
        <v>87</v>
      </c>
      <c r="AX414">
        <v>18</v>
      </c>
      <c r="AY414">
        <v>41</v>
      </c>
      <c r="AZ414">
        <v>81</v>
      </c>
      <c r="BA414">
        <v>113</v>
      </c>
      <c r="BB414">
        <v>410</v>
      </c>
      <c r="CH414" s="2"/>
    </row>
    <row r="415" spans="1:86" x14ac:dyDescent="0.3">
      <c r="A415" s="2">
        <v>360</v>
      </c>
      <c r="B415" s="2" t="s">
        <v>0</v>
      </c>
      <c r="C415" s="2" t="s">
        <v>1</v>
      </c>
      <c r="D415" s="2" t="s">
        <v>797</v>
      </c>
      <c r="E415" s="2">
        <v>440</v>
      </c>
      <c r="F415" s="2">
        <v>2.24E-2</v>
      </c>
      <c r="G415" s="2">
        <v>1.7000000000000001E-2</v>
      </c>
      <c r="H415" s="4">
        <f t="shared" si="39"/>
        <v>0.24107142857142852</v>
      </c>
      <c r="I415" s="2" t="s">
        <v>82</v>
      </c>
      <c r="J415" s="2" t="s">
        <v>795</v>
      </c>
      <c r="K415" s="2" t="s">
        <v>222</v>
      </c>
      <c r="L415" s="2" t="s">
        <v>76</v>
      </c>
      <c r="M415" s="155"/>
      <c r="N415" s="155"/>
      <c r="O415" s="2">
        <v>9</v>
      </c>
      <c r="P415" s="6">
        <v>18</v>
      </c>
      <c r="Q415" s="131">
        <f t="shared" si="40"/>
        <v>32.727272727272727</v>
      </c>
      <c r="R415" s="33">
        <f t="shared" si="41"/>
        <v>18</v>
      </c>
      <c r="S415" s="132">
        <f t="shared" si="42"/>
        <v>2.25</v>
      </c>
      <c r="T415" s="132">
        <f t="shared" si="43"/>
        <v>2.25</v>
      </c>
      <c r="V415" s="131" t="str">
        <f t="shared" si="44"/>
        <v/>
      </c>
      <c r="W415" s="17"/>
      <c r="X415" s="7"/>
      <c r="Y415" s="161"/>
      <c r="Z415" s="7"/>
      <c r="AA415" s="117"/>
      <c r="AB415" s="117"/>
      <c r="AC415" s="117"/>
      <c r="CH415" s="2"/>
    </row>
    <row r="416" spans="1:86" x14ac:dyDescent="0.3">
      <c r="A416" s="2">
        <v>361</v>
      </c>
      <c r="B416" s="2" t="s">
        <v>0</v>
      </c>
      <c r="C416" s="2" t="s">
        <v>1</v>
      </c>
      <c r="D416" s="2" t="s">
        <v>798</v>
      </c>
      <c r="E416" s="2">
        <v>1800</v>
      </c>
      <c r="F416" s="2">
        <v>4.4000000000000003E-3</v>
      </c>
      <c r="G416" s="2"/>
      <c r="H416" s="4">
        <f t="shared" si="39"/>
        <v>1</v>
      </c>
      <c r="I416" s="2" t="s">
        <v>82</v>
      </c>
      <c r="J416" s="2" t="s">
        <v>658</v>
      </c>
      <c r="K416" s="2"/>
      <c r="L416" s="2"/>
      <c r="M416" s="155"/>
      <c r="N416" s="155"/>
      <c r="O416" s="2">
        <v>25</v>
      </c>
      <c r="P416" s="6">
        <v>11</v>
      </c>
      <c r="Q416" s="131">
        <f t="shared" si="40"/>
        <v>36.363636363636367</v>
      </c>
      <c r="R416" s="33">
        <f t="shared" si="41"/>
        <v>10.999999999999998</v>
      </c>
      <c r="S416" s="132">
        <f t="shared" si="42"/>
        <v>1.3749999999999998</v>
      </c>
      <c r="T416" s="132">
        <f t="shared" si="43"/>
        <v>1.3749999999999998</v>
      </c>
      <c r="V416" s="131" t="str">
        <f t="shared" si="44"/>
        <v/>
      </c>
      <c r="W416" s="17"/>
      <c r="X416" s="7"/>
      <c r="Y416" s="161"/>
      <c r="Z416" s="7"/>
      <c r="AA416" s="117"/>
      <c r="AB416" s="117"/>
      <c r="AC416" s="117"/>
      <c r="CH416" s="2"/>
    </row>
    <row r="417" spans="1:86" x14ac:dyDescent="0.3">
      <c r="A417" s="2">
        <v>362</v>
      </c>
      <c r="B417" s="2" t="s">
        <v>0</v>
      </c>
      <c r="C417" s="2" t="s">
        <v>1</v>
      </c>
      <c r="D417" s="2" t="s">
        <v>799</v>
      </c>
      <c r="E417" s="2">
        <v>650</v>
      </c>
      <c r="F417" s="2">
        <v>2.1100000000000001E-2</v>
      </c>
      <c r="G417" s="2">
        <v>1.83E-2</v>
      </c>
      <c r="H417" s="4">
        <f t="shared" si="39"/>
        <v>0.13270142180094788</v>
      </c>
      <c r="I417" s="2" t="s">
        <v>82</v>
      </c>
      <c r="J417" s="2" t="s">
        <v>579</v>
      </c>
      <c r="K417" s="2" t="s">
        <v>105</v>
      </c>
      <c r="L417" s="2" t="s">
        <v>76</v>
      </c>
      <c r="M417" s="155"/>
      <c r="N417" s="155"/>
      <c r="O417" s="2">
        <v>18</v>
      </c>
      <c r="P417" s="6">
        <v>16</v>
      </c>
      <c r="Q417" s="131">
        <f t="shared" si="40"/>
        <v>49.846153846153847</v>
      </c>
      <c r="R417" s="33">
        <f t="shared" si="41"/>
        <v>16</v>
      </c>
      <c r="S417" s="132">
        <f t="shared" si="42"/>
        <v>2</v>
      </c>
      <c r="T417" s="132">
        <f t="shared" si="43"/>
        <v>2</v>
      </c>
      <c r="V417" s="131" t="str">
        <f t="shared" si="44"/>
        <v/>
      </c>
      <c r="W417" s="17"/>
      <c r="X417" s="7"/>
      <c r="Y417" s="161"/>
      <c r="Z417" s="7"/>
      <c r="AA417" s="117"/>
      <c r="AB417" s="117"/>
      <c r="AC417" s="117"/>
      <c r="CH417" s="2"/>
    </row>
    <row r="418" spans="1:86" x14ac:dyDescent="0.3">
      <c r="A418" s="2">
        <v>363</v>
      </c>
      <c r="B418" s="2" t="s">
        <v>0</v>
      </c>
      <c r="C418" s="2" t="s">
        <v>1</v>
      </c>
      <c r="D418" s="2" t="s">
        <v>800</v>
      </c>
      <c r="E418" s="2">
        <v>1000</v>
      </c>
      <c r="F418" s="2">
        <v>1.72E-2</v>
      </c>
      <c r="G418" s="2"/>
      <c r="H418" s="4">
        <f t="shared" si="39"/>
        <v>1</v>
      </c>
      <c r="I418" s="2" t="s">
        <v>82</v>
      </c>
      <c r="J418" s="2" t="s">
        <v>598</v>
      </c>
      <c r="K418" s="2"/>
      <c r="L418" s="2"/>
      <c r="M418" s="155"/>
      <c r="N418" s="155"/>
      <c r="O418" s="2">
        <v>16</v>
      </c>
      <c r="P418" s="6">
        <v>16</v>
      </c>
      <c r="Q418" s="131">
        <f t="shared" si="40"/>
        <v>28.8</v>
      </c>
      <c r="R418" s="33">
        <f t="shared" si="41"/>
        <v>16</v>
      </c>
      <c r="S418" s="132">
        <f t="shared" si="42"/>
        <v>2</v>
      </c>
      <c r="T418" s="132">
        <f t="shared" si="43"/>
        <v>2</v>
      </c>
      <c r="V418" s="131" t="str">
        <f t="shared" si="44"/>
        <v/>
      </c>
      <c r="W418" s="17"/>
      <c r="X418" s="7"/>
      <c r="Y418" s="161"/>
      <c r="Z418" s="7"/>
      <c r="AA418" s="117"/>
      <c r="AB418" s="117"/>
      <c r="AC418" s="117"/>
      <c r="CH418" s="2"/>
    </row>
    <row r="419" spans="1:86" x14ac:dyDescent="0.3">
      <c r="A419" s="2">
        <v>364</v>
      </c>
      <c r="B419" s="2" t="s">
        <v>0</v>
      </c>
      <c r="C419" s="2" t="s">
        <v>1</v>
      </c>
      <c r="D419" s="2" t="s">
        <v>801</v>
      </c>
      <c r="E419" s="2">
        <v>1000</v>
      </c>
      <c r="F419" s="2">
        <v>1.3599999999999999E-2</v>
      </c>
      <c r="G419" s="2">
        <v>8.8999999999999999E-3</v>
      </c>
      <c r="H419" s="4">
        <f t="shared" si="39"/>
        <v>0.34558823529411764</v>
      </c>
      <c r="I419" s="2" t="s">
        <v>82</v>
      </c>
      <c r="J419" s="2" t="s">
        <v>598</v>
      </c>
      <c r="K419" s="2" t="s">
        <v>5</v>
      </c>
      <c r="L419" s="2" t="s">
        <v>6</v>
      </c>
      <c r="M419" s="155"/>
      <c r="N419" s="155"/>
      <c r="O419" s="2">
        <v>20</v>
      </c>
      <c r="P419" s="6">
        <v>16</v>
      </c>
      <c r="Q419" s="131">
        <f t="shared" si="40"/>
        <v>36</v>
      </c>
      <c r="R419" s="33">
        <f t="shared" si="41"/>
        <v>16</v>
      </c>
      <c r="S419" s="132">
        <f t="shared" si="42"/>
        <v>2</v>
      </c>
      <c r="T419" s="132">
        <f t="shared" si="43"/>
        <v>2</v>
      </c>
      <c r="V419" s="131" t="str">
        <f t="shared" si="44"/>
        <v/>
      </c>
      <c r="W419" s="17"/>
      <c r="X419" s="7"/>
      <c r="Y419" s="161"/>
      <c r="Z419" s="7"/>
      <c r="AA419" s="117"/>
      <c r="AB419" s="117"/>
      <c r="AC419" s="117"/>
      <c r="CH419" s="2"/>
    </row>
    <row r="420" spans="1:86" x14ac:dyDescent="0.3">
      <c r="A420" s="2">
        <v>365</v>
      </c>
      <c r="B420" s="2" t="s">
        <v>0</v>
      </c>
      <c r="C420" s="2" t="s">
        <v>1</v>
      </c>
      <c r="D420" s="2" t="s">
        <v>802</v>
      </c>
      <c r="E420" s="2">
        <v>320</v>
      </c>
      <c r="F420" s="2">
        <v>4.7399999999999998E-2</v>
      </c>
      <c r="G420" s="2"/>
      <c r="H420" s="4">
        <f t="shared" si="39"/>
        <v>1</v>
      </c>
      <c r="I420" s="2" t="s">
        <v>82</v>
      </c>
      <c r="J420" s="2" t="s">
        <v>581</v>
      </c>
      <c r="K420" s="2"/>
      <c r="L420" s="2"/>
      <c r="M420" s="155"/>
      <c r="N420" s="155"/>
      <c r="O420" s="2">
        <v>8</v>
      </c>
      <c r="P420" s="6">
        <v>16</v>
      </c>
      <c r="Q420" s="131">
        <f t="shared" si="40"/>
        <v>45</v>
      </c>
      <c r="R420" s="33">
        <f t="shared" si="41"/>
        <v>16</v>
      </c>
      <c r="S420" s="132">
        <f t="shared" si="42"/>
        <v>2</v>
      </c>
      <c r="T420" s="132">
        <f t="shared" si="43"/>
        <v>2</v>
      </c>
      <c r="V420" s="131" t="str">
        <f t="shared" si="44"/>
        <v/>
      </c>
      <c r="W420" s="17"/>
      <c r="X420" s="7"/>
      <c r="Y420" s="161"/>
      <c r="Z420" s="7"/>
      <c r="AA420" s="117"/>
      <c r="AB420" s="117"/>
      <c r="AC420" s="117"/>
      <c r="CH420" s="2"/>
    </row>
    <row r="421" spans="1:86" x14ac:dyDescent="0.3">
      <c r="A421" s="2">
        <v>366</v>
      </c>
      <c r="B421" s="2" t="s">
        <v>0</v>
      </c>
      <c r="C421" s="2" t="s">
        <v>1</v>
      </c>
      <c r="D421" s="2" t="s">
        <v>803</v>
      </c>
      <c r="E421" s="2">
        <v>1000</v>
      </c>
      <c r="F421" s="2">
        <v>1.9E-2</v>
      </c>
      <c r="G421" s="2">
        <v>1.4E-2</v>
      </c>
      <c r="H421" s="4">
        <f t="shared" si="39"/>
        <v>0.26315789473684209</v>
      </c>
      <c r="I421" s="2" t="s">
        <v>82</v>
      </c>
      <c r="J421" s="2" t="s">
        <v>579</v>
      </c>
      <c r="K421" s="2" t="s">
        <v>305</v>
      </c>
      <c r="L421" s="2" t="s">
        <v>96</v>
      </c>
      <c r="M421" s="155"/>
      <c r="N421" s="155"/>
      <c r="O421" s="2">
        <v>21</v>
      </c>
      <c r="P421" s="6">
        <v>16</v>
      </c>
      <c r="Q421" s="131">
        <f t="shared" si="40"/>
        <v>37.799999999999997</v>
      </c>
      <c r="R421" s="33">
        <f t="shared" si="41"/>
        <v>16</v>
      </c>
      <c r="S421" s="132">
        <f t="shared" si="42"/>
        <v>2</v>
      </c>
      <c r="T421" s="132">
        <f t="shared" si="43"/>
        <v>2</v>
      </c>
      <c r="V421" s="131" t="str">
        <f t="shared" si="44"/>
        <v/>
      </c>
      <c r="W421" s="17"/>
      <c r="X421" s="7"/>
      <c r="Y421" s="161"/>
      <c r="Z421" s="7"/>
      <c r="AA421" s="117"/>
      <c r="AB421" s="117"/>
      <c r="AC421" s="117"/>
      <c r="CH421" s="2"/>
    </row>
    <row r="422" spans="1:86" x14ac:dyDescent="0.3">
      <c r="A422" s="2">
        <v>367</v>
      </c>
      <c r="B422" s="2" t="s">
        <v>0</v>
      </c>
      <c r="C422" s="2" t="s">
        <v>1</v>
      </c>
      <c r="D422" s="2" t="s">
        <v>804</v>
      </c>
      <c r="E422" s="2">
        <v>300</v>
      </c>
      <c r="F422" s="2">
        <v>3.5999999999999997E-2</v>
      </c>
      <c r="G422" s="2">
        <v>2.5000000000000001E-2</v>
      </c>
      <c r="H422" s="4">
        <f t="shared" si="39"/>
        <v>0.30555555555555547</v>
      </c>
      <c r="I422" s="2" t="s">
        <v>82</v>
      </c>
      <c r="J422" s="2" t="s">
        <v>581</v>
      </c>
      <c r="K422" s="2" t="s">
        <v>5</v>
      </c>
      <c r="L422" s="2" t="s">
        <v>6</v>
      </c>
      <c r="M422" s="155"/>
      <c r="N422" s="155"/>
      <c r="O422" s="2">
        <v>10</v>
      </c>
      <c r="P422" s="6">
        <v>18</v>
      </c>
      <c r="Q422" s="131">
        <f t="shared" si="40"/>
        <v>53.333333333333336</v>
      </c>
      <c r="R422" s="33">
        <f t="shared" si="41"/>
        <v>18</v>
      </c>
      <c r="S422" s="132">
        <f t="shared" si="42"/>
        <v>2.25</v>
      </c>
      <c r="T422" s="132">
        <f t="shared" si="43"/>
        <v>2.25</v>
      </c>
      <c r="V422" s="131" t="str">
        <f t="shared" si="44"/>
        <v/>
      </c>
      <c r="W422" s="17"/>
      <c r="X422" s="7"/>
      <c r="Y422" s="161"/>
      <c r="Z422" s="7"/>
      <c r="AA422" s="117"/>
      <c r="AB422" s="117"/>
      <c r="AC422" s="117"/>
      <c r="CH422" s="2"/>
    </row>
    <row r="423" spans="1:86" x14ac:dyDescent="0.3">
      <c r="A423" s="2">
        <v>368</v>
      </c>
      <c r="B423" s="2" t="s">
        <v>0</v>
      </c>
      <c r="C423" s="2" t="s">
        <v>1</v>
      </c>
      <c r="D423" s="2" t="s">
        <v>805</v>
      </c>
      <c r="E423" s="2">
        <v>300</v>
      </c>
      <c r="F423" s="2">
        <v>3.4799999999999998E-2</v>
      </c>
      <c r="G423" s="2">
        <v>2.4E-2</v>
      </c>
      <c r="H423" s="4">
        <f t="shared" si="39"/>
        <v>0.31034482758620685</v>
      </c>
      <c r="I423" s="2" t="s">
        <v>82</v>
      </c>
      <c r="J423" s="2" t="s">
        <v>581</v>
      </c>
      <c r="K423" s="2" t="s">
        <v>5</v>
      </c>
      <c r="L423" s="2" t="s">
        <v>6</v>
      </c>
      <c r="M423" s="155"/>
      <c r="N423" s="155"/>
      <c r="O423" s="2">
        <v>10</v>
      </c>
      <c r="P423" s="6">
        <v>18</v>
      </c>
      <c r="Q423" s="131">
        <f t="shared" si="40"/>
        <v>53.333333333333336</v>
      </c>
      <c r="R423" s="33">
        <f t="shared" si="41"/>
        <v>18</v>
      </c>
      <c r="S423" s="132">
        <f t="shared" si="42"/>
        <v>2.25</v>
      </c>
      <c r="T423" s="132">
        <f t="shared" si="43"/>
        <v>2.25</v>
      </c>
      <c r="V423" s="131" t="str">
        <f t="shared" si="44"/>
        <v/>
      </c>
      <c r="W423" s="17"/>
      <c r="X423" s="7"/>
      <c r="Y423" s="161"/>
      <c r="Z423" s="7"/>
      <c r="AA423" s="117"/>
      <c r="AB423" s="117"/>
      <c r="AC423" s="117"/>
      <c r="CH423" s="2"/>
    </row>
    <row r="424" spans="1:86" x14ac:dyDescent="0.3">
      <c r="A424" s="2">
        <v>369</v>
      </c>
      <c r="B424" s="2" t="s">
        <v>0</v>
      </c>
      <c r="C424" s="2" t="s">
        <v>1</v>
      </c>
      <c r="D424" s="2" t="s">
        <v>806</v>
      </c>
      <c r="E424" s="2">
        <v>240</v>
      </c>
      <c r="F424" s="2">
        <v>3.5099999999999999E-2</v>
      </c>
      <c r="G424" s="2">
        <v>2.41E-2</v>
      </c>
      <c r="H424" s="4">
        <f t="shared" si="39"/>
        <v>0.31339031339031337</v>
      </c>
      <c r="I424" s="2" t="s">
        <v>82</v>
      </c>
      <c r="J424" s="2" t="s">
        <v>581</v>
      </c>
      <c r="K424" s="2" t="s">
        <v>5</v>
      </c>
      <c r="L424" s="2" t="s">
        <v>6</v>
      </c>
      <c r="M424" s="155"/>
      <c r="N424" s="155"/>
      <c r="O424" s="2">
        <v>10</v>
      </c>
      <c r="P424" s="6">
        <v>20</v>
      </c>
      <c r="Q424" s="131">
        <f t="shared" si="40"/>
        <v>60</v>
      </c>
      <c r="R424" s="33">
        <f t="shared" si="41"/>
        <v>20</v>
      </c>
      <c r="S424" s="132">
        <f t="shared" si="42"/>
        <v>2.5</v>
      </c>
      <c r="T424" s="132">
        <f t="shared" si="43"/>
        <v>2.5</v>
      </c>
      <c r="V424" s="131" t="str">
        <f t="shared" si="44"/>
        <v/>
      </c>
      <c r="W424" s="17"/>
      <c r="X424" s="7"/>
      <c r="Y424" s="161"/>
      <c r="Z424" s="7"/>
      <c r="AA424" s="117"/>
      <c r="AB424" s="117"/>
      <c r="AC424" s="117"/>
      <c r="CH424" s="2"/>
    </row>
    <row r="425" spans="1:86" x14ac:dyDescent="0.3">
      <c r="A425" s="2">
        <v>370</v>
      </c>
      <c r="B425" s="2" t="s">
        <v>0</v>
      </c>
      <c r="C425" s="2" t="s">
        <v>1</v>
      </c>
      <c r="D425" s="2" t="s">
        <v>807</v>
      </c>
      <c r="E425" s="2">
        <v>550</v>
      </c>
      <c r="F425" s="2">
        <v>1.4E-2</v>
      </c>
      <c r="G425" s="2">
        <v>8.0999999999999996E-3</v>
      </c>
      <c r="H425" s="4">
        <f t="shared" si="39"/>
        <v>0.42142857142857149</v>
      </c>
      <c r="I425" s="2" t="s">
        <v>82</v>
      </c>
      <c r="J425" s="2" t="s">
        <v>598</v>
      </c>
      <c r="K425" s="2" t="s">
        <v>90</v>
      </c>
      <c r="L425" s="2" t="s">
        <v>6</v>
      </c>
      <c r="M425" s="155"/>
      <c r="N425" s="155"/>
      <c r="O425" s="2">
        <v>20</v>
      </c>
      <c r="P425" s="6">
        <v>20</v>
      </c>
      <c r="Q425" s="131">
        <f t="shared" si="40"/>
        <v>52.36363636363636</v>
      </c>
      <c r="R425" s="33">
        <f t="shared" si="41"/>
        <v>20</v>
      </c>
      <c r="S425" s="132">
        <f t="shared" si="42"/>
        <v>2.5</v>
      </c>
      <c r="T425" s="132">
        <f t="shared" si="43"/>
        <v>2.5</v>
      </c>
      <c r="V425" s="131" t="str">
        <f t="shared" si="44"/>
        <v/>
      </c>
      <c r="W425" s="17"/>
      <c r="X425" s="7"/>
      <c r="Y425" s="161"/>
      <c r="Z425" s="7"/>
      <c r="AA425" s="117"/>
      <c r="AB425" s="117"/>
      <c r="AC425" s="117"/>
      <c r="CH425" s="2"/>
    </row>
    <row r="426" spans="1:86" x14ac:dyDescent="0.3">
      <c r="A426" s="2">
        <v>376</v>
      </c>
      <c r="B426" s="2" t="s">
        <v>0</v>
      </c>
      <c r="C426" s="2" t="s">
        <v>1</v>
      </c>
      <c r="D426" s="2" t="s">
        <v>808</v>
      </c>
      <c r="E426" s="2">
        <v>40</v>
      </c>
      <c r="F426" s="2">
        <v>0.3604</v>
      </c>
      <c r="G426" s="2">
        <v>0.24199999999999999</v>
      </c>
      <c r="H426" s="4">
        <f t="shared" si="39"/>
        <v>0.32852386237513875</v>
      </c>
      <c r="I426" s="2" t="s">
        <v>98</v>
      </c>
      <c r="J426" s="2" t="s">
        <v>624</v>
      </c>
      <c r="K426" s="2" t="s">
        <v>105</v>
      </c>
      <c r="L426" s="2" t="s">
        <v>76</v>
      </c>
      <c r="M426" s="155"/>
      <c r="N426" s="155"/>
      <c r="O426" s="2">
        <v>3</v>
      </c>
      <c r="P426" s="6">
        <v>20</v>
      </c>
      <c r="Q426" s="131">
        <f t="shared" si="40"/>
        <v>108</v>
      </c>
      <c r="R426" s="33">
        <f t="shared" si="41"/>
        <v>20</v>
      </c>
      <c r="S426" s="132">
        <f t="shared" si="42"/>
        <v>2.5</v>
      </c>
      <c r="T426" s="132">
        <f t="shared" si="43"/>
        <v>2.5</v>
      </c>
      <c r="V426" s="131" t="str">
        <f t="shared" si="44"/>
        <v/>
      </c>
      <c r="W426" s="17"/>
      <c r="X426" s="7"/>
      <c r="Y426" s="161"/>
      <c r="Z426" s="7"/>
      <c r="AA426" s="117"/>
      <c r="AB426" s="117"/>
      <c r="AC426" s="117"/>
      <c r="CH426" s="2"/>
    </row>
    <row r="427" spans="1:86" x14ac:dyDescent="0.3">
      <c r="A427" s="2">
        <v>377</v>
      </c>
      <c r="B427" s="2" t="s">
        <v>0</v>
      </c>
      <c r="C427" s="2" t="s">
        <v>1</v>
      </c>
      <c r="D427" s="2" t="s">
        <v>809</v>
      </c>
      <c r="E427" s="2">
        <v>50</v>
      </c>
      <c r="F427" s="2">
        <v>0.31719999999999998</v>
      </c>
      <c r="G427" s="2">
        <v>0.24199999999999999</v>
      </c>
      <c r="H427" s="4">
        <f t="shared" si="39"/>
        <v>0.23707440100882721</v>
      </c>
      <c r="I427" s="2" t="s">
        <v>98</v>
      </c>
      <c r="J427" s="2" t="s">
        <v>624</v>
      </c>
      <c r="K427" s="2" t="s">
        <v>105</v>
      </c>
      <c r="L427" s="2" t="s">
        <v>76</v>
      </c>
      <c r="M427" s="155"/>
      <c r="N427" s="155"/>
      <c r="O427" s="2">
        <v>3</v>
      </c>
      <c r="P427" s="6">
        <v>20</v>
      </c>
      <c r="Q427" s="131">
        <f t="shared" si="40"/>
        <v>86.4</v>
      </c>
      <c r="R427" s="33">
        <f t="shared" si="41"/>
        <v>20</v>
      </c>
      <c r="S427" s="132">
        <f t="shared" si="42"/>
        <v>2.5</v>
      </c>
      <c r="T427" s="132">
        <f t="shared" si="43"/>
        <v>2.5</v>
      </c>
      <c r="V427" s="131" t="str">
        <f t="shared" si="44"/>
        <v/>
      </c>
      <c r="W427" s="17"/>
      <c r="X427" s="7"/>
      <c r="Y427" s="161"/>
      <c r="Z427" s="7"/>
      <c r="AA427" s="117"/>
      <c r="AB427" s="117"/>
      <c r="AC427" s="117"/>
      <c r="CH427" s="2"/>
    </row>
    <row r="428" spans="1:86" x14ac:dyDescent="0.3">
      <c r="A428" s="2">
        <v>379</v>
      </c>
      <c r="B428" s="2" t="s">
        <v>0</v>
      </c>
      <c r="C428" s="2" t="s">
        <v>1</v>
      </c>
      <c r="D428" s="2" t="s">
        <v>810</v>
      </c>
      <c r="E428" s="2">
        <v>1500</v>
      </c>
      <c r="F428" s="2">
        <v>6.6E-3</v>
      </c>
      <c r="G428" s="2">
        <v>5.1999999999999998E-3</v>
      </c>
      <c r="H428" s="4">
        <f t="shared" si="39"/>
        <v>0.21212121212121215</v>
      </c>
      <c r="I428" s="2" t="s">
        <v>82</v>
      </c>
      <c r="J428" s="2" t="s">
        <v>598</v>
      </c>
      <c r="K428" s="2" t="s">
        <v>5</v>
      </c>
      <c r="L428" s="2" t="s">
        <v>6</v>
      </c>
      <c r="M428" s="155"/>
      <c r="N428" s="155"/>
      <c r="O428" s="2">
        <v>24</v>
      </c>
      <c r="P428" s="6">
        <v>16</v>
      </c>
      <c r="Q428" s="131">
        <f t="shared" si="40"/>
        <v>28.8</v>
      </c>
      <c r="R428" s="33">
        <f t="shared" si="41"/>
        <v>16</v>
      </c>
      <c r="S428" s="132">
        <f t="shared" si="42"/>
        <v>2</v>
      </c>
      <c r="T428" s="132">
        <f t="shared" si="43"/>
        <v>2</v>
      </c>
      <c r="V428" s="131" t="str">
        <f t="shared" si="44"/>
        <v/>
      </c>
      <c r="W428" s="17"/>
      <c r="X428" s="7"/>
      <c r="Y428" s="161"/>
      <c r="Z428" s="7"/>
      <c r="AA428" s="117"/>
      <c r="AB428" s="117"/>
      <c r="AC428" s="117"/>
      <c r="CH428" s="2"/>
    </row>
    <row r="429" spans="1:86" x14ac:dyDescent="0.3">
      <c r="A429" s="2">
        <v>380</v>
      </c>
      <c r="B429" s="2" t="s">
        <v>0</v>
      </c>
      <c r="C429" s="2" t="s">
        <v>1</v>
      </c>
      <c r="D429" s="2" t="s">
        <v>811</v>
      </c>
      <c r="E429" s="2">
        <v>2200</v>
      </c>
      <c r="F429" s="2">
        <v>1.0200000000000001E-2</v>
      </c>
      <c r="G429" s="2"/>
      <c r="H429" s="4">
        <f t="shared" si="39"/>
        <v>1</v>
      </c>
      <c r="I429" s="2" t="s">
        <v>82</v>
      </c>
      <c r="J429" s="2" t="s">
        <v>107</v>
      </c>
      <c r="K429" s="2" t="s">
        <v>90</v>
      </c>
      <c r="L429" s="2" t="s">
        <v>6</v>
      </c>
      <c r="M429" s="155"/>
      <c r="N429" s="155"/>
      <c r="O429" s="2">
        <v>12</v>
      </c>
      <c r="P429" s="6">
        <v>8</v>
      </c>
      <c r="Q429" s="131">
        <f t="shared" si="40"/>
        <v>19.636363636363637</v>
      </c>
      <c r="R429" s="33">
        <f t="shared" si="41"/>
        <v>8</v>
      </c>
      <c r="S429" s="132">
        <f t="shared" si="42"/>
        <v>1</v>
      </c>
      <c r="T429" s="132">
        <f t="shared" si="43"/>
        <v>1</v>
      </c>
      <c r="V429" s="131" t="str">
        <f t="shared" si="44"/>
        <v/>
      </c>
      <c r="W429" s="17"/>
      <c r="X429" s="7"/>
      <c r="Y429" s="161"/>
      <c r="Z429" s="7"/>
      <c r="AA429" s="117"/>
      <c r="AB429" s="117"/>
      <c r="AC429" s="117"/>
      <c r="CH429" s="2"/>
    </row>
    <row r="430" spans="1:86" x14ac:dyDescent="0.3">
      <c r="A430" s="2">
        <v>386</v>
      </c>
      <c r="B430" s="2" t="s">
        <v>0</v>
      </c>
      <c r="C430" s="2" t="s">
        <v>1</v>
      </c>
      <c r="D430" s="2" t="s">
        <v>812</v>
      </c>
      <c r="E430" s="2">
        <v>1500</v>
      </c>
      <c r="F430" s="2">
        <v>6.6E-3</v>
      </c>
      <c r="G430" s="2">
        <v>5.1999999999999998E-3</v>
      </c>
      <c r="H430" s="4">
        <f t="shared" si="39"/>
        <v>0.21212121212121215</v>
      </c>
      <c r="I430" s="2" t="s">
        <v>82</v>
      </c>
      <c r="J430" s="2" t="s">
        <v>600</v>
      </c>
      <c r="K430" s="2" t="s">
        <v>5</v>
      </c>
      <c r="L430" s="2" t="s">
        <v>6</v>
      </c>
      <c r="M430" s="155"/>
      <c r="N430" s="155"/>
      <c r="O430" s="2">
        <v>24</v>
      </c>
      <c r="P430" s="6">
        <v>16</v>
      </c>
      <c r="Q430" s="131">
        <f t="shared" si="40"/>
        <v>28.8</v>
      </c>
      <c r="R430" s="33">
        <f t="shared" si="41"/>
        <v>16</v>
      </c>
      <c r="S430" s="132">
        <f t="shared" si="42"/>
        <v>2</v>
      </c>
      <c r="T430" s="132">
        <f t="shared" si="43"/>
        <v>2</v>
      </c>
      <c r="V430" s="131" t="str">
        <f t="shared" si="44"/>
        <v/>
      </c>
      <c r="W430" s="17"/>
      <c r="X430" s="7"/>
      <c r="Y430" s="161"/>
      <c r="Z430" s="7"/>
      <c r="AA430" s="117"/>
      <c r="AB430" s="117"/>
      <c r="AC430" s="117"/>
      <c r="CH430" s="2"/>
    </row>
    <row r="431" spans="1:86" x14ac:dyDescent="0.3">
      <c r="A431" s="2">
        <v>390</v>
      </c>
      <c r="B431" s="2" t="s">
        <v>84</v>
      </c>
      <c r="C431" s="2" t="s">
        <v>1</v>
      </c>
      <c r="D431" s="2" t="s">
        <v>813</v>
      </c>
      <c r="E431" s="2">
        <v>280</v>
      </c>
      <c r="F431" s="2">
        <v>2.5999999999999999E-2</v>
      </c>
      <c r="G431" s="2"/>
      <c r="H431" s="4">
        <f t="shared" si="39"/>
        <v>1</v>
      </c>
      <c r="I431" s="2" t="s">
        <v>82</v>
      </c>
      <c r="J431" s="2" t="s">
        <v>645</v>
      </c>
      <c r="K431" s="2"/>
      <c r="L431" s="2"/>
      <c r="M431" s="155"/>
      <c r="N431" s="155"/>
      <c r="O431" s="2">
        <v>6</v>
      </c>
      <c r="P431" s="6">
        <v>10</v>
      </c>
      <c r="Q431" s="131">
        <f t="shared" si="40"/>
        <v>61.714285714285708</v>
      </c>
      <c r="R431" s="33">
        <f t="shared" si="41"/>
        <v>10</v>
      </c>
      <c r="S431" s="132">
        <f t="shared" si="42"/>
        <v>1.25</v>
      </c>
      <c r="T431" s="132">
        <f t="shared" si="43"/>
        <v>1.25</v>
      </c>
      <c r="V431" s="131" t="str">
        <f t="shared" si="44"/>
        <v/>
      </c>
      <c r="W431" s="17"/>
      <c r="X431" s="7"/>
      <c r="Y431" s="161"/>
      <c r="Z431" s="7"/>
      <c r="AA431" s="117"/>
      <c r="AB431" s="117"/>
      <c r="AC431" s="117"/>
      <c r="CH431" s="2"/>
    </row>
    <row r="432" spans="1:86" x14ac:dyDescent="0.3">
      <c r="A432" s="2">
        <v>391</v>
      </c>
      <c r="B432" s="2" t="s">
        <v>84</v>
      </c>
      <c r="C432" s="2" t="s">
        <v>1</v>
      </c>
      <c r="D432" s="2" t="s">
        <v>814</v>
      </c>
      <c r="E432" s="2">
        <v>2800</v>
      </c>
      <c r="F432" s="2">
        <v>4.7000000000000002E-3</v>
      </c>
      <c r="G432" s="2"/>
      <c r="H432" s="4">
        <f t="shared" si="39"/>
        <v>1</v>
      </c>
      <c r="I432" s="2" t="s">
        <v>82</v>
      </c>
      <c r="J432" s="2" t="s">
        <v>645</v>
      </c>
      <c r="K432" s="2" t="s">
        <v>5</v>
      </c>
      <c r="L432" s="2" t="s">
        <v>6</v>
      </c>
      <c r="M432" s="155"/>
      <c r="N432" s="155"/>
      <c r="O432" s="2">
        <v>40</v>
      </c>
      <c r="P432" s="6"/>
      <c r="Q432" s="131" t="str">
        <f t="shared" si="40"/>
        <v/>
      </c>
      <c r="R432" s="33" t="str">
        <f t="shared" si="41"/>
        <v/>
      </c>
      <c r="S432" s="132" t="str">
        <f t="shared" si="42"/>
        <v/>
      </c>
      <c r="T432" s="132" t="str">
        <f t="shared" si="43"/>
        <v/>
      </c>
      <c r="V432" s="131" t="str">
        <f t="shared" si="44"/>
        <v/>
      </c>
      <c r="W432" s="17"/>
      <c r="X432" s="7"/>
      <c r="Y432" s="161"/>
      <c r="Z432" s="7"/>
      <c r="AA432" s="117"/>
      <c r="AB432" s="117"/>
      <c r="AC432" s="117"/>
      <c r="CH432" s="2"/>
    </row>
    <row r="433" spans="1:86" x14ac:dyDescent="0.3">
      <c r="A433" s="2">
        <v>392</v>
      </c>
      <c r="B433" s="2" t="s">
        <v>84</v>
      </c>
      <c r="C433" s="2" t="s">
        <v>1</v>
      </c>
      <c r="D433" s="2" t="s">
        <v>815</v>
      </c>
      <c r="E433" s="2">
        <v>3200</v>
      </c>
      <c r="F433" s="2">
        <v>3.8999999999999998E-3</v>
      </c>
      <c r="G433" s="2"/>
      <c r="H433" s="4">
        <f t="shared" si="39"/>
        <v>1</v>
      </c>
      <c r="I433" s="2" t="s">
        <v>82</v>
      </c>
      <c r="J433" s="2" t="s">
        <v>645</v>
      </c>
      <c r="K433" s="2" t="s">
        <v>5</v>
      </c>
      <c r="L433" s="2" t="s">
        <v>6</v>
      </c>
      <c r="M433" s="155"/>
      <c r="N433" s="155"/>
      <c r="O433" s="2">
        <v>44</v>
      </c>
      <c r="P433" s="6"/>
      <c r="Q433" s="131" t="str">
        <f t="shared" si="40"/>
        <v/>
      </c>
      <c r="R433" s="33" t="str">
        <f t="shared" si="41"/>
        <v/>
      </c>
      <c r="S433" s="132" t="str">
        <f t="shared" si="42"/>
        <v/>
      </c>
      <c r="T433" s="132" t="str">
        <f t="shared" si="43"/>
        <v/>
      </c>
      <c r="V433" s="131" t="str">
        <f t="shared" si="44"/>
        <v/>
      </c>
      <c r="W433" s="17"/>
      <c r="X433" s="7"/>
      <c r="Y433" s="161"/>
      <c r="Z433" s="7"/>
      <c r="AA433" s="117"/>
      <c r="AB433" s="117"/>
      <c r="AC433" s="117"/>
      <c r="CH433" s="2"/>
    </row>
    <row r="434" spans="1:86" x14ac:dyDescent="0.3">
      <c r="A434" s="2">
        <v>393</v>
      </c>
      <c r="B434" s="2" t="s">
        <v>84</v>
      </c>
      <c r="C434" s="2" t="s">
        <v>1</v>
      </c>
      <c r="D434" s="2" t="s">
        <v>816</v>
      </c>
      <c r="E434" s="2">
        <v>2650</v>
      </c>
      <c r="F434" s="2">
        <v>4.1999999999999997E-3</v>
      </c>
      <c r="G434" s="2">
        <v>3.0999999999999999E-3</v>
      </c>
      <c r="H434" s="4">
        <f t="shared" si="39"/>
        <v>0.26190476190476186</v>
      </c>
      <c r="I434" s="2" t="s">
        <v>82</v>
      </c>
      <c r="J434" s="2" t="s">
        <v>645</v>
      </c>
      <c r="K434" s="2" t="s">
        <v>357</v>
      </c>
      <c r="L434" s="2" t="s">
        <v>6</v>
      </c>
      <c r="M434" s="155"/>
      <c r="N434" s="155"/>
      <c r="O434" s="2">
        <v>22</v>
      </c>
      <c r="P434" s="6"/>
      <c r="Q434" s="131" t="str">
        <f t="shared" si="40"/>
        <v/>
      </c>
      <c r="R434" s="33" t="str">
        <f t="shared" si="41"/>
        <v/>
      </c>
      <c r="S434" s="132" t="str">
        <f t="shared" si="42"/>
        <v/>
      </c>
      <c r="T434" s="132" t="str">
        <f t="shared" si="43"/>
        <v/>
      </c>
      <c r="V434" s="131" t="str">
        <f t="shared" si="44"/>
        <v/>
      </c>
      <c r="W434" s="17"/>
      <c r="X434" s="7"/>
      <c r="Y434" s="161"/>
      <c r="Z434" s="7"/>
      <c r="AA434" s="117"/>
      <c r="AB434" s="117"/>
      <c r="AC434" s="117"/>
      <c r="CH434" s="2"/>
    </row>
    <row r="435" spans="1:86" x14ac:dyDescent="0.3">
      <c r="A435" s="2">
        <v>394</v>
      </c>
      <c r="B435" s="2" t="s">
        <v>84</v>
      </c>
      <c r="C435" s="2" t="s">
        <v>1</v>
      </c>
      <c r="D435" s="2" t="s">
        <v>817</v>
      </c>
      <c r="E435" s="2">
        <v>2600</v>
      </c>
      <c r="F435" s="2">
        <v>7.9000000000000008E-3</v>
      </c>
      <c r="G435" s="2"/>
      <c r="H435" s="4">
        <f t="shared" si="39"/>
        <v>1</v>
      </c>
      <c r="I435" s="2" t="s">
        <v>82</v>
      </c>
      <c r="J435" s="2" t="s">
        <v>743</v>
      </c>
      <c r="K435" s="2" t="s">
        <v>105</v>
      </c>
      <c r="L435" s="2" t="s">
        <v>76</v>
      </c>
      <c r="M435" s="155"/>
      <c r="N435" s="155"/>
      <c r="O435" s="2">
        <v>20</v>
      </c>
      <c r="P435" s="6"/>
      <c r="Q435" s="131" t="str">
        <f t="shared" si="40"/>
        <v/>
      </c>
      <c r="R435" s="33" t="str">
        <f t="shared" si="41"/>
        <v/>
      </c>
      <c r="S435" s="132" t="str">
        <f t="shared" si="42"/>
        <v/>
      </c>
      <c r="T435" s="132" t="str">
        <f t="shared" si="43"/>
        <v/>
      </c>
      <c r="V435" s="131" t="str">
        <f t="shared" si="44"/>
        <v/>
      </c>
      <c r="W435" s="17"/>
      <c r="X435" s="7"/>
      <c r="Y435" s="161"/>
      <c r="Z435" s="7"/>
      <c r="AA435" s="117"/>
      <c r="AB435" s="117"/>
      <c r="AC435" s="117"/>
      <c r="CH435" s="2"/>
    </row>
    <row r="436" spans="1:86" x14ac:dyDescent="0.3">
      <c r="A436" s="2">
        <v>395</v>
      </c>
      <c r="B436" s="2" t="s">
        <v>0</v>
      </c>
      <c r="C436" s="2" t="s">
        <v>1</v>
      </c>
      <c r="D436" s="2" t="s">
        <v>818</v>
      </c>
      <c r="E436" s="2">
        <v>130</v>
      </c>
      <c r="F436" s="2">
        <v>3.6299999999999999E-2</v>
      </c>
      <c r="G436" s="2">
        <v>2.7E-2</v>
      </c>
      <c r="H436" s="4">
        <f t="shared" si="39"/>
        <v>0.256198347107438</v>
      </c>
      <c r="I436" s="2" t="s">
        <v>98</v>
      </c>
      <c r="J436" s="2" t="s">
        <v>570</v>
      </c>
      <c r="K436" s="2" t="s">
        <v>90</v>
      </c>
      <c r="L436" s="2" t="s">
        <v>6</v>
      </c>
      <c r="M436" s="155"/>
      <c r="N436" s="155"/>
      <c r="O436" s="2">
        <v>2</v>
      </c>
      <c r="P436" s="6">
        <v>35</v>
      </c>
      <c r="Q436" s="131">
        <f t="shared" si="40"/>
        <v>12.659340659340661</v>
      </c>
      <c r="R436" s="33">
        <f t="shared" si="41"/>
        <v>35</v>
      </c>
      <c r="S436" s="132">
        <f t="shared" si="42"/>
        <v>4.375</v>
      </c>
      <c r="T436" s="132">
        <f t="shared" si="43"/>
        <v>4.375</v>
      </c>
      <c r="V436" s="131" t="str">
        <f t="shared" si="44"/>
        <v/>
      </c>
      <c r="W436" s="17"/>
      <c r="X436" s="7"/>
      <c r="Y436" s="161"/>
      <c r="Z436" s="7"/>
      <c r="AA436" s="117"/>
      <c r="AB436" s="117"/>
      <c r="AC436" s="117"/>
      <c r="CH436" s="2"/>
    </row>
    <row r="437" spans="1:86" x14ac:dyDescent="0.3">
      <c r="A437" s="23">
        <v>397</v>
      </c>
      <c r="B437" s="2" t="s">
        <v>0</v>
      </c>
      <c r="C437" s="2" t="s">
        <v>1</v>
      </c>
      <c r="D437" s="2" t="s">
        <v>819</v>
      </c>
      <c r="E437" s="2">
        <v>5200</v>
      </c>
      <c r="F437" s="2">
        <v>1.6999999999999999E-3</v>
      </c>
      <c r="G437" s="2">
        <v>1.1000000000000001E-3</v>
      </c>
      <c r="H437" s="4">
        <f t="shared" si="39"/>
        <v>0.35294117647058815</v>
      </c>
      <c r="I437" s="2" t="s">
        <v>82</v>
      </c>
      <c r="J437" s="2" t="s">
        <v>645</v>
      </c>
      <c r="K437" s="2" t="s">
        <v>820</v>
      </c>
      <c r="L437" s="2" t="s">
        <v>6</v>
      </c>
      <c r="M437" s="155"/>
      <c r="N437" s="155"/>
      <c r="O437" s="2">
        <v>100</v>
      </c>
      <c r="P437" s="6">
        <v>10</v>
      </c>
      <c r="Q437" s="131">
        <f t="shared" si="40"/>
        <v>55.38461538461538</v>
      </c>
      <c r="R437" s="33">
        <f t="shared" si="41"/>
        <v>10</v>
      </c>
      <c r="S437" s="132">
        <f t="shared" si="42"/>
        <v>1.25</v>
      </c>
      <c r="T437" s="132">
        <f t="shared" si="43"/>
        <v>1.25</v>
      </c>
      <c r="V437" s="131">
        <f t="shared" si="44"/>
        <v>13.722649996188153</v>
      </c>
      <c r="W437" s="17">
        <v>40.36</v>
      </c>
      <c r="X437" s="8">
        <f>60*60*8/W437</f>
        <v>713.57779980178395</v>
      </c>
      <c r="Y437" s="161">
        <v>45338</v>
      </c>
      <c r="Z437" s="7" t="s">
        <v>821</v>
      </c>
      <c r="AA437" s="117"/>
      <c r="AB437" s="117"/>
      <c r="AC437" s="117"/>
      <c r="CH437" s="2"/>
    </row>
    <row r="438" spans="1:86" x14ac:dyDescent="0.3">
      <c r="A438" s="2">
        <v>399</v>
      </c>
      <c r="B438" s="2" t="s">
        <v>0</v>
      </c>
      <c r="C438" s="2" t="s">
        <v>1</v>
      </c>
      <c r="D438" s="2" t="s">
        <v>822</v>
      </c>
      <c r="E438" s="2">
        <v>2400</v>
      </c>
      <c r="F438" s="2">
        <v>1.41E-2</v>
      </c>
      <c r="G438" s="2">
        <v>1.0500000000000001E-2</v>
      </c>
      <c r="H438" s="4">
        <f t="shared" si="39"/>
        <v>0.25531914893617014</v>
      </c>
      <c r="I438" s="2" t="s">
        <v>82</v>
      </c>
      <c r="J438" s="2" t="s">
        <v>658</v>
      </c>
      <c r="K438" s="2" t="s">
        <v>105</v>
      </c>
      <c r="L438" s="2" t="s">
        <v>76</v>
      </c>
      <c r="M438" s="155"/>
      <c r="N438" s="155"/>
      <c r="O438" s="2">
        <v>16</v>
      </c>
      <c r="P438" s="6">
        <v>6</v>
      </c>
      <c r="Q438" s="131">
        <f t="shared" si="40"/>
        <v>32</v>
      </c>
      <c r="R438" s="33">
        <f t="shared" si="41"/>
        <v>6</v>
      </c>
      <c r="S438" s="132">
        <f t="shared" si="42"/>
        <v>0.75</v>
      </c>
      <c r="T438" s="132">
        <f t="shared" si="43"/>
        <v>0.75</v>
      </c>
      <c r="V438" s="131" t="str">
        <f t="shared" si="44"/>
        <v/>
      </c>
      <c r="W438" s="17"/>
      <c r="X438" s="7"/>
      <c r="Y438" s="161"/>
      <c r="Z438" s="7"/>
      <c r="AA438" s="117"/>
      <c r="AB438" s="117"/>
      <c r="AC438" s="117"/>
      <c r="CH438" s="2"/>
    </row>
    <row r="439" spans="1:86" x14ac:dyDescent="0.3">
      <c r="A439" s="2">
        <v>400</v>
      </c>
      <c r="B439" s="2" t="s">
        <v>0</v>
      </c>
      <c r="C439" s="2" t="s">
        <v>1</v>
      </c>
      <c r="D439" s="2" t="s">
        <v>823</v>
      </c>
      <c r="E439" s="2">
        <v>2700</v>
      </c>
      <c r="F439" s="2">
        <v>1.1599999999999999E-2</v>
      </c>
      <c r="G439" s="2">
        <v>9.4999999999999998E-3</v>
      </c>
      <c r="H439" s="4">
        <f t="shared" si="39"/>
        <v>0.18103448275862066</v>
      </c>
      <c r="I439" s="2" t="s">
        <v>82</v>
      </c>
      <c r="J439" s="2" t="s">
        <v>824</v>
      </c>
      <c r="K439" s="2" t="s">
        <v>222</v>
      </c>
      <c r="L439" s="2" t="s">
        <v>76</v>
      </c>
      <c r="M439" s="155"/>
      <c r="N439" s="155"/>
      <c r="O439" s="2">
        <v>15</v>
      </c>
      <c r="P439" s="6">
        <v>14</v>
      </c>
      <c r="Q439" s="131">
        <f t="shared" si="40"/>
        <v>11.428571428571429</v>
      </c>
      <c r="R439" s="33">
        <f t="shared" si="41"/>
        <v>14</v>
      </c>
      <c r="S439" s="132">
        <f t="shared" si="42"/>
        <v>1.75</v>
      </c>
      <c r="T439" s="132">
        <f t="shared" si="43"/>
        <v>1.75</v>
      </c>
      <c r="V439" s="131" t="str">
        <f t="shared" si="44"/>
        <v/>
      </c>
      <c r="W439" s="17"/>
      <c r="X439" s="7"/>
      <c r="Y439" s="161"/>
      <c r="Z439" s="7"/>
      <c r="AA439" s="117"/>
      <c r="AB439" s="117"/>
      <c r="AC439" s="117"/>
      <c r="CH439" s="2"/>
    </row>
    <row r="440" spans="1:86" x14ac:dyDescent="0.3">
      <c r="A440" s="2">
        <v>401</v>
      </c>
      <c r="B440" s="2" t="s">
        <v>0</v>
      </c>
      <c r="C440" s="2" t="s">
        <v>1</v>
      </c>
      <c r="D440" s="2" t="s">
        <v>825</v>
      </c>
      <c r="E440" s="2">
        <v>3000</v>
      </c>
      <c r="F440" s="2">
        <v>1.03E-2</v>
      </c>
      <c r="G440" s="2">
        <v>8.0000000000000002E-3</v>
      </c>
      <c r="H440" s="4">
        <f t="shared" si="39"/>
        <v>0.22330097087378639</v>
      </c>
      <c r="I440" s="2" t="s">
        <v>82</v>
      </c>
      <c r="J440" s="2" t="s">
        <v>743</v>
      </c>
      <c r="K440" s="2" t="s">
        <v>105</v>
      </c>
      <c r="L440" s="2" t="s">
        <v>76</v>
      </c>
      <c r="M440" s="155"/>
      <c r="N440" s="155"/>
      <c r="O440" s="2">
        <v>15</v>
      </c>
      <c r="P440" s="6">
        <v>12</v>
      </c>
      <c r="Q440" s="131">
        <f t="shared" si="40"/>
        <v>12</v>
      </c>
      <c r="R440" s="33">
        <f t="shared" si="41"/>
        <v>12</v>
      </c>
      <c r="S440" s="132">
        <f t="shared" si="42"/>
        <v>1.5</v>
      </c>
      <c r="T440" s="132">
        <f t="shared" si="43"/>
        <v>1.5</v>
      </c>
      <c r="V440" s="131" t="str">
        <f t="shared" si="44"/>
        <v/>
      </c>
      <c r="W440" s="17"/>
      <c r="X440" s="7"/>
      <c r="Y440" s="161"/>
      <c r="Z440" s="7"/>
      <c r="AA440" s="117"/>
      <c r="AB440" s="117"/>
      <c r="AC440" s="117"/>
      <c r="CH440" s="2"/>
    </row>
    <row r="441" spans="1:86" x14ac:dyDescent="0.3">
      <c r="A441" s="2">
        <v>402</v>
      </c>
      <c r="B441" s="2" t="s">
        <v>0</v>
      </c>
      <c r="C441" s="2" t="s">
        <v>1</v>
      </c>
      <c r="D441" s="2" t="s">
        <v>826</v>
      </c>
      <c r="E441" s="2">
        <v>1350</v>
      </c>
      <c r="F441" s="2">
        <v>2.3199999999999998E-2</v>
      </c>
      <c r="G441" s="2">
        <v>1.9099999999999999E-2</v>
      </c>
      <c r="H441" s="4">
        <f t="shared" si="39"/>
        <v>0.17672413793103448</v>
      </c>
      <c r="I441" s="2" t="s">
        <v>82</v>
      </c>
      <c r="J441" s="2" t="s">
        <v>626</v>
      </c>
      <c r="K441" s="2" t="s">
        <v>261</v>
      </c>
      <c r="L441" s="2" t="s">
        <v>76</v>
      </c>
      <c r="M441" s="155"/>
      <c r="N441" s="155"/>
      <c r="O441" s="2">
        <v>15</v>
      </c>
      <c r="P441" s="6">
        <v>12</v>
      </c>
      <c r="Q441" s="131">
        <f t="shared" si="40"/>
        <v>26.666666666666668</v>
      </c>
      <c r="R441" s="33">
        <f t="shared" si="41"/>
        <v>12</v>
      </c>
      <c r="S441" s="132">
        <f t="shared" si="42"/>
        <v>1.5</v>
      </c>
      <c r="T441" s="132">
        <f t="shared" si="43"/>
        <v>1.5</v>
      </c>
      <c r="V441" s="131" t="str">
        <f t="shared" si="44"/>
        <v/>
      </c>
      <c r="W441" s="17"/>
      <c r="X441" s="7"/>
      <c r="Y441" s="161"/>
      <c r="Z441" s="7"/>
      <c r="AA441" s="117"/>
      <c r="AB441" s="117"/>
      <c r="AC441" s="117"/>
      <c r="CH441" s="2"/>
    </row>
    <row r="442" spans="1:86" x14ac:dyDescent="0.3">
      <c r="A442" s="2">
        <v>403</v>
      </c>
      <c r="B442" s="2" t="s">
        <v>0</v>
      </c>
      <c r="C442" s="2" t="s">
        <v>1</v>
      </c>
      <c r="D442" s="2" t="s">
        <v>827</v>
      </c>
      <c r="E442" s="2">
        <v>1150</v>
      </c>
      <c r="F442" s="2">
        <v>2.7E-2</v>
      </c>
      <c r="G442" s="2">
        <v>1.9599999999999999E-2</v>
      </c>
      <c r="H442" s="4">
        <f t="shared" si="39"/>
        <v>0.27407407407407408</v>
      </c>
      <c r="I442" s="2" t="s">
        <v>82</v>
      </c>
      <c r="J442" s="2" t="s">
        <v>598</v>
      </c>
      <c r="K442" s="2" t="s">
        <v>230</v>
      </c>
      <c r="L442" s="2" t="s">
        <v>76</v>
      </c>
      <c r="M442" s="155"/>
      <c r="N442" s="155"/>
      <c r="O442" s="2">
        <v>7</v>
      </c>
      <c r="P442" s="6">
        <v>15</v>
      </c>
      <c r="Q442" s="131">
        <f t="shared" si="40"/>
        <v>11.68695652173913</v>
      </c>
      <c r="R442" s="33">
        <f t="shared" si="41"/>
        <v>15.000000000000002</v>
      </c>
      <c r="S442" s="132">
        <f t="shared" si="42"/>
        <v>1.8750000000000002</v>
      </c>
      <c r="T442" s="132">
        <f t="shared" si="43"/>
        <v>1.8750000000000002</v>
      </c>
      <c r="V442" s="131" t="str">
        <f t="shared" si="44"/>
        <v/>
      </c>
      <c r="W442" s="17"/>
      <c r="X442" s="7"/>
      <c r="Y442" s="161"/>
      <c r="Z442" s="7"/>
      <c r="AA442" s="117"/>
      <c r="AB442" s="117"/>
      <c r="AC442" s="117"/>
      <c r="CH442" s="2"/>
    </row>
    <row r="443" spans="1:86" x14ac:dyDescent="0.3">
      <c r="A443" s="2">
        <v>404</v>
      </c>
      <c r="B443" s="2" t="s">
        <v>0</v>
      </c>
      <c r="C443" s="2" t="s">
        <v>1</v>
      </c>
      <c r="D443" s="2" t="s">
        <v>828</v>
      </c>
      <c r="E443" s="2">
        <v>1080</v>
      </c>
      <c r="F443" s="2">
        <v>3.2300000000000002E-2</v>
      </c>
      <c r="G443" s="2">
        <v>2.2100000000000002E-2</v>
      </c>
      <c r="H443" s="4">
        <f t="shared" ref="H443:H506" si="45">(F443-G443)/F443</f>
        <v>0.31578947368421051</v>
      </c>
      <c r="I443" s="2" t="s">
        <v>82</v>
      </c>
      <c r="J443" s="2" t="s">
        <v>598</v>
      </c>
      <c r="K443" s="2" t="s">
        <v>230</v>
      </c>
      <c r="L443" s="2" t="s">
        <v>76</v>
      </c>
      <c r="M443" s="155"/>
      <c r="N443" s="155"/>
      <c r="O443" s="2">
        <v>6</v>
      </c>
      <c r="P443" s="6">
        <v>8</v>
      </c>
      <c r="Q443" s="131">
        <f t="shared" ref="Q443:Q506" si="46">IFERROR(60*60*8*O443/E443/P443,"")</f>
        <v>20</v>
      </c>
      <c r="R443" s="33">
        <f t="shared" ref="R443:R506" si="47">IFERROR(60*60*8*O443/E443/Q443,"")</f>
        <v>8</v>
      </c>
      <c r="S443" s="132">
        <f t="shared" ref="S443:S506" si="48">IFERROR(R443/8,"")</f>
        <v>1</v>
      </c>
      <c r="T443" s="132">
        <f t="shared" ref="T443:T506" si="49">IFERROR(IF(R443&gt;2,S443,""),"")</f>
        <v>1</v>
      </c>
      <c r="V443" s="131" t="str">
        <f t="shared" ref="V443:V506" si="50">IF(X443&gt;10,X443*O443/E443,"")</f>
        <v/>
      </c>
      <c r="W443" s="17"/>
      <c r="X443" s="7"/>
      <c r="Y443" s="161"/>
      <c r="Z443" s="7"/>
      <c r="AA443" s="117"/>
      <c r="AB443" s="117"/>
      <c r="AC443" s="117"/>
      <c r="CH443" s="2"/>
    </row>
    <row r="444" spans="1:86" x14ac:dyDescent="0.3">
      <c r="A444" s="2">
        <v>405</v>
      </c>
      <c r="B444" s="2" t="s">
        <v>0</v>
      </c>
      <c r="C444" s="2" t="s">
        <v>1</v>
      </c>
      <c r="D444" s="2" t="s">
        <v>829</v>
      </c>
      <c r="E444" s="2">
        <v>1400</v>
      </c>
      <c r="F444" s="2">
        <v>2.1899999999999999E-2</v>
      </c>
      <c r="G444" s="2">
        <v>1.44E-2</v>
      </c>
      <c r="H444" s="4">
        <f t="shared" si="45"/>
        <v>0.34246575342465752</v>
      </c>
      <c r="I444" s="2" t="s">
        <v>82</v>
      </c>
      <c r="J444" s="2" t="s">
        <v>739</v>
      </c>
      <c r="K444" s="2" t="s">
        <v>105</v>
      </c>
      <c r="L444" s="2" t="s">
        <v>76</v>
      </c>
      <c r="M444" s="155"/>
      <c r="N444" s="155"/>
      <c r="O444" s="2">
        <v>13</v>
      </c>
      <c r="P444" s="6">
        <v>7</v>
      </c>
      <c r="Q444" s="131">
        <f t="shared" si="46"/>
        <v>38.204081632653065</v>
      </c>
      <c r="R444" s="33">
        <f t="shared" si="47"/>
        <v>7</v>
      </c>
      <c r="S444" s="132">
        <f t="shared" si="48"/>
        <v>0.875</v>
      </c>
      <c r="T444" s="132">
        <f t="shared" si="49"/>
        <v>0.875</v>
      </c>
      <c r="V444" s="131" t="str">
        <f t="shared" si="50"/>
        <v/>
      </c>
      <c r="W444" s="17"/>
      <c r="X444" s="7"/>
      <c r="Y444" s="161"/>
      <c r="Z444" s="7"/>
      <c r="AA444" s="117"/>
      <c r="AB444" s="117"/>
      <c r="AC444" s="117"/>
      <c r="CH444" s="2"/>
    </row>
    <row r="445" spans="1:86" x14ac:dyDescent="0.3">
      <c r="A445" s="2">
        <v>406</v>
      </c>
      <c r="B445" s="2" t="s">
        <v>0</v>
      </c>
      <c r="C445" s="2" t="s">
        <v>1</v>
      </c>
      <c r="D445" s="2" t="s">
        <v>830</v>
      </c>
      <c r="E445" s="2">
        <v>1300</v>
      </c>
      <c r="F445" s="2">
        <v>2.46E-2</v>
      </c>
      <c r="G445" s="2">
        <v>1.7299999999999999E-2</v>
      </c>
      <c r="H445" s="4">
        <f t="shared" si="45"/>
        <v>0.29674796747967486</v>
      </c>
      <c r="I445" s="2" t="s">
        <v>82</v>
      </c>
      <c r="J445" s="2" t="s">
        <v>795</v>
      </c>
      <c r="K445" s="2" t="s">
        <v>222</v>
      </c>
      <c r="L445" s="2" t="s">
        <v>76</v>
      </c>
      <c r="M445" s="155"/>
      <c r="N445" s="155"/>
      <c r="O445" s="2">
        <v>12</v>
      </c>
      <c r="P445" s="6">
        <v>12</v>
      </c>
      <c r="Q445" s="131">
        <f t="shared" si="46"/>
        <v>22.153846153846157</v>
      </c>
      <c r="R445" s="33">
        <f t="shared" si="47"/>
        <v>12</v>
      </c>
      <c r="S445" s="132">
        <f t="shared" si="48"/>
        <v>1.5</v>
      </c>
      <c r="T445" s="132">
        <f t="shared" si="49"/>
        <v>1.5</v>
      </c>
      <c r="V445" s="131" t="str">
        <f t="shared" si="50"/>
        <v/>
      </c>
      <c r="W445" s="17"/>
      <c r="X445" s="7"/>
      <c r="Y445" s="161"/>
      <c r="Z445" s="7"/>
      <c r="AA445" s="117"/>
      <c r="AB445" s="117"/>
      <c r="AC445" s="117"/>
      <c r="CH445" s="2"/>
    </row>
    <row r="446" spans="1:86" x14ac:dyDescent="0.3">
      <c r="A446" s="2">
        <v>434</v>
      </c>
      <c r="B446" s="2" t="s">
        <v>0</v>
      </c>
      <c r="C446" s="2" t="s">
        <v>1</v>
      </c>
      <c r="D446" s="2" t="s">
        <v>831</v>
      </c>
      <c r="E446" s="2">
        <v>960</v>
      </c>
      <c r="F446" s="2">
        <v>1.2699999999999999E-2</v>
      </c>
      <c r="G446" s="2">
        <v>9.1000000000000004E-3</v>
      </c>
      <c r="H446" s="4">
        <f t="shared" si="45"/>
        <v>0.2834645669291338</v>
      </c>
      <c r="I446" s="2" t="s">
        <v>98</v>
      </c>
      <c r="J446" s="2" t="s">
        <v>495</v>
      </c>
      <c r="K446" s="2" t="s">
        <v>105</v>
      </c>
      <c r="L446" s="2" t="s">
        <v>76</v>
      </c>
      <c r="M446" s="155"/>
      <c r="N446" s="155"/>
      <c r="O446" s="2">
        <v>16</v>
      </c>
      <c r="P446" s="6">
        <v>24</v>
      </c>
      <c r="Q446" s="131">
        <f t="shared" si="46"/>
        <v>20</v>
      </c>
      <c r="R446" s="33">
        <f t="shared" si="47"/>
        <v>24</v>
      </c>
      <c r="S446" s="132">
        <f t="shared" si="48"/>
        <v>3</v>
      </c>
      <c r="T446" s="132">
        <f t="shared" si="49"/>
        <v>3</v>
      </c>
      <c r="V446" s="131" t="str">
        <f t="shared" si="50"/>
        <v/>
      </c>
      <c r="W446" s="17"/>
      <c r="X446" s="7"/>
      <c r="Y446" s="161"/>
      <c r="Z446" s="7"/>
      <c r="AA446" s="117"/>
      <c r="AB446" s="117"/>
      <c r="AC446" s="117"/>
      <c r="CH446" s="2"/>
    </row>
    <row r="447" spans="1:86" x14ac:dyDescent="0.3">
      <c r="A447" s="2">
        <v>435</v>
      </c>
      <c r="B447" s="2" t="s">
        <v>0</v>
      </c>
      <c r="C447" s="2" t="s">
        <v>1</v>
      </c>
      <c r="D447" s="2" t="s">
        <v>832</v>
      </c>
      <c r="E447" s="2">
        <v>650</v>
      </c>
      <c r="F447" s="2">
        <v>1.49E-2</v>
      </c>
      <c r="G447" s="2">
        <v>1.0699999999999999E-2</v>
      </c>
      <c r="H447" s="4">
        <f t="shared" si="45"/>
        <v>0.28187919463087252</v>
      </c>
      <c r="I447" s="2" t="s">
        <v>98</v>
      </c>
      <c r="J447" s="2" t="s">
        <v>99</v>
      </c>
      <c r="K447" s="2" t="s">
        <v>105</v>
      </c>
      <c r="L447" s="2" t="s">
        <v>76</v>
      </c>
      <c r="M447" s="155"/>
      <c r="N447" s="155"/>
      <c r="O447" s="2">
        <v>16</v>
      </c>
      <c r="P447" s="6">
        <v>24</v>
      </c>
      <c r="Q447" s="131">
        <f t="shared" si="46"/>
        <v>29.538461538461537</v>
      </c>
      <c r="R447" s="33">
        <f t="shared" si="47"/>
        <v>24</v>
      </c>
      <c r="S447" s="132">
        <f t="shared" si="48"/>
        <v>3</v>
      </c>
      <c r="T447" s="132">
        <f t="shared" si="49"/>
        <v>3</v>
      </c>
      <c r="V447" s="131" t="str">
        <f t="shared" si="50"/>
        <v/>
      </c>
      <c r="W447" s="17"/>
      <c r="X447" s="7"/>
      <c r="Y447" s="161"/>
      <c r="Z447" s="7"/>
      <c r="AA447" s="117"/>
      <c r="AB447" s="117"/>
      <c r="AC447" s="117"/>
      <c r="CH447" s="2"/>
    </row>
    <row r="448" spans="1:86" x14ac:dyDescent="0.3">
      <c r="A448" s="2">
        <v>437</v>
      </c>
      <c r="B448" s="2" t="s">
        <v>84</v>
      </c>
      <c r="C448" s="2" t="s">
        <v>1</v>
      </c>
      <c r="D448" s="2" t="s">
        <v>833</v>
      </c>
      <c r="E448" s="2">
        <v>5900</v>
      </c>
      <c r="F448" s="2">
        <v>2.5999999999999999E-3</v>
      </c>
      <c r="G448" s="2">
        <v>1.9E-3</v>
      </c>
      <c r="H448" s="4">
        <f t="shared" si="45"/>
        <v>0.26923076923076922</v>
      </c>
      <c r="I448" s="2" t="s">
        <v>82</v>
      </c>
      <c r="J448" s="2" t="s">
        <v>645</v>
      </c>
      <c r="K448" s="2" t="s">
        <v>90</v>
      </c>
      <c r="L448" s="2" t="s">
        <v>6</v>
      </c>
      <c r="M448" s="155"/>
      <c r="N448" s="155"/>
      <c r="O448" s="2">
        <v>56</v>
      </c>
      <c r="P448" s="6"/>
      <c r="Q448" s="131" t="str">
        <f t="shared" si="46"/>
        <v/>
      </c>
      <c r="R448" s="33" t="str">
        <f t="shared" si="47"/>
        <v/>
      </c>
      <c r="S448" s="132" t="str">
        <f t="shared" si="48"/>
        <v/>
      </c>
      <c r="T448" s="132" t="str">
        <f t="shared" si="49"/>
        <v/>
      </c>
      <c r="V448" s="131" t="str">
        <f t="shared" si="50"/>
        <v/>
      </c>
      <c r="W448" s="17"/>
      <c r="X448" s="7"/>
      <c r="Y448" s="161"/>
      <c r="Z448" s="7"/>
      <c r="AA448" s="117"/>
      <c r="AB448" s="117"/>
      <c r="AC448" s="117"/>
      <c r="CH448" s="2"/>
    </row>
    <row r="449" spans="1:86" x14ac:dyDescent="0.3">
      <c r="A449" s="2">
        <v>438</v>
      </c>
      <c r="B449" s="2" t="s">
        <v>84</v>
      </c>
      <c r="C449" s="2" t="s">
        <v>1</v>
      </c>
      <c r="D449" s="2" t="s">
        <v>834</v>
      </c>
      <c r="E449" s="2">
        <v>2300</v>
      </c>
      <c r="F449" s="2">
        <v>6.4000000000000003E-3</v>
      </c>
      <c r="G449" s="2"/>
      <c r="H449" s="4">
        <f t="shared" si="45"/>
        <v>1</v>
      </c>
      <c r="I449" s="2" t="s">
        <v>82</v>
      </c>
      <c r="J449" s="2" t="s">
        <v>645</v>
      </c>
      <c r="K449" s="2"/>
      <c r="L449" s="2"/>
      <c r="M449" s="155"/>
      <c r="N449" s="155"/>
      <c r="O449" s="2">
        <v>14</v>
      </c>
      <c r="P449" s="6"/>
      <c r="Q449" s="131" t="str">
        <f t="shared" si="46"/>
        <v/>
      </c>
      <c r="R449" s="33" t="str">
        <f t="shared" si="47"/>
        <v/>
      </c>
      <c r="S449" s="132" t="str">
        <f t="shared" si="48"/>
        <v/>
      </c>
      <c r="T449" s="132" t="str">
        <f t="shared" si="49"/>
        <v/>
      </c>
      <c r="V449" s="131" t="str">
        <f t="shared" si="50"/>
        <v/>
      </c>
      <c r="W449" s="17"/>
      <c r="X449" s="7"/>
      <c r="Y449" s="161"/>
      <c r="Z449" s="7"/>
      <c r="AA449" s="117"/>
      <c r="AB449" s="117"/>
      <c r="AC449" s="117"/>
      <c r="CH449" s="2"/>
    </row>
    <row r="450" spans="1:86" x14ac:dyDescent="0.3">
      <c r="A450" s="2">
        <v>440</v>
      </c>
      <c r="B450" s="2" t="s">
        <v>84</v>
      </c>
      <c r="C450" s="2" t="s">
        <v>1</v>
      </c>
      <c r="D450" s="2" t="s">
        <v>835</v>
      </c>
      <c r="E450" s="2">
        <v>3600</v>
      </c>
      <c r="F450" s="2">
        <v>4.8999999999999998E-3</v>
      </c>
      <c r="G450" s="2"/>
      <c r="H450" s="4">
        <f t="shared" si="45"/>
        <v>1</v>
      </c>
      <c r="I450" s="2" t="s">
        <v>82</v>
      </c>
      <c r="J450" s="2" t="s">
        <v>645</v>
      </c>
      <c r="K450" s="2" t="s">
        <v>5</v>
      </c>
      <c r="L450" s="2" t="s">
        <v>6</v>
      </c>
      <c r="M450" s="155"/>
      <c r="N450" s="155"/>
      <c r="O450" s="2">
        <v>36</v>
      </c>
      <c r="P450" s="6"/>
      <c r="Q450" s="131" t="str">
        <f t="shared" si="46"/>
        <v/>
      </c>
      <c r="R450" s="33" t="str">
        <f t="shared" si="47"/>
        <v/>
      </c>
      <c r="S450" s="132" t="str">
        <f t="shared" si="48"/>
        <v/>
      </c>
      <c r="T450" s="132" t="str">
        <f t="shared" si="49"/>
        <v/>
      </c>
      <c r="V450" s="131" t="str">
        <f t="shared" si="50"/>
        <v/>
      </c>
      <c r="W450" s="17"/>
      <c r="X450" s="7"/>
      <c r="Y450" s="161"/>
      <c r="Z450" s="7"/>
      <c r="AA450" s="117"/>
      <c r="AB450" s="117"/>
      <c r="AC450" s="117"/>
      <c r="CH450" s="2"/>
    </row>
    <row r="451" spans="1:86" x14ac:dyDescent="0.3">
      <c r="A451" s="2">
        <v>443</v>
      </c>
      <c r="B451" s="2" t="s">
        <v>84</v>
      </c>
      <c r="C451" s="2" t="s">
        <v>1</v>
      </c>
      <c r="D451" s="2" t="s">
        <v>836</v>
      </c>
      <c r="E451" s="2">
        <v>3200</v>
      </c>
      <c r="F451" s="2">
        <v>4.3E-3</v>
      </c>
      <c r="G451" s="2">
        <v>3.2000000000000002E-3</v>
      </c>
      <c r="H451" s="4">
        <f t="shared" si="45"/>
        <v>0.25581395348837205</v>
      </c>
      <c r="I451" s="2" t="s">
        <v>82</v>
      </c>
      <c r="J451" s="2" t="s">
        <v>645</v>
      </c>
      <c r="K451" s="2" t="s">
        <v>90</v>
      </c>
      <c r="L451" s="2" t="s">
        <v>6</v>
      </c>
      <c r="M451" s="155"/>
      <c r="N451" s="155"/>
      <c r="O451" s="2">
        <v>45</v>
      </c>
      <c r="P451" s="6"/>
      <c r="Q451" s="131" t="str">
        <f t="shared" si="46"/>
        <v/>
      </c>
      <c r="R451" s="33" t="str">
        <f t="shared" si="47"/>
        <v/>
      </c>
      <c r="S451" s="132" t="str">
        <f t="shared" si="48"/>
        <v/>
      </c>
      <c r="T451" s="132" t="str">
        <f t="shared" si="49"/>
        <v/>
      </c>
      <c r="V451" s="131" t="str">
        <f t="shared" si="50"/>
        <v/>
      </c>
      <c r="W451" s="17"/>
      <c r="X451" s="7"/>
      <c r="Y451" s="161"/>
      <c r="Z451" s="7"/>
      <c r="AA451" s="117"/>
      <c r="AB451" s="117"/>
      <c r="AC451" s="117"/>
      <c r="CH451" s="2"/>
    </row>
    <row r="452" spans="1:86" x14ac:dyDescent="0.3">
      <c r="A452" s="2">
        <v>444</v>
      </c>
      <c r="B452" s="23" t="s">
        <v>0</v>
      </c>
      <c r="C452" s="2" t="s">
        <v>1</v>
      </c>
      <c r="D452" s="2" t="s">
        <v>837</v>
      </c>
      <c r="E452" s="2">
        <v>1200</v>
      </c>
      <c r="F452" s="2">
        <v>1.1599999999999999E-2</v>
      </c>
      <c r="G452" s="2">
        <v>8.9999999999999993E-3</v>
      </c>
      <c r="H452" s="4">
        <f t="shared" si="45"/>
        <v>0.22413793103448276</v>
      </c>
      <c r="I452" s="2" t="s">
        <v>98</v>
      </c>
      <c r="J452" s="2" t="s">
        <v>838</v>
      </c>
      <c r="K452" s="2" t="s">
        <v>5</v>
      </c>
      <c r="L452" s="2" t="s">
        <v>6</v>
      </c>
      <c r="M452" s="155">
        <v>5</v>
      </c>
      <c r="N452" s="155">
        <v>240</v>
      </c>
      <c r="O452" s="2">
        <v>20</v>
      </c>
      <c r="P452" s="6">
        <v>10</v>
      </c>
      <c r="Q452" s="131">
        <f t="shared" si="46"/>
        <v>48</v>
      </c>
      <c r="R452" s="33">
        <f t="shared" si="47"/>
        <v>10</v>
      </c>
      <c r="S452" s="132">
        <f t="shared" si="48"/>
        <v>1.25</v>
      </c>
      <c r="T452" s="132">
        <f t="shared" si="49"/>
        <v>1.25</v>
      </c>
      <c r="V452" s="131" t="str">
        <f t="shared" si="50"/>
        <v/>
      </c>
      <c r="W452" s="17"/>
      <c r="X452" s="7"/>
      <c r="Y452" s="161"/>
      <c r="Z452" s="7"/>
      <c r="AA452" s="117"/>
      <c r="AB452" s="117"/>
      <c r="AC452" s="117"/>
      <c r="CH452" s="2"/>
    </row>
    <row r="453" spans="1:86" x14ac:dyDescent="0.3">
      <c r="A453" s="2">
        <v>445</v>
      </c>
      <c r="B453" s="23" t="s">
        <v>0</v>
      </c>
      <c r="C453" s="2" t="s">
        <v>1</v>
      </c>
      <c r="D453" s="2" t="s">
        <v>839</v>
      </c>
      <c r="E453" s="2">
        <v>2000</v>
      </c>
      <c r="F453" s="2">
        <v>8.2000000000000007E-3</v>
      </c>
      <c r="G453" s="2">
        <v>6.1000000000000004E-3</v>
      </c>
      <c r="H453" s="4">
        <f t="shared" si="45"/>
        <v>0.25609756097560976</v>
      </c>
      <c r="I453" s="2" t="s">
        <v>98</v>
      </c>
      <c r="J453" s="2" t="s">
        <v>418</v>
      </c>
      <c r="K453" s="2" t="s">
        <v>5</v>
      </c>
      <c r="L453" s="2" t="s">
        <v>6</v>
      </c>
      <c r="M453" s="155"/>
      <c r="N453" s="155"/>
      <c r="O453" s="2">
        <v>24</v>
      </c>
      <c r="P453" s="6">
        <v>14</v>
      </c>
      <c r="Q453" s="131">
        <f t="shared" si="46"/>
        <v>24.685714285714287</v>
      </c>
      <c r="R453" s="33">
        <f t="shared" si="47"/>
        <v>14</v>
      </c>
      <c r="S453" s="132">
        <f t="shared" si="48"/>
        <v>1.75</v>
      </c>
      <c r="T453" s="132">
        <f t="shared" si="49"/>
        <v>1.75</v>
      </c>
      <c r="V453" s="131" t="str">
        <f t="shared" si="50"/>
        <v/>
      </c>
      <c r="W453" s="17"/>
      <c r="X453" s="7"/>
      <c r="Y453" s="161"/>
      <c r="Z453" s="7"/>
      <c r="AA453" s="117"/>
      <c r="AB453" s="117"/>
      <c r="AC453" s="117"/>
      <c r="CH453" s="2"/>
    </row>
    <row r="454" spans="1:86" x14ac:dyDescent="0.3">
      <c r="A454" s="2">
        <v>446</v>
      </c>
      <c r="B454" s="2" t="s">
        <v>84</v>
      </c>
      <c r="C454" s="2" t="s">
        <v>1</v>
      </c>
      <c r="D454" s="2" t="s">
        <v>840</v>
      </c>
      <c r="E454" s="2">
        <v>300</v>
      </c>
      <c r="F454" s="2">
        <v>7.2499999999999995E-2</v>
      </c>
      <c r="G454" s="2"/>
      <c r="H454" s="4">
        <f t="shared" si="45"/>
        <v>1</v>
      </c>
      <c r="I454" s="2" t="s">
        <v>82</v>
      </c>
      <c r="J454" s="2" t="s">
        <v>610</v>
      </c>
      <c r="K454" s="2"/>
      <c r="L454" s="2"/>
      <c r="M454" s="155"/>
      <c r="N454" s="155"/>
      <c r="O454" s="2">
        <v>3</v>
      </c>
      <c r="P454" s="6"/>
      <c r="Q454" s="131" t="str">
        <f t="shared" si="46"/>
        <v/>
      </c>
      <c r="R454" s="33" t="str">
        <f t="shared" si="47"/>
        <v/>
      </c>
      <c r="S454" s="132" t="str">
        <f t="shared" si="48"/>
        <v/>
      </c>
      <c r="T454" s="132" t="str">
        <f t="shared" si="49"/>
        <v/>
      </c>
      <c r="V454" s="131" t="str">
        <f t="shared" si="50"/>
        <v/>
      </c>
      <c r="W454" s="17"/>
      <c r="X454" s="7"/>
      <c r="Y454" s="161"/>
      <c r="Z454" s="7"/>
      <c r="AA454" s="117"/>
      <c r="AB454" s="117"/>
      <c r="AC454" s="117"/>
      <c r="CH454" s="2"/>
    </row>
    <row r="455" spans="1:86" x14ac:dyDescent="0.3">
      <c r="A455" s="2">
        <v>451</v>
      </c>
      <c r="B455" s="2" t="s">
        <v>0</v>
      </c>
      <c r="C455" s="2" t="s">
        <v>1</v>
      </c>
      <c r="D455" s="2" t="s">
        <v>841</v>
      </c>
      <c r="E455" s="2">
        <v>1300</v>
      </c>
      <c r="F455" s="2">
        <v>1.3599999999999999E-2</v>
      </c>
      <c r="G455" s="2">
        <v>1.0999999999999999E-2</v>
      </c>
      <c r="H455" s="4">
        <f t="shared" si="45"/>
        <v>0.19117647058823531</v>
      </c>
      <c r="I455" s="2" t="s">
        <v>98</v>
      </c>
      <c r="J455" s="2" t="s">
        <v>842</v>
      </c>
      <c r="K455" s="2" t="s">
        <v>222</v>
      </c>
      <c r="L455" s="2" t="s">
        <v>76</v>
      </c>
      <c r="M455" s="155"/>
      <c r="N455" s="155"/>
      <c r="O455" s="2">
        <v>25</v>
      </c>
      <c r="P455" s="6">
        <v>21</v>
      </c>
      <c r="Q455" s="131">
        <f t="shared" si="46"/>
        <v>26.373626373626372</v>
      </c>
      <c r="R455" s="33">
        <f t="shared" si="47"/>
        <v>21</v>
      </c>
      <c r="S455" s="132">
        <f t="shared" si="48"/>
        <v>2.625</v>
      </c>
      <c r="T455" s="132">
        <f t="shared" si="49"/>
        <v>2.625</v>
      </c>
      <c r="V455" s="131" t="str">
        <f t="shared" si="50"/>
        <v/>
      </c>
      <c r="W455" s="17"/>
      <c r="X455" s="7"/>
      <c r="Y455" s="161"/>
      <c r="Z455" s="7"/>
      <c r="AA455" s="117"/>
      <c r="AB455" s="117"/>
      <c r="AC455" s="117"/>
      <c r="CH455" s="2"/>
    </row>
    <row r="456" spans="1:86" x14ac:dyDescent="0.3">
      <c r="A456" s="2">
        <v>453</v>
      </c>
      <c r="B456" s="2" t="s">
        <v>0</v>
      </c>
      <c r="C456" s="2" t="s">
        <v>1</v>
      </c>
      <c r="D456" s="2" t="s">
        <v>843</v>
      </c>
      <c r="E456" s="2">
        <v>500</v>
      </c>
      <c r="F456" s="2">
        <v>3.5499999999999997E-2</v>
      </c>
      <c r="G456" s="2">
        <v>2.9100000000000001E-2</v>
      </c>
      <c r="H456" s="4">
        <f t="shared" si="45"/>
        <v>0.18028169014084497</v>
      </c>
      <c r="I456" s="2" t="s">
        <v>82</v>
      </c>
      <c r="J456" s="2" t="s">
        <v>658</v>
      </c>
      <c r="K456" s="2" t="s">
        <v>105</v>
      </c>
      <c r="L456" s="2" t="s">
        <v>76</v>
      </c>
      <c r="M456" s="155"/>
      <c r="N456" s="155"/>
      <c r="O456" s="2">
        <v>6</v>
      </c>
      <c r="P456" s="6">
        <v>18</v>
      </c>
      <c r="Q456" s="131">
        <f t="shared" si="46"/>
        <v>19.200000000000003</v>
      </c>
      <c r="R456" s="33">
        <f t="shared" si="47"/>
        <v>18</v>
      </c>
      <c r="S456" s="132">
        <f t="shared" si="48"/>
        <v>2.25</v>
      </c>
      <c r="T456" s="132">
        <f t="shared" si="49"/>
        <v>2.25</v>
      </c>
      <c r="V456" s="131" t="str">
        <f t="shared" si="50"/>
        <v/>
      </c>
      <c r="W456" s="17"/>
      <c r="X456" s="7"/>
      <c r="Y456" s="161"/>
      <c r="Z456" s="7"/>
      <c r="AA456" s="117"/>
      <c r="AB456" s="117"/>
      <c r="AC456" s="117"/>
      <c r="CH456" s="2"/>
    </row>
    <row r="457" spans="1:86" x14ac:dyDescent="0.3">
      <c r="A457" s="2">
        <v>464</v>
      </c>
      <c r="B457" s="2" t="s">
        <v>84</v>
      </c>
      <c r="C457" s="2" t="s">
        <v>1</v>
      </c>
      <c r="D457" s="2" t="s">
        <v>844</v>
      </c>
      <c r="E457" s="2">
        <v>3300</v>
      </c>
      <c r="F457" s="2">
        <v>2.0999999999999999E-3</v>
      </c>
      <c r="G457" s="2"/>
      <c r="H457" s="4">
        <f t="shared" si="45"/>
        <v>1</v>
      </c>
      <c r="I457" s="2" t="s">
        <v>98</v>
      </c>
      <c r="J457" s="2" t="s">
        <v>689</v>
      </c>
      <c r="K457" s="2"/>
      <c r="L457" s="2"/>
      <c r="M457" s="155"/>
      <c r="N457" s="155"/>
      <c r="O457" s="2">
        <v>72</v>
      </c>
      <c r="P457" s="6"/>
      <c r="Q457" s="131" t="str">
        <f t="shared" si="46"/>
        <v/>
      </c>
      <c r="R457" s="33" t="str">
        <f t="shared" si="47"/>
        <v/>
      </c>
      <c r="S457" s="132" t="str">
        <f t="shared" si="48"/>
        <v/>
      </c>
      <c r="T457" s="132" t="str">
        <f t="shared" si="49"/>
        <v/>
      </c>
      <c r="V457" s="131" t="str">
        <f t="shared" si="50"/>
        <v/>
      </c>
      <c r="W457" s="17"/>
      <c r="X457" s="7"/>
      <c r="Y457" s="161"/>
      <c r="Z457" s="7"/>
      <c r="AA457" s="117"/>
      <c r="AB457" s="117"/>
      <c r="AC457" s="117"/>
      <c r="CH457" s="2"/>
    </row>
    <row r="458" spans="1:86" x14ac:dyDescent="0.3">
      <c r="A458" s="2">
        <v>465</v>
      </c>
      <c r="B458" s="2" t="s">
        <v>84</v>
      </c>
      <c r="C458" s="2" t="s">
        <v>1</v>
      </c>
      <c r="D458" s="2" t="s">
        <v>845</v>
      </c>
      <c r="E458" s="2">
        <v>6600</v>
      </c>
      <c r="F458" s="2">
        <v>2.2000000000000001E-3</v>
      </c>
      <c r="G458" s="2"/>
      <c r="H458" s="4">
        <f t="shared" si="45"/>
        <v>1</v>
      </c>
      <c r="I458" s="2" t="s">
        <v>82</v>
      </c>
      <c r="J458" s="2" t="s">
        <v>770</v>
      </c>
      <c r="K458" s="2"/>
      <c r="L458" s="2"/>
      <c r="M458" s="155"/>
      <c r="N458" s="155"/>
      <c r="O458" s="2">
        <v>64</v>
      </c>
      <c r="P458" s="6"/>
      <c r="Q458" s="131" t="str">
        <f t="shared" si="46"/>
        <v/>
      </c>
      <c r="R458" s="33" t="str">
        <f t="shared" si="47"/>
        <v/>
      </c>
      <c r="S458" s="132" t="str">
        <f t="shared" si="48"/>
        <v/>
      </c>
      <c r="T458" s="132" t="str">
        <f t="shared" si="49"/>
        <v/>
      </c>
      <c r="V458" s="131" t="str">
        <f t="shared" si="50"/>
        <v/>
      </c>
      <c r="W458" s="17"/>
      <c r="X458" s="7"/>
      <c r="Y458" s="161"/>
      <c r="Z458" s="7"/>
      <c r="AA458" s="117"/>
      <c r="AB458" s="117"/>
      <c r="AC458" s="117"/>
      <c r="CH458" s="2"/>
    </row>
    <row r="459" spans="1:86" x14ac:dyDescent="0.3">
      <c r="A459" s="23">
        <v>468</v>
      </c>
      <c r="B459" s="2" t="s">
        <v>0</v>
      </c>
      <c r="C459" s="2" t="s">
        <v>1</v>
      </c>
      <c r="D459" s="2" t="s">
        <v>846</v>
      </c>
      <c r="E459" s="2">
        <v>4000</v>
      </c>
      <c r="F459" s="2">
        <v>5.1000000000000004E-3</v>
      </c>
      <c r="G459" s="2">
        <v>3.8999999999999998E-3</v>
      </c>
      <c r="H459" s="4">
        <f t="shared" si="45"/>
        <v>0.2352941176470589</v>
      </c>
      <c r="I459" s="2" t="s">
        <v>98</v>
      </c>
      <c r="J459" s="2" t="s">
        <v>692</v>
      </c>
      <c r="K459" s="2" t="s">
        <v>222</v>
      </c>
      <c r="L459" s="2" t="s">
        <v>76</v>
      </c>
      <c r="M459" s="155"/>
      <c r="N459" s="155"/>
      <c r="O459" s="2">
        <v>42</v>
      </c>
      <c r="P459" s="6">
        <v>6</v>
      </c>
      <c r="Q459" s="131">
        <f t="shared" si="46"/>
        <v>50.4</v>
      </c>
      <c r="R459" s="33">
        <f t="shared" si="47"/>
        <v>6</v>
      </c>
      <c r="S459" s="132">
        <f t="shared" si="48"/>
        <v>0.75</v>
      </c>
      <c r="T459" s="132">
        <f t="shared" si="49"/>
        <v>0.75</v>
      </c>
      <c r="V459" s="131">
        <f t="shared" si="50"/>
        <v>9.2760736196319016</v>
      </c>
      <c r="W459" s="17">
        <v>32.6</v>
      </c>
      <c r="X459" s="8">
        <f>60*60*8/W459</f>
        <v>883.43558282208585</v>
      </c>
      <c r="Y459" s="161">
        <v>45525</v>
      </c>
      <c r="Z459" s="7" t="s">
        <v>7</v>
      </c>
      <c r="AA459" s="117"/>
      <c r="AB459" s="117"/>
      <c r="AC459" s="117"/>
      <c r="AD459" s="22">
        <v>45525</v>
      </c>
      <c r="AE459">
        <v>3</v>
      </c>
      <c r="AF459">
        <v>4.7</v>
      </c>
      <c r="AG459">
        <v>1.8</v>
      </c>
      <c r="AJ459">
        <v>0.2</v>
      </c>
      <c r="AK459">
        <v>5</v>
      </c>
      <c r="AM459">
        <v>8</v>
      </c>
      <c r="AN459">
        <v>7.5</v>
      </c>
      <c r="AS459">
        <v>32.6</v>
      </c>
      <c r="AT459">
        <v>6.5</v>
      </c>
      <c r="AU459">
        <v>17.5</v>
      </c>
      <c r="AV459">
        <v>131</v>
      </c>
      <c r="AW459">
        <v>1410</v>
      </c>
      <c r="AX459">
        <v>20</v>
      </c>
      <c r="AY459">
        <v>52</v>
      </c>
      <c r="AZ459">
        <v>95</v>
      </c>
      <c r="BA459">
        <v>115</v>
      </c>
      <c r="BB459">
        <v>430</v>
      </c>
      <c r="CH459" s="2"/>
    </row>
    <row r="460" spans="1:86" x14ac:dyDescent="0.3">
      <c r="A460" s="2">
        <v>471</v>
      </c>
      <c r="B460" s="2" t="s">
        <v>84</v>
      </c>
      <c r="C460" s="2" t="s">
        <v>1</v>
      </c>
      <c r="D460" s="2" t="s">
        <v>847</v>
      </c>
      <c r="E460" s="2">
        <v>240</v>
      </c>
      <c r="F460" s="2">
        <v>6.7699999999999996E-2</v>
      </c>
      <c r="G460" s="2">
        <v>4.3499999999999997E-2</v>
      </c>
      <c r="H460" s="4">
        <f t="shared" si="45"/>
        <v>0.35745937961595275</v>
      </c>
      <c r="I460" s="2" t="s">
        <v>98</v>
      </c>
      <c r="J460" s="2" t="s">
        <v>594</v>
      </c>
      <c r="K460" s="2" t="s">
        <v>105</v>
      </c>
      <c r="L460" s="2" t="s">
        <v>76</v>
      </c>
      <c r="M460" s="155"/>
      <c r="N460" s="155"/>
      <c r="O460" s="2">
        <v>6</v>
      </c>
      <c r="P460" s="6">
        <v>25</v>
      </c>
      <c r="Q460" s="131">
        <f t="shared" si="46"/>
        <v>28.8</v>
      </c>
      <c r="R460" s="33">
        <f t="shared" si="47"/>
        <v>25</v>
      </c>
      <c r="S460" s="132">
        <f t="shared" si="48"/>
        <v>3.125</v>
      </c>
      <c r="T460" s="132">
        <f t="shared" si="49"/>
        <v>3.125</v>
      </c>
      <c r="V460" s="131" t="str">
        <f t="shared" si="50"/>
        <v/>
      </c>
      <c r="W460" s="17"/>
      <c r="X460" s="7"/>
      <c r="Y460" s="161"/>
      <c r="Z460" s="7"/>
      <c r="AA460" s="117"/>
      <c r="AB460" s="117"/>
      <c r="AC460" s="117"/>
      <c r="CH460" s="2"/>
    </row>
    <row r="461" spans="1:86" x14ac:dyDescent="0.3">
      <c r="A461" s="2">
        <v>472</v>
      </c>
      <c r="B461" s="2" t="s">
        <v>0</v>
      </c>
      <c r="C461" s="2" t="s">
        <v>1</v>
      </c>
      <c r="D461" s="2" t="s">
        <v>848</v>
      </c>
      <c r="E461" s="2">
        <v>2800</v>
      </c>
      <c r="F461" s="2">
        <v>5.4000000000000003E-3</v>
      </c>
      <c r="G461" s="2">
        <v>4.1000000000000003E-3</v>
      </c>
      <c r="H461" s="4">
        <f t="shared" si="45"/>
        <v>0.24074074074074073</v>
      </c>
      <c r="I461" s="2" t="s">
        <v>98</v>
      </c>
      <c r="J461" s="2" t="s">
        <v>689</v>
      </c>
      <c r="K461" s="2" t="s">
        <v>5</v>
      </c>
      <c r="L461" s="2" t="s">
        <v>6</v>
      </c>
      <c r="M461" s="155"/>
      <c r="N461" s="155"/>
      <c r="O461" s="2">
        <v>35</v>
      </c>
      <c r="P461" s="6">
        <v>16</v>
      </c>
      <c r="Q461" s="131">
        <f t="shared" si="46"/>
        <v>22.5</v>
      </c>
      <c r="R461" s="33">
        <f t="shared" si="47"/>
        <v>16</v>
      </c>
      <c r="S461" s="132">
        <f t="shared" si="48"/>
        <v>2</v>
      </c>
      <c r="T461" s="132">
        <f t="shared" si="49"/>
        <v>2</v>
      </c>
      <c r="V461" s="131" t="str">
        <f t="shared" si="50"/>
        <v/>
      </c>
      <c r="W461" s="17"/>
      <c r="X461" s="7"/>
      <c r="Y461" s="161"/>
      <c r="Z461" s="7"/>
      <c r="AA461" s="117"/>
      <c r="AB461" s="117"/>
      <c r="AC461" s="117"/>
      <c r="CH461" s="2"/>
    </row>
    <row r="462" spans="1:86" x14ac:dyDescent="0.3">
      <c r="A462" s="2">
        <v>475</v>
      </c>
      <c r="B462" s="2" t="s">
        <v>0</v>
      </c>
      <c r="C462" s="2" t="s">
        <v>1</v>
      </c>
      <c r="D462" s="2" t="s">
        <v>849</v>
      </c>
      <c r="E462" s="2">
        <v>3500</v>
      </c>
      <c r="F462" s="2">
        <v>2E-3</v>
      </c>
      <c r="G462" s="2">
        <v>1.6999999999999999E-3</v>
      </c>
      <c r="H462" s="4">
        <f t="shared" si="45"/>
        <v>0.15000000000000008</v>
      </c>
      <c r="I462" s="2" t="s">
        <v>98</v>
      </c>
      <c r="J462" s="2" t="s">
        <v>393</v>
      </c>
      <c r="K462" s="2" t="s">
        <v>5</v>
      </c>
      <c r="L462" s="2" t="s">
        <v>6</v>
      </c>
      <c r="M462" s="155"/>
      <c r="N462" s="155"/>
      <c r="O462" s="2">
        <v>72</v>
      </c>
      <c r="P462" s="6">
        <v>16</v>
      </c>
      <c r="Q462" s="131">
        <f t="shared" si="46"/>
        <v>37.028571428571432</v>
      </c>
      <c r="R462" s="33">
        <f t="shared" si="47"/>
        <v>16</v>
      </c>
      <c r="S462" s="132">
        <f t="shared" si="48"/>
        <v>2</v>
      </c>
      <c r="T462" s="132">
        <f t="shared" si="49"/>
        <v>2</v>
      </c>
      <c r="V462" s="131" t="str">
        <f t="shared" si="50"/>
        <v/>
      </c>
      <c r="W462" s="17"/>
      <c r="X462" s="7"/>
      <c r="Y462" s="161"/>
      <c r="Z462" s="7"/>
      <c r="AA462" s="117"/>
      <c r="AB462" s="117"/>
      <c r="AC462" s="117"/>
      <c r="CH462" s="2"/>
    </row>
    <row r="463" spans="1:86" x14ac:dyDescent="0.3">
      <c r="A463" s="23">
        <v>476</v>
      </c>
      <c r="B463" s="2" t="s">
        <v>0</v>
      </c>
      <c r="C463" s="2" t="s">
        <v>1</v>
      </c>
      <c r="D463" s="2" t="s">
        <v>850</v>
      </c>
      <c r="E463" s="2">
        <v>3100</v>
      </c>
      <c r="F463" s="2">
        <v>2.7000000000000001E-3</v>
      </c>
      <c r="G463" s="2">
        <v>2.3E-3</v>
      </c>
      <c r="H463" s="4">
        <f t="shared" si="45"/>
        <v>0.1481481481481482</v>
      </c>
      <c r="I463" s="2" t="s">
        <v>98</v>
      </c>
      <c r="J463" s="2" t="s">
        <v>393</v>
      </c>
      <c r="K463" s="2" t="s">
        <v>95</v>
      </c>
      <c r="L463" s="2" t="s">
        <v>96</v>
      </c>
      <c r="M463" s="155"/>
      <c r="N463" s="155"/>
      <c r="O463" s="2">
        <v>48</v>
      </c>
      <c r="P463" s="6">
        <v>14</v>
      </c>
      <c r="Q463" s="131">
        <f t="shared" si="46"/>
        <v>31.852534562211982</v>
      </c>
      <c r="R463" s="33">
        <f t="shared" si="47"/>
        <v>14</v>
      </c>
      <c r="S463" s="132">
        <f t="shared" si="48"/>
        <v>1.75</v>
      </c>
      <c r="T463" s="132">
        <f t="shared" si="49"/>
        <v>1.75</v>
      </c>
      <c r="V463" s="131">
        <f t="shared" si="50"/>
        <v>17.284321080270068</v>
      </c>
      <c r="W463" s="17">
        <v>25.8</v>
      </c>
      <c r="X463" s="8">
        <f>60*60*8/W463</f>
        <v>1116.2790697674418</v>
      </c>
      <c r="Y463" s="161">
        <v>45547</v>
      </c>
      <c r="Z463" s="7" t="s">
        <v>7</v>
      </c>
      <c r="AA463" s="117"/>
      <c r="AB463" s="117"/>
      <c r="AC463" s="117"/>
      <c r="AD463" s="24">
        <v>45547</v>
      </c>
      <c r="AE463">
        <v>8</v>
      </c>
      <c r="AF463">
        <v>3</v>
      </c>
      <c r="AG463">
        <v>1.6</v>
      </c>
      <c r="AI463">
        <v>0.2</v>
      </c>
      <c r="AJ463">
        <v>0.2</v>
      </c>
      <c r="AK463">
        <v>5</v>
      </c>
      <c r="AL463">
        <v>4.5</v>
      </c>
      <c r="AO463">
        <v>0.5</v>
      </c>
      <c r="AS463">
        <v>25.8</v>
      </c>
      <c r="AT463">
        <v>6.5</v>
      </c>
      <c r="AU463">
        <v>16</v>
      </c>
      <c r="AV463">
        <v>123</v>
      </c>
      <c r="AW463">
        <v>133</v>
      </c>
      <c r="AX463">
        <v>12</v>
      </c>
      <c r="AY463">
        <v>23.5</v>
      </c>
      <c r="AZ463">
        <v>101</v>
      </c>
      <c r="BA463">
        <v>112</v>
      </c>
      <c r="BB463">
        <v>420</v>
      </c>
      <c r="CH463" s="2"/>
    </row>
    <row r="464" spans="1:86" x14ac:dyDescent="0.3">
      <c r="A464" s="2">
        <v>486</v>
      </c>
      <c r="B464" s="2" t="s">
        <v>0</v>
      </c>
      <c r="C464" s="2" t="s">
        <v>1</v>
      </c>
      <c r="D464" s="2" t="s">
        <v>851</v>
      </c>
      <c r="E464" s="2">
        <v>200</v>
      </c>
      <c r="F464" s="2">
        <v>9.6000000000000002E-2</v>
      </c>
      <c r="G464" s="2">
        <v>6.88E-2</v>
      </c>
      <c r="H464" s="4">
        <f t="shared" si="45"/>
        <v>0.28333333333333333</v>
      </c>
      <c r="I464" s="2" t="s">
        <v>98</v>
      </c>
      <c r="J464" s="2" t="s">
        <v>636</v>
      </c>
      <c r="K464" s="2" t="s">
        <v>413</v>
      </c>
      <c r="L464" s="2" t="s">
        <v>76</v>
      </c>
      <c r="M464" s="155"/>
      <c r="N464" s="155"/>
      <c r="O464" s="2">
        <v>6</v>
      </c>
      <c r="P464" s="6">
        <v>28</v>
      </c>
      <c r="Q464" s="131">
        <f t="shared" si="46"/>
        <v>30.857142857142858</v>
      </c>
      <c r="R464" s="33">
        <f t="shared" si="47"/>
        <v>28</v>
      </c>
      <c r="S464" s="132">
        <f t="shared" si="48"/>
        <v>3.5</v>
      </c>
      <c r="T464" s="132">
        <f t="shared" si="49"/>
        <v>3.5</v>
      </c>
      <c r="V464" s="131" t="str">
        <f t="shared" si="50"/>
        <v/>
      </c>
      <c r="W464" s="17"/>
      <c r="X464" s="7"/>
      <c r="Y464" s="161"/>
      <c r="Z464" s="7"/>
      <c r="AA464" s="117"/>
      <c r="AB464" s="117"/>
      <c r="AC464" s="117"/>
      <c r="CH464" s="2"/>
    </row>
    <row r="465" spans="1:86" x14ac:dyDescent="0.3">
      <c r="A465" s="2">
        <v>507</v>
      </c>
      <c r="B465" s="2" t="s">
        <v>0</v>
      </c>
      <c r="C465" s="2" t="s">
        <v>1</v>
      </c>
      <c r="D465" s="2" t="s">
        <v>852</v>
      </c>
      <c r="E465" s="2">
        <v>670</v>
      </c>
      <c r="F465" s="2">
        <v>3.9600000000000003E-2</v>
      </c>
      <c r="G465" s="2">
        <v>0.03</v>
      </c>
      <c r="H465" s="4">
        <f t="shared" si="45"/>
        <v>0.24242424242424251</v>
      </c>
      <c r="I465" s="2" t="s">
        <v>98</v>
      </c>
      <c r="J465" s="2" t="s">
        <v>853</v>
      </c>
      <c r="K465" s="2" t="s">
        <v>413</v>
      </c>
      <c r="L465" s="2" t="s">
        <v>76</v>
      </c>
      <c r="M465" s="155"/>
      <c r="N465" s="155"/>
      <c r="O465" s="2">
        <v>21</v>
      </c>
      <c r="P465" s="6">
        <v>12</v>
      </c>
      <c r="Q465" s="131">
        <f t="shared" si="46"/>
        <v>75.223880597014926</v>
      </c>
      <c r="R465" s="33">
        <f t="shared" si="47"/>
        <v>12</v>
      </c>
      <c r="S465" s="132">
        <f t="shared" si="48"/>
        <v>1.5</v>
      </c>
      <c r="T465" s="132">
        <f t="shared" si="49"/>
        <v>1.5</v>
      </c>
      <c r="V465" s="131" t="str">
        <f t="shared" si="50"/>
        <v/>
      </c>
      <c r="W465" s="17"/>
      <c r="X465" s="7"/>
      <c r="Y465" s="161"/>
      <c r="Z465" s="7"/>
      <c r="AA465" s="117"/>
      <c r="AB465" s="117"/>
      <c r="AC465" s="117"/>
      <c r="CH465" s="2"/>
    </row>
    <row r="466" spans="1:86" x14ac:dyDescent="0.3">
      <c r="A466" s="2">
        <v>514</v>
      </c>
      <c r="B466" s="2" t="s">
        <v>0</v>
      </c>
      <c r="C466" s="2" t="s">
        <v>1</v>
      </c>
      <c r="D466" s="2" t="s">
        <v>854</v>
      </c>
      <c r="E466" s="2">
        <v>2800</v>
      </c>
      <c r="F466" s="2">
        <v>1.2E-2</v>
      </c>
      <c r="G466" s="2">
        <v>9.5999999999999992E-3</v>
      </c>
      <c r="H466" s="4">
        <f t="shared" si="45"/>
        <v>0.20000000000000009</v>
      </c>
      <c r="I466" s="2" t="s">
        <v>82</v>
      </c>
      <c r="J466" s="2" t="s">
        <v>855</v>
      </c>
      <c r="K466" s="2" t="s">
        <v>105</v>
      </c>
      <c r="L466" s="2" t="s">
        <v>76</v>
      </c>
      <c r="M466" s="155"/>
      <c r="N466" s="155"/>
      <c r="O466" s="2">
        <v>12</v>
      </c>
      <c r="P466" s="6">
        <v>12</v>
      </c>
      <c r="Q466" s="131">
        <f t="shared" si="46"/>
        <v>10.285714285714286</v>
      </c>
      <c r="R466" s="33">
        <f t="shared" si="47"/>
        <v>12</v>
      </c>
      <c r="S466" s="132">
        <f t="shared" si="48"/>
        <v>1.5</v>
      </c>
      <c r="T466" s="132">
        <f t="shared" si="49"/>
        <v>1.5</v>
      </c>
      <c r="V466" s="131" t="str">
        <f t="shared" si="50"/>
        <v/>
      </c>
      <c r="W466" s="17"/>
      <c r="X466" s="7"/>
      <c r="Y466" s="161"/>
      <c r="Z466" s="7"/>
      <c r="AA466" s="117"/>
      <c r="AB466" s="117"/>
      <c r="AC466" s="117"/>
      <c r="CH466" s="2"/>
    </row>
    <row r="467" spans="1:86" x14ac:dyDescent="0.3">
      <c r="A467" s="2">
        <v>515</v>
      </c>
      <c r="B467" s="2" t="s">
        <v>84</v>
      </c>
      <c r="C467" s="2" t="s">
        <v>1</v>
      </c>
      <c r="D467" s="2" t="s">
        <v>856</v>
      </c>
      <c r="E467" s="2">
        <v>2000</v>
      </c>
      <c r="F467" s="2">
        <v>1.2200000000000001E-2</v>
      </c>
      <c r="G467" s="2">
        <v>9.7999999999999997E-3</v>
      </c>
      <c r="H467" s="4">
        <f t="shared" si="45"/>
        <v>0.19672131147540992</v>
      </c>
      <c r="I467" s="2" t="s">
        <v>98</v>
      </c>
      <c r="J467" s="2" t="s">
        <v>838</v>
      </c>
      <c r="K467" s="2" t="s">
        <v>105</v>
      </c>
      <c r="L467" s="2" t="s">
        <v>76</v>
      </c>
      <c r="M467" s="155"/>
      <c r="N467" s="155"/>
      <c r="O467" s="2">
        <v>18</v>
      </c>
      <c r="P467" s="6">
        <v>22</v>
      </c>
      <c r="Q467" s="131">
        <f t="shared" si="46"/>
        <v>11.781818181818181</v>
      </c>
      <c r="R467" s="33">
        <f t="shared" si="47"/>
        <v>22</v>
      </c>
      <c r="S467" s="132">
        <f t="shared" si="48"/>
        <v>2.75</v>
      </c>
      <c r="T467" s="132">
        <f t="shared" si="49"/>
        <v>2.75</v>
      </c>
      <c r="V467" s="131" t="str">
        <f t="shared" si="50"/>
        <v/>
      </c>
      <c r="W467" s="17"/>
      <c r="X467" s="7"/>
      <c r="Y467" s="161"/>
      <c r="Z467" s="7"/>
      <c r="AA467" s="117"/>
      <c r="AB467" s="117"/>
      <c r="AC467" s="117"/>
      <c r="CH467" s="2"/>
    </row>
    <row r="468" spans="1:86" x14ac:dyDescent="0.3">
      <c r="A468" s="2">
        <v>518</v>
      </c>
      <c r="B468" s="2" t="s">
        <v>0</v>
      </c>
      <c r="C468" s="2" t="s">
        <v>1</v>
      </c>
      <c r="D468" s="2" t="s">
        <v>857</v>
      </c>
      <c r="E468" s="2">
        <v>3100</v>
      </c>
      <c r="F468" s="2">
        <v>3.8999999999999998E-3</v>
      </c>
      <c r="G468" s="2">
        <v>2.8999999999999998E-3</v>
      </c>
      <c r="H468" s="4">
        <f t="shared" si="45"/>
        <v>0.25641025641025644</v>
      </c>
      <c r="I468" s="2" t="s">
        <v>82</v>
      </c>
      <c r="J468" s="2" t="s">
        <v>645</v>
      </c>
      <c r="K468" s="2" t="s">
        <v>5</v>
      </c>
      <c r="L468" s="2" t="s">
        <v>6</v>
      </c>
      <c r="M468" s="155"/>
      <c r="N468" s="155"/>
      <c r="O468" s="2">
        <v>48</v>
      </c>
      <c r="P468" s="6">
        <v>14</v>
      </c>
      <c r="Q468" s="131">
        <f t="shared" si="46"/>
        <v>31.852534562211982</v>
      </c>
      <c r="R468" s="33">
        <f t="shared" si="47"/>
        <v>14</v>
      </c>
      <c r="S468" s="132">
        <f t="shared" si="48"/>
        <v>1.75</v>
      </c>
      <c r="T468" s="132">
        <f t="shared" si="49"/>
        <v>1.75</v>
      </c>
      <c r="V468" s="131" t="str">
        <f t="shared" si="50"/>
        <v/>
      </c>
      <c r="W468" s="17"/>
      <c r="X468" s="7"/>
      <c r="Y468" s="161"/>
      <c r="Z468" s="7"/>
      <c r="AA468" s="117"/>
      <c r="AB468" s="117"/>
      <c r="AC468" s="117"/>
      <c r="CH468" s="2"/>
    </row>
    <row r="469" spans="1:86" x14ac:dyDescent="0.3">
      <c r="A469" s="2">
        <v>519</v>
      </c>
      <c r="B469" s="2" t="s">
        <v>84</v>
      </c>
      <c r="C469" s="2" t="s">
        <v>1</v>
      </c>
      <c r="D469" s="2" t="s">
        <v>858</v>
      </c>
      <c r="E469" s="2">
        <v>2000</v>
      </c>
      <c r="F469" s="2">
        <v>1.43E-2</v>
      </c>
      <c r="G469" s="2"/>
      <c r="H469" s="4">
        <f t="shared" si="45"/>
        <v>1</v>
      </c>
      <c r="I469" s="2" t="s">
        <v>98</v>
      </c>
      <c r="J469" s="2" t="s">
        <v>393</v>
      </c>
      <c r="K469" s="2" t="s">
        <v>222</v>
      </c>
      <c r="L469" s="2" t="s">
        <v>76</v>
      </c>
      <c r="M469" s="155"/>
      <c r="N469" s="155"/>
      <c r="O469" s="2">
        <v>10</v>
      </c>
      <c r="P469" s="6">
        <v>20</v>
      </c>
      <c r="Q469" s="131">
        <f t="shared" si="46"/>
        <v>7.2</v>
      </c>
      <c r="R469" s="33">
        <f t="shared" si="47"/>
        <v>20</v>
      </c>
      <c r="S469" s="132">
        <f t="shared" si="48"/>
        <v>2.5</v>
      </c>
      <c r="T469" s="132">
        <f t="shared" si="49"/>
        <v>2.5</v>
      </c>
      <c r="V469" s="131" t="str">
        <f t="shared" si="50"/>
        <v/>
      </c>
      <c r="W469" s="17"/>
      <c r="X469" s="7"/>
      <c r="Y469" s="161"/>
      <c r="Z469" s="7"/>
      <c r="AA469" s="117"/>
      <c r="AB469" s="117"/>
      <c r="AC469" s="117"/>
      <c r="CH469" s="2"/>
    </row>
    <row r="470" spans="1:86" x14ac:dyDescent="0.3">
      <c r="A470" s="2">
        <v>521</v>
      </c>
      <c r="B470" s="2" t="s">
        <v>84</v>
      </c>
      <c r="C470" s="2" t="s">
        <v>1</v>
      </c>
      <c r="D470" s="2" t="s">
        <v>859</v>
      </c>
      <c r="E470" s="2">
        <v>8</v>
      </c>
      <c r="F470" s="2">
        <v>1.7000000000000001E-2</v>
      </c>
      <c r="G470" s="2">
        <v>1.7000000000000001E-2</v>
      </c>
      <c r="H470" s="4">
        <f t="shared" si="45"/>
        <v>0</v>
      </c>
      <c r="I470" s="2" t="s">
        <v>82</v>
      </c>
      <c r="J470" s="2" t="s">
        <v>658</v>
      </c>
      <c r="K470" s="2"/>
      <c r="L470" s="2"/>
      <c r="M470" s="155"/>
      <c r="N470" s="155"/>
      <c r="O470" s="2">
        <v>8</v>
      </c>
      <c r="P470" s="6"/>
      <c r="Q470" s="131" t="str">
        <f t="shared" si="46"/>
        <v/>
      </c>
      <c r="R470" s="33" t="str">
        <f t="shared" si="47"/>
        <v/>
      </c>
      <c r="S470" s="132" t="str">
        <f t="shared" si="48"/>
        <v/>
      </c>
      <c r="T470" s="132" t="str">
        <f t="shared" si="49"/>
        <v/>
      </c>
      <c r="V470" s="131" t="str">
        <f t="shared" si="50"/>
        <v/>
      </c>
      <c r="W470" s="17"/>
      <c r="X470" s="7"/>
      <c r="Y470" s="161"/>
      <c r="Z470" s="7"/>
      <c r="AA470" s="117"/>
      <c r="AB470" s="117"/>
      <c r="AC470" s="117"/>
      <c r="CH470" s="2"/>
    </row>
    <row r="471" spans="1:86" x14ac:dyDescent="0.3">
      <c r="A471" s="2">
        <v>522</v>
      </c>
      <c r="B471" s="2" t="s">
        <v>84</v>
      </c>
      <c r="C471" s="2" t="s">
        <v>1</v>
      </c>
      <c r="D471" s="2" t="s">
        <v>860</v>
      </c>
      <c r="E471" s="2">
        <v>2800</v>
      </c>
      <c r="F471" s="2">
        <v>3.0000000000000001E-3</v>
      </c>
      <c r="G471" s="2"/>
      <c r="H471" s="4">
        <f t="shared" si="45"/>
        <v>1</v>
      </c>
      <c r="I471" s="2" t="s">
        <v>82</v>
      </c>
      <c r="J471" s="2" t="s">
        <v>645</v>
      </c>
      <c r="K471" s="2"/>
      <c r="L471" s="2"/>
      <c r="M471" s="155"/>
      <c r="N471" s="155"/>
      <c r="O471" s="2">
        <v>48</v>
      </c>
      <c r="P471" s="6"/>
      <c r="Q471" s="131" t="str">
        <f t="shared" si="46"/>
        <v/>
      </c>
      <c r="R471" s="33" t="str">
        <f t="shared" si="47"/>
        <v/>
      </c>
      <c r="S471" s="132" t="str">
        <f t="shared" si="48"/>
        <v/>
      </c>
      <c r="T471" s="132" t="str">
        <f t="shared" si="49"/>
        <v/>
      </c>
      <c r="V471" s="131" t="str">
        <f t="shared" si="50"/>
        <v/>
      </c>
      <c r="W471" s="17"/>
      <c r="X471" s="7"/>
      <c r="Y471" s="161"/>
      <c r="Z471" s="7"/>
      <c r="AA471" s="117"/>
      <c r="AB471" s="117"/>
      <c r="AC471" s="117"/>
      <c r="CH471" s="2"/>
    </row>
    <row r="472" spans="1:86" x14ac:dyDescent="0.3">
      <c r="A472" s="2">
        <v>523</v>
      </c>
      <c r="B472" s="2" t="s">
        <v>84</v>
      </c>
      <c r="C472" s="2" t="s">
        <v>1</v>
      </c>
      <c r="D472" s="2" t="s">
        <v>861</v>
      </c>
      <c r="E472" s="2">
        <v>3500</v>
      </c>
      <c r="F472" s="2">
        <v>5.4999999999999997E-3</v>
      </c>
      <c r="G472" s="2">
        <v>4.4000000000000003E-3</v>
      </c>
      <c r="H472" s="4">
        <f t="shared" si="45"/>
        <v>0.1999999999999999</v>
      </c>
      <c r="I472" s="2" t="s">
        <v>82</v>
      </c>
      <c r="J472" s="2" t="s">
        <v>645</v>
      </c>
      <c r="K472" s="2" t="s">
        <v>90</v>
      </c>
      <c r="L472" s="2" t="s">
        <v>6</v>
      </c>
      <c r="M472" s="155"/>
      <c r="N472" s="155"/>
      <c r="O472" s="2">
        <v>32</v>
      </c>
      <c r="P472" s="6"/>
      <c r="Q472" s="131" t="str">
        <f t="shared" si="46"/>
        <v/>
      </c>
      <c r="R472" s="33" t="str">
        <f t="shared" si="47"/>
        <v/>
      </c>
      <c r="S472" s="132" t="str">
        <f t="shared" si="48"/>
        <v/>
      </c>
      <c r="T472" s="132" t="str">
        <f t="shared" si="49"/>
        <v/>
      </c>
      <c r="V472" s="131" t="str">
        <f t="shared" si="50"/>
        <v/>
      </c>
      <c r="W472" s="17"/>
      <c r="X472" s="7"/>
      <c r="Y472" s="161"/>
      <c r="Z472" s="7"/>
      <c r="AA472" s="117"/>
      <c r="AB472" s="117"/>
      <c r="AC472" s="117"/>
      <c r="CH472" s="2"/>
    </row>
    <row r="473" spans="1:86" x14ac:dyDescent="0.3">
      <c r="A473" s="2">
        <v>525</v>
      </c>
      <c r="B473" s="2" t="s">
        <v>84</v>
      </c>
      <c r="C473" s="2" t="s">
        <v>1</v>
      </c>
      <c r="D473" s="2" t="s">
        <v>862</v>
      </c>
      <c r="E473" s="2">
        <v>2000</v>
      </c>
      <c r="F473" s="2">
        <v>6.0000000000000001E-3</v>
      </c>
      <c r="G473" s="2"/>
      <c r="H473" s="4">
        <f t="shared" si="45"/>
        <v>1</v>
      </c>
      <c r="I473" s="2" t="s">
        <v>82</v>
      </c>
      <c r="J473" s="2" t="s">
        <v>645</v>
      </c>
      <c r="K473" s="2" t="s">
        <v>5</v>
      </c>
      <c r="L473" s="2" t="s">
        <v>6</v>
      </c>
      <c r="M473" s="155"/>
      <c r="N473" s="155"/>
      <c r="O473" s="2">
        <v>32</v>
      </c>
      <c r="P473" s="6">
        <v>11</v>
      </c>
      <c r="Q473" s="131">
        <f t="shared" si="46"/>
        <v>41.890909090909091</v>
      </c>
      <c r="R473" s="33">
        <f t="shared" si="47"/>
        <v>11</v>
      </c>
      <c r="S473" s="132">
        <f t="shared" si="48"/>
        <v>1.375</v>
      </c>
      <c r="T473" s="132">
        <f t="shared" si="49"/>
        <v>1.375</v>
      </c>
      <c r="V473" s="131" t="str">
        <f t="shared" si="50"/>
        <v/>
      </c>
      <c r="W473" s="17"/>
      <c r="X473" s="7"/>
      <c r="Y473" s="161"/>
      <c r="Z473" s="7"/>
      <c r="AA473" s="117"/>
      <c r="AB473" s="117"/>
      <c r="AC473" s="117"/>
      <c r="CH473" s="2"/>
    </row>
    <row r="474" spans="1:86" x14ac:dyDescent="0.3">
      <c r="A474" s="23">
        <v>527</v>
      </c>
      <c r="B474" s="2" t="s">
        <v>0</v>
      </c>
      <c r="C474" s="2" t="s">
        <v>1</v>
      </c>
      <c r="D474" s="2" t="s">
        <v>863</v>
      </c>
      <c r="E474" s="2">
        <v>700</v>
      </c>
      <c r="F474" s="2">
        <v>1.7000000000000001E-2</v>
      </c>
      <c r="G474" s="2">
        <v>1.4999999999999999E-2</v>
      </c>
      <c r="H474" s="4">
        <f t="shared" si="45"/>
        <v>0.11764705882352951</v>
      </c>
      <c r="I474" s="2" t="s">
        <v>98</v>
      </c>
      <c r="J474" s="2" t="s">
        <v>864</v>
      </c>
      <c r="K474" s="2" t="s">
        <v>105</v>
      </c>
      <c r="L474" s="2" t="s">
        <v>76</v>
      </c>
      <c r="M474" s="155"/>
      <c r="N474" s="155"/>
      <c r="O474" s="2">
        <v>16</v>
      </c>
      <c r="P474" s="6">
        <v>18</v>
      </c>
      <c r="Q474" s="131">
        <f t="shared" si="46"/>
        <v>36.571428571428577</v>
      </c>
      <c r="R474" s="33">
        <f t="shared" si="47"/>
        <v>18</v>
      </c>
      <c r="S474" s="132">
        <f t="shared" si="48"/>
        <v>2.25</v>
      </c>
      <c r="T474" s="132">
        <f t="shared" si="49"/>
        <v>2.25</v>
      </c>
      <c r="V474" s="131">
        <f t="shared" si="50"/>
        <v>19.966203041726246</v>
      </c>
      <c r="W474" s="17">
        <v>32.97</v>
      </c>
      <c r="X474" s="8">
        <f>60*60*8/W474</f>
        <v>873.5213830755232</v>
      </c>
      <c r="Y474" s="161">
        <v>45362</v>
      </c>
      <c r="Z474" s="7" t="s">
        <v>7</v>
      </c>
      <c r="AA474" s="117"/>
      <c r="AB474" s="117"/>
      <c r="AC474" s="117"/>
      <c r="CH474" s="2"/>
    </row>
    <row r="475" spans="1:86" x14ac:dyDescent="0.3">
      <c r="A475" s="2">
        <v>528</v>
      </c>
      <c r="B475" s="2" t="s">
        <v>84</v>
      </c>
      <c r="C475" s="2" t="s">
        <v>1</v>
      </c>
      <c r="D475" s="2" t="s">
        <v>865</v>
      </c>
      <c r="E475" s="2">
        <v>5000</v>
      </c>
      <c r="F475" s="2">
        <v>6.1000000000000004E-3</v>
      </c>
      <c r="G475" s="2"/>
      <c r="H475" s="4">
        <f t="shared" si="45"/>
        <v>1</v>
      </c>
      <c r="I475" s="2" t="s">
        <v>82</v>
      </c>
      <c r="J475" s="2" t="s">
        <v>645</v>
      </c>
      <c r="K475" s="2"/>
      <c r="L475" s="2"/>
      <c r="M475" s="155"/>
      <c r="N475" s="155"/>
      <c r="O475" s="2">
        <v>28</v>
      </c>
      <c r="P475" s="6">
        <v>4</v>
      </c>
      <c r="Q475" s="131">
        <f t="shared" si="46"/>
        <v>40.32</v>
      </c>
      <c r="R475" s="33">
        <f t="shared" si="47"/>
        <v>4</v>
      </c>
      <c r="S475" s="132">
        <f t="shared" si="48"/>
        <v>0.5</v>
      </c>
      <c r="T475" s="132">
        <f t="shared" si="49"/>
        <v>0.5</v>
      </c>
      <c r="V475" s="131" t="str">
        <f t="shared" si="50"/>
        <v/>
      </c>
      <c r="W475" s="17"/>
      <c r="X475" s="7"/>
      <c r="Y475" s="161"/>
      <c r="Z475" s="7"/>
      <c r="AA475" s="117"/>
      <c r="AB475" s="117"/>
      <c r="AC475" s="117"/>
      <c r="CH475" s="2"/>
    </row>
    <row r="476" spans="1:86" x14ac:dyDescent="0.3">
      <c r="A476" s="2">
        <v>531</v>
      </c>
      <c r="B476" s="2" t="s">
        <v>84</v>
      </c>
      <c r="C476" s="2" t="s">
        <v>1</v>
      </c>
      <c r="D476" s="2" t="s">
        <v>866</v>
      </c>
      <c r="E476" s="2">
        <v>600</v>
      </c>
      <c r="F476" s="2">
        <v>3.8600000000000002E-2</v>
      </c>
      <c r="G476" s="2">
        <v>2.1600000000000001E-2</v>
      </c>
      <c r="H476" s="4">
        <f t="shared" si="45"/>
        <v>0.44041450777202074</v>
      </c>
      <c r="I476" s="2" t="s">
        <v>455</v>
      </c>
      <c r="J476" s="2" t="s">
        <v>398</v>
      </c>
      <c r="K476" s="2" t="s">
        <v>305</v>
      </c>
      <c r="L476" s="2" t="s">
        <v>96</v>
      </c>
      <c r="M476" s="155"/>
      <c r="N476" s="155"/>
      <c r="O476" s="2">
        <v>8</v>
      </c>
      <c r="P476" s="6">
        <v>18</v>
      </c>
      <c r="Q476" s="131">
        <f t="shared" si="46"/>
        <v>21.333333333333332</v>
      </c>
      <c r="R476" s="33">
        <f t="shared" si="47"/>
        <v>18</v>
      </c>
      <c r="S476" s="132">
        <f t="shared" si="48"/>
        <v>2.25</v>
      </c>
      <c r="T476" s="132">
        <f t="shared" si="49"/>
        <v>2.25</v>
      </c>
      <c r="V476" s="131" t="str">
        <f t="shared" si="50"/>
        <v/>
      </c>
      <c r="W476" s="17"/>
      <c r="X476" s="7"/>
      <c r="Y476" s="161"/>
      <c r="Z476" s="7"/>
      <c r="AA476" s="117"/>
      <c r="AB476" s="117"/>
      <c r="AC476" s="117"/>
      <c r="CH476" s="2"/>
    </row>
    <row r="477" spans="1:86" x14ac:dyDescent="0.3">
      <c r="A477" s="2">
        <v>536</v>
      </c>
      <c r="B477" s="2" t="s">
        <v>0</v>
      </c>
      <c r="C477" s="2" t="s">
        <v>1</v>
      </c>
      <c r="D477" s="2" t="s">
        <v>867</v>
      </c>
      <c r="E477" s="2">
        <v>1440</v>
      </c>
      <c r="F477" s="2">
        <v>1.26E-2</v>
      </c>
      <c r="G477" s="2">
        <v>8.5000000000000006E-3</v>
      </c>
      <c r="H477" s="4">
        <f t="shared" si="45"/>
        <v>0.32539682539682535</v>
      </c>
      <c r="I477" s="2" t="s">
        <v>82</v>
      </c>
      <c r="J477" s="2" t="s">
        <v>658</v>
      </c>
      <c r="K477" s="2" t="s">
        <v>105</v>
      </c>
      <c r="L477" s="2" t="s">
        <v>76</v>
      </c>
      <c r="M477" s="155"/>
      <c r="N477" s="155"/>
      <c r="O477" s="2">
        <v>15</v>
      </c>
      <c r="P477" s="6">
        <v>8</v>
      </c>
      <c r="Q477" s="131">
        <f t="shared" si="46"/>
        <v>37.5</v>
      </c>
      <c r="R477" s="33">
        <f t="shared" si="47"/>
        <v>8</v>
      </c>
      <c r="S477" s="132">
        <f t="shared" si="48"/>
        <v>1</v>
      </c>
      <c r="T477" s="132">
        <f t="shared" si="49"/>
        <v>1</v>
      </c>
      <c r="V477" s="131" t="str">
        <f t="shared" si="50"/>
        <v/>
      </c>
      <c r="W477" s="17"/>
      <c r="X477" s="7"/>
      <c r="Y477" s="161"/>
      <c r="Z477" s="7"/>
      <c r="AA477" s="117"/>
      <c r="AB477" s="117"/>
      <c r="AC477" s="117"/>
      <c r="CH477" s="2"/>
    </row>
    <row r="478" spans="1:86" x14ac:dyDescent="0.3">
      <c r="A478" s="2">
        <v>537</v>
      </c>
      <c r="B478" s="2" t="s">
        <v>84</v>
      </c>
      <c r="C478" s="2" t="s">
        <v>1</v>
      </c>
      <c r="D478" s="2" t="s">
        <v>868</v>
      </c>
      <c r="E478" s="2">
        <v>1900</v>
      </c>
      <c r="F478" s="2">
        <v>1.24E-2</v>
      </c>
      <c r="G478" s="2">
        <v>8.6E-3</v>
      </c>
      <c r="H478" s="4">
        <f t="shared" si="45"/>
        <v>0.30645161290322576</v>
      </c>
      <c r="I478" s="2" t="s">
        <v>82</v>
      </c>
      <c r="J478" s="2" t="s">
        <v>658</v>
      </c>
      <c r="K478" s="2" t="s">
        <v>230</v>
      </c>
      <c r="L478" s="2" t="s">
        <v>76</v>
      </c>
      <c r="M478" s="155"/>
      <c r="N478" s="155"/>
      <c r="O478" s="2">
        <v>15</v>
      </c>
      <c r="P478" s="6">
        <v>12</v>
      </c>
      <c r="Q478" s="131">
        <f t="shared" si="46"/>
        <v>18.947368421052634</v>
      </c>
      <c r="R478" s="33">
        <f t="shared" si="47"/>
        <v>12</v>
      </c>
      <c r="S478" s="132">
        <f t="shared" si="48"/>
        <v>1.5</v>
      </c>
      <c r="T478" s="132">
        <f t="shared" si="49"/>
        <v>1.5</v>
      </c>
      <c r="V478" s="131" t="str">
        <f t="shared" si="50"/>
        <v/>
      </c>
      <c r="W478" s="17"/>
      <c r="X478" s="7"/>
      <c r="Y478" s="161"/>
      <c r="Z478" s="7"/>
      <c r="AA478" s="117"/>
      <c r="AB478" s="117"/>
      <c r="AC478" s="117"/>
      <c r="CH478" s="2"/>
    </row>
    <row r="479" spans="1:86" x14ac:dyDescent="0.3">
      <c r="A479" s="23">
        <v>538</v>
      </c>
      <c r="B479" s="2" t="s">
        <v>0</v>
      </c>
      <c r="C479" s="2" t="s">
        <v>1</v>
      </c>
      <c r="D479" s="2" t="s">
        <v>869</v>
      </c>
      <c r="E479" s="2">
        <v>4720</v>
      </c>
      <c r="F479" s="2">
        <v>3.2000000000000002E-3</v>
      </c>
      <c r="G479" s="2">
        <v>2.7000000000000001E-3</v>
      </c>
      <c r="H479" s="4">
        <f t="shared" si="45"/>
        <v>0.15625</v>
      </c>
      <c r="I479" s="2" t="s">
        <v>82</v>
      </c>
      <c r="J479" s="2" t="s">
        <v>645</v>
      </c>
      <c r="K479" s="2" t="s">
        <v>5</v>
      </c>
      <c r="L479" s="2" t="s">
        <v>6</v>
      </c>
      <c r="M479" s="155"/>
      <c r="N479" s="155"/>
      <c r="O479" s="2">
        <v>63</v>
      </c>
      <c r="P479" s="6">
        <v>12</v>
      </c>
      <c r="Q479" s="131">
        <f t="shared" si="46"/>
        <v>32.033898305084747</v>
      </c>
      <c r="R479" s="33">
        <f t="shared" si="47"/>
        <v>12</v>
      </c>
      <c r="S479" s="132">
        <f t="shared" si="48"/>
        <v>1.5</v>
      </c>
      <c r="T479" s="132">
        <f t="shared" si="49"/>
        <v>1.5</v>
      </c>
      <c r="V479" s="131">
        <f t="shared" si="50"/>
        <v>10.677966101694915</v>
      </c>
      <c r="W479" s="17">
        <v>36</v>
      </c>
      <c r="X479" s="8">
        <f>60*60*8/W479</f>
        <v>800</v>
      </c>
      <c r="Y479" s="161">
        <v>45378</v>
      </c>
      <c r="Z479" s="7" t="s">
        <v>7</v>
      </c>
      <c r="AA479" s="117"/>
      <c r="AB479" s="117"/>
      <c r="AC479" s="117"/>
      <c r="CH479" s="2"/>
    </row>
    <row r="480" spans="1:86" x14ac:dyDescent="0.3">
      <c r="A480" s="2">
        <v>542</v>
      </c>
      <c r="B480" s="2" t="s">
        <v>84</v>
      </c>
      <c r="C480" s="2" t="s">
        <v>1</v>
      </c>
      <c r="D480" s="2" t="s">
        <v>870</v>
      </c>
      <c r="E480" s="2">
        <v>10500</v>
      </c>
      <c r="F480" s="2">
        <v>1.9E-3</v>
      </c>
      <c r="G480" s="2"/>
      <c r="H480" s="4">
        <f t="shared" si="45"/>
        <v>1</v>
      </c>
      <c r="I480" s="2" t="s">
        <v>82</v>
      </c>
      <c r="J480" s="2" t="s">
        <v>645</v>
      </c>
      <c r="K480" s="2" t="s">
        <v>5</v>
      </c>
      <c r="L480" s="2" t="s">
        <v>6</v>
      </c>
      <c r="M480" s="155"/>
      <c r="N480" s="155"/>
      <c r="O480" s="2">
        <v>70</v>
      </c>
      <c r="P480" s="6">
        <v>7</v>
      </c>
      <c r="Q480" s="131">
        <f t="shared" si="46"/>
        <v>27.428571428571427</v>
      </c>
      <c r="R480" s="33">
        <f t="shared" si="47"/>
        <v>7</v>
      </c>
      <c r="S480" s="132">
        <f t="shared" si="48"/>
        <v>0.875</v>
      </c>
      <c r="T480" s="132">
        <f t="shared" si="49"/>
        <v>0.875</v>
      </c>
      <c r="V480" s="131" t="str">
        <f t="shared" si="50"/>
        <v/>
      </c>
      <c r="W480" s="17"/>
      <c r="X480" s="7"/>
      <c r="Y480" s="161"/>
      <c r="Z480" s="7"/>
      <c r="AA480" s="117"/>
      <c r="AB480" s="117"/>
      <c r="AC480" s="117"/>
      <c r="CH480" s="2"/>
    </row>
    <row r="481" spans="1:86" x14ac:dyDescent="0.3">
      <c r="A481" s="2">
        <v>543</v>
      </c>
      <c r="B481" s="2" t="s">
        <v>84</v>
      </c>
      <c r="C481" s="2" t="s">
        <v>1</v>
      </c>
      <c r="D481" s="2" t="s">
        <v>871</v>
      </c>
      <c r="E481" s="2">
        <v>3600</v>
      </c>
      <c r="F481" s="2">
        <v>3.5000000000000001E-3</v>
      </c>
      <c r="G481" s="2"/>
      <c r="H481" s="4">
        <f t="shared" si="45"/>
        <v>1</v>
      </c>
      <c r="I481" s="2" t="s">
        <v>82</v>
      </c>
      <c r="J481" s="2" t="s">
        <v>645</v>
      </c>
      <c r="K481" s="2" t="s">
        <v>5</v>
      </c>
      <c r="L481" s="2" t="s">
        <v>6</v>
      </c>
      <c r="M481" s="155"/>
      <c r="N481" s="155"/>
      <c r="O481" s="2">
        <v>28</v>
      </c>
      <c r="P481" s="6"/>
      <c r="Q481" s="131" t="str">
        <f t="shared" si="46"/>
        <v/>
      </c>
      <c r="R481" s="33" t="str">
        <f t="shared" si="47"/>
        <v/>
      </c>
      <c r="S481" s="132" t="str">
        <f t="shared" si="48"/>
        <v/>
      </c>
      <c r="T481" s="132" t="str">
        <f t="shared" si="49"/>
        <v/>
      </c>
      <c r="V481" s="131" t="str">
        <f t="shared" si="50"/>
        <v/>
      </c>
      <c r="W481" s="17"/>
      <c r="X481" s="7"/>
      <c r="Y481" s="161"/>
      <c r="Z481" s="7"/>
      <c r="AA481" s="117"/>
      <c r="AB481" s="117"/>
      <c r="AC481" s="117"/>
      <c r="CH481" s="2"/>
    </row>
    <row r="482" spans="1:86" x14ac:dyDescent="0.3">
      <c r="A482" s="2">
        <v>544</v>
      </c>
      <c r="B482" s="2" t="s">
        <v>84</v>
      </c>
      <c r="C482" s="2" t="s">
        <v>1</v>
      </c>
      <c r="D482" s="2" t="s">
        <v>872</v>
      </c>
      <c r="E482" s="2">
        <v>6300</v>
      </c>
      <c r="F482" s="2">
        <v>1.9E-3</v>
      </c>
      <c r="G482" s="2"/>
      <c r="H482" s="4">
        <f t="shared" si="45"/>
        <v>1</v>
      </c>
      <c r="I482" s="2" t="s">
        <v>82</v>
      </c>
      <c r="J482" s="2" t="s">
        <v>645</v>
      </c>
      <c r="K482" s="2" t="s">
        <v>90</v>
      </c>
      <c r="L482" s="2" t="s">
        <v>6</v>
      </c>
      <c r="M482" s="155"/>
      <c r="N482" s="155"/>
      <c r="O482" s="2">
        <v>70</v>
      </c>
      <c r="P482" s="6">
        <v>7</v>
      </c>
      <c r="Q482" s="131">
        <f t="shared" si="46"/>
        <v>45.714285714285715</v>
      </c>
      <c r="R482" s="33">
        <f t="shared" si="47"/>
        <v>7</v>
      </c>
      <c r="S482" s="132">
        <f t="shared" si="48"/>
        <v>0.875</v>
      </c>
      <c r="T482" s="132">
        <f t="shared" si="49"/>
        <v>0.875</v>
      </c>
      <c r="V482" s="131" t="str">
        <f t="shared" si="50"/>
        <v/>
      </c>
      <c r="W482" s="17"/>
      <c r="X482" s="7"/>
      <c r="Y482" s="161"/>
      <c r="Z482" s="7"/>
      <c r="AA482" s="117"/>
      <c r="AB482" s="117"/>
      <c r="AC482" s="117"/>
      <c r="CH482" s="2"/>
    </row>
    <row r="483" spans="1:86" x14ac:dyDescent="0.3">
      <c r="A483" s="2">
        <v>547</v>
      </c>
      <c r="B483" s="2" t="s">
        <v>84</v>
      </c>
      <c r="C483" s="2" t="s">
        <v>1</v>
      </c>
      <c r="D483" s="2" t="s">
        <v>873</v>
      </c>
      <c r="E483" s="2">
        <v>156</v>
      </c>
      <c r="F483" s="2">
        <v>0.1333</v>
      </c>
      <c r="G483" s="2"/>
      <c r="H483" s="4">
        <f t="shared" si="45"/>
        <v>1</v>
      </c>
      <c r="I483" s="2" t="s">
        <v>82</v>
      </c>
      <c r="J483" s="2" t="s">
        <v>579</v>
      </c>
      <c r="K483" s="2"/>
      <c r="L483" s="2"/>
      <c r="M483" s="155"/>
      <c r="N483" s="155"/>
      <c r="O483" s="2">
        <v>3</v>
      </c>
      <c r="P483" s="6"/>
      <c r="Q483" s="131" t="str">
        <f t="shared" si="46"/>
        <v/>
      </c>
      <c r="R483" s="33" t="str">
        <f t="shared" si="47"/>
        <v/>
      </c>
      <c r="S483" s="132" t="str">
        <f t="shared" si="48"/>
        <v/>
      </c>
      <c r="T483" s="132" t="str">
        <f t="shared" si="49"/>
        <v/>
      </c>
      <c r="V483" s="131" t="str">
        <f t="shared" si="50"/>
        <v/>
      </c>
      <c r="W483" s="17"/>
      <c r="X483" s="7"/>
      <c r="Y483" s="161"/>
      <c r="Z483" s="7"/>
      <c r="AA483" s="117"/>
      <c r="AB483" s="117"/>
      <c r="AC483" s="117"/>
      <c r="CH483" s="2"/>
    </row>
    <row r="484" spans="1:86" x14ac:dyDescent="0.3">
      <c r="A484" s="2">
        <v>551</v>
      </c>
      <c r="B484" s="2" t="s">
        <v>84</v>
      </c>
      <c r="C484" s="2" t="s">
        <v>1</v>
      </c>
      <c r="D484" s="2" t="s">
        <v>874</v>
      </c>
      <c r="E484" s="2">
        <v>1650</v>
      </c>
      <c r="F484" s="2">
        <v>7.9000000000000008E-3</v>
      </c>
      <c r="G484" s="2">
        <v>6.4999999999999997E-3</v>
      </c>
      <c r="H484" s="4">
        <f t="shared" si="45"/>
        <v>0.17721518987341783</v>
      </c>
      <c r="I484" s="2" t="s">
        <v>82</v>
      </c>
      <c r="J484" s="2" t="s">
        <v>598</v>
      </c>
      <c r="K484" s="2" t="s">
        <v>5</v>
      </c>
      <c r="L484" s="2" t="s">
        <v>6</v>
      </c>
      <c r="M484" s="155"/>
      <c r="N484" s="155"/>
      <c r="O484" s="2">
        <v>30</v>
      </c>
      <c r="P484" s="6">
        <v>12</v>
      </c>
      <c r="Q484" s="131">
        <f t="shared" si="46"/>
        <v>43.636363636363633</v>
      </c>
      <c r="R484" s="33">
        <f t="shared" si="47"/>
        <v>12</v>
      </c>
      <c r="S484" s="132">
        <f t="shared" si="48"/>
        <v>1.5</v>
      </c>
      <c r="T484" s="132">
        <f t="shared" si="49"/>
        <v>1.5</v>
      </c>
      <c r="V484" s="131" t="str">
        <f t="shared" si="50"/>
        <v/>
      </c>
      <c r="W484" s="17"/>
      <c r="X484" s="7"/>
      <c r="Y484" s="161"/>
      <c r="Z484" s="7"/>
      <c r="AA484" s="117"/>
      <c r="AB484" s="117"/>
      <c r="AC484" s="117"/>
      <c r="CH484" s="2"/>
    </row>
    <row r="485" spans="1:86" x14ac:dyDescent="0.3">
      <c r="A485" s="2">
        <v>555</v>
      </c>
      <c r="B485" s="2" t="s">
        <v>0</v>
      </c>
      <c r="C485" s="2" t="s">
        <v>1</v>
      </c>
      <c r="D485" s="2" t="s">
        <v>875</v>
      </c>
      <c r="E485" s="2">
        <v>4200</v>
      </c>
      <c r="F485" s="2">
        <v>5.1999999999999998E-3</v>
      </c>
      <c r="G485" s="2">
        <v>4.1999999999999997E-3</v>
      </c>
      <c r="H485" s="4">
        <f t="shared" si="45"/>
        <v>0.19230769230769232</v>
      </c>
      <c r="I485" s="2" t="s">
        <v>82</v>
      </c>
      <c r="J485" s="2" t="s">
        <v>107</v>
      </c>
      <c r="K485" s="2" t="s">
        <v>222</v>
      </c>
      <c r="L485" s="2" t="s">
        <v>76</v>
      </c>
      <c r="M485" s="155"/>
      <c r="N485" s="155"/>
      <c r="O485" s="2">
        <v>40</v>
      </c>
      <c r="P485" s="6">
        <v>13</v>
      </c>
      <c r="Q485" s="131">
        <f t="shared" si="46"/>
        <v>21.098901098901099</v>
      </c>
      <c r="R485" s="33">
        <f t="shared" si="47"/>
        <v>13</v>
      </c>
      <c r="S485" s="132">
        <f t="shared" si="48"/>
        <v>1.625</v>
      </c>
      <c r="T485" s="132">
        <f t="shared" si="49"/>
        <v>1.625</v>
      </c>
      <c r="V485" s="131" t="str">
        <f t="shared" si="50"/>
        <v/>
      </c>
      <c r="W485" s="17"/>
      <c r="X485" s="7"/>
      <c r="Y485" s="161"/>
      <c r="Z485" s="7"/>
      <c r="AA485" s="117"/>
      <c r="AB485" s="117"/>
      <c r="AC485" s="117"/>
      <c r="CH485" s="2"/>
    </row>
    <row r="486" spans="1:86" x14ac:dyDescent="0.3">
      <c r="A486" s="2">
        <v>558</v>
      </c>
      <c r="B486" s="2" t="s">
        <v>0</v>
      </c>
      <c r="C486" s="2" t="s">
        <v>1</v>
      </c>
      <c r="D486" s="2" t="s">
        <v>876</v>
      </c>
      <c r="E486" s="2">
        <v>4200</v>
      </c>
      <c r="F486" s="2">
        <v>4.5999999999999999E-3</v>
      </c>
      <c r="G486" s="2">
        <v>3.5000000000000001E-3</v>
      </c>
      <c r="H486" s="4">
        <f t="shared" si="45"/>
        <v>0.23913043478260868</v>
      </c>
      <c r="I486" s="2" t="s">
        <v>82</v>
      </c>
      <c r="J486" s="2" t="s">
        <v>645</v>
      </c>
      <c r="K486" s="2" t="s">
        <v>222</v>
      </c>
      <c r="L486" s="2" t="s">
        <v>76</v>
      </c>
      <c r="M486" s="155"/>
      <c r="N486" s="155"/>
      <c r="O486" s="2">
        <v>35</v>
      </c>
      <c r="P486" s="6">
        <v>8</v>
      </c>
      <c r="Q486" s="131">
        <f t="shared" si="46"/>
        <v>30</v>
      </c>
      <c r="R486" s="33">
        <f t="shared" si="47"/>
        <v>8</v>
      </c>
      <c r="S486" s="132">
        <f t="shared" si="48"/>
        <v>1</v>
      </c>
      <c r="T486" s="132">
        <f t="shared" si="49"/>
        <v>1</v>
      </c>
      <c r="V486" s="131" t="str">
        <f t="shared" si="50"/>
        <v/>
      </c>
      <c r="W486" s="17"/>
      <c r="X486" s="7"/>
      <c r="Y486" s="161"/>
      <c r="Z486" s="7"/>
      <c r="AA486" s="117"/>
      <c r="AB486" s="117"/>
      <c r="AC486" s="117"/>
      <c r="CH486" s="2"/>
    </row>
    <row r="487" spans="1:86" x14ac:dyDescent="0.3">
      <c r="A487" s="2">
        <v>562</v>
      </c>
      <c r="B487" s="23" t="s">
        <v>0</v>
      </c>
      <c r="C487" s="2" t="s">
        <v>1</v>
      </c>
      <c r="D487" s="2" t="s">
        <v>877</v>
      </c>
      <c r="E487" s="2">
        <v>900</v>
      </c>
      <c r="F487" s="2">
        <v>2.0500000000000001E-2</v>
      </c>
      <c r="G487" s="2">
        <v>1.4800000000000001E-2</v>
      </c>
      <c r="H487" s="4">
        <f t="shared" si="45"/>
        <v>0.2780487804878049</v>
      </c>
      <c r="I487" s="2" t="s">
        <v>98</v>
      </c>
      <c r="J487" s="2" t="s">
        <v>692</v>
      </c>
      <c r="K487" s="2" t="s">
        <v>105</v>
      </c>
      <c r="L487" s="2" t="s">
        <v>76</v>
      </c>
      <c r="M487" s="155"/>
      <c r="N487" s="155"/>
      <c r="O487" s="2">
        <v>9</v>
      </c>
      <c r="P487" s="6">
        <v>26</v>
      </c>
      <c r="Q487" s="131">
        <f t="shared" si="46"/>
        <v>11.076923076923077</v>
      </c>
      <c r="R487" s="33">
        <f t="shared" si="47"/>
        <v>26</v>
      </c>
      <c r="S487" s="132">
        <f t="shared" si="48"/>
        <v>3.25</v>
      </c>
      <c r="T487" s="132">
        <f t="shared" si="49"/>
        <v>3.25</v>
      </c>
      <c r="V487" s="131" t="str">
        <f t="shared" si="50"/>
        <v/>
      </c>
      <c r="W487" s="17"/>
      <c r="X487" s="7"/>
      <c r="Y487" s="161"/>
      <c r="Z487" s="7"/>
      <c r="AA487" s="117"/>
      <c r="AB487" s="117"/>
      <c r="AC487" s="117"/>
      <c r="CH487" s="2"/>
    </row>
    <row r="488" spans="1:86" x14ac:dyDescent="0.3">
      <c r="A488" s="2">
        <v>578</v>
      </c>
      <c r="B488" s="2" t="s">
        <v>84</v>
      </c>
      <c r="C488" s="2" t="s">
        <v>1</v>
      </c>
      <c r="D488" s="2" t="s">
        <v>878</v>
      </c>
      <c r="E488" s="2">
        <v>5000</v>
      </c>
      <c r="F488" s="2">
        <v>3.0999999999999999E-3</v>
      </c>
      <c r="G488" s="2"/>
      <c r="H488" s="4">
        <f t="shared" si="45"/>
        <v>1</v>
      </c>
      <c r="I488" s="2" t="s">
        <v>82</v>
      </c>
      <c r="J488" s="2" t="s">
        <v>645</v>
      </c>
      <c r="K488" s="2" t="s">
        <v>5</v>
      </c>
      <c r="L488" s="2" t="s">
        <v>6</v>
      </c>
      <c r="M488" s="155"/>
      <c r="N488" s="155"/>
      <c r="O488" s="2">
        <v>63</v>
      </c>
      <c r="P488" s="6"/>
      <c r="Q488" s="131" t="str">
        <f t="shared" si="46"/>
        <v/>
      </c>
      <c r="R488" s="33" t="str">
        <f t="shared" si="47"/>
        <v/>
      </c>
      <c r="S488" s="132" t="str">
        <f t="shared" si="48"/>
        <v/>
      </c>
      <c r="T488" s="132" t="str">
        <f t="shared" si="49"/>
        <v/>
      </c>
      <c r="V488" s="131" t="str">
        <f t="shared" si="50"/>
        <v/>
      </c>
      <c r="W488" s="17"/>
      <c r="X488" s="7"/>
      <c r="Y488" s="161"/>
      <c r="Z488" s="7"/>
      <c r="AA488" s="117"/>
      <c r="AB488" s="117"/>
      <c r="AC488" s="117"/>
      <c r="CH488" s="2"/>
    </row>
    <row r="489" spans="1:86" x14ac:dyDescent="0.3">
      <c r="A489" s="2">
        <v>579</v>
      </c>
      <c r="B489" s="2" t="s">
        <v>0</v>
      </c>
      <c r="C489" s="2" t="s">
        <v>1</v>
      </c>
      <c r="D489" s="2" t="s">
        <v>879</v>
      </c>
      <c r="E489" s="2">
        <v>2900</v>
      </c>
      <c r="F489" s="2">
        <v>5.1000000000000004E-3</v>
      </c>
      <c r="G489" s="2">
        <v>3.8E-3</v>
      </c>
      <c r="H489" s="4">
        <f t="shared" si="45"/>
        <v>0.25490196078431376</v>
      </c>
      <c r="I489" s="2" t="s">
        <v>82</v>
      </c>
      <c r="J489" s="2" t="s">
        <v>855</v>
      </c>
      <c r="K489" s="2" t="s">
        <v>163</v>
      </c>
      <c r="L489" s="2" t="s">
        <v>6</v>
      </c>
      <c r="M489" s="155"/>
      <c r="N489" s="155"/>
      <c r="O489" s="2">
        <v>24</v>
      </c>
      <c r="P489" s="6">
        <v>9</v>
      </c>
      <c r="Q489" s="131">
        <f t="shared" si="46"/>
        <v>26.482758620689655</v>
      </c>
      <c r="R489" s="33">
        <f t="shared" si="47"/>
        <v>9</v>
      </c>
      <c r="S489" s="132">
        <f t="shared" si="48"/>
        <v>1.125</v>
      </c>
      <c r="T489" s="132">
        <f t="shared" si="49"/>
        <v>1.125</v>
      </c>
      <c r="V489" s="131" t="str">
        <f t="shared" si="50"/>
        <v/>
      </c>
      <c r="W489" s="17"/>
      <c r="X489" s="7"/>
      <c r="Y489" s="161"/>
      <c r="Z489" s="7"/>
      <c r="AA489" s="117"/>
      <c r="AB489" s="117"/>
      <c r="AC489" s="117"/>
      <c r="CH489" s="2"/>
    </row>
    <row r="490" spans="1:86" x14ac:dyDescent="0.3">
      <c r="A490" s="2">
        <v>583</v>
      </c>
      <c r="B490" s="2" t="s">
        <v>0</v>
      </c>
      <c r="C490" s="2" t="s">
        <v>1</v>
      </c>
      <c r="D490" s="2" t="s">
        <v>880</v>
      </c>
      <c r="E490" s="2">
        <v>700</v>
      </c>
      <c r="F490" s="2">
        <v>2.8400000000000002E-2</v>
      </c>
      <c r="G490" s="2">
        <v>2.0400000000000001E-2</v>
      </c>
      <c r="H490" s="4">
        <f t="shared" si="45"/>
        <v>0.28169014084507044</v>
      </c>
      <c r="I490" s="2" t="s">
        <v>73</v>
      </c>
      <c r="J490" s="2" t="s">
        <v>881</v>
      </c>
      <c r="K490" s="2" t="s">
        <v>105</v>
      </c>
      <c r="L490" s="2" t="s">
        <v>76</v>
      </c>
      <c r="M490" s="155"/>
      <c r="N490" s="155"/>
      <c r="O490" s="2">
        <v>24</v>
      </c>
      <c r="P490" s="6">
        <v>14</v>
      </c>
      <c r="Q490" s="131">
        <f t="shared" si="46"/>
        <v>70.530612244897966</v>
      </c>
      <c r="R490" s="33">
        <f t="shared" si="47"/>
        <v>13.999999999999998</v>
      </c>
      <c r="S490" s="132">
        <f t="shared" si="48"/>
        <v>1.7499999999999998</v>
      </c>
      <c r="T490" s="132">
        <f t="shared" si="49"/>
        <v>1.7499999999999998</v>
      </c>
      <c r="V490" s="131" t="str">
        <f t="shared" si="50"/>
        <v/>
      </c>
      <c r="W490" s="17"/>
      <c r="X490" s="7"/>
      <c r="Y490" s="161"/>
      <c r="Z490" s="7"/>
      <c r="AA490" s="117"/>
      <c r="AB490" s="117"/>
      <c r="AC490" s="117"/>
      <c r="CH490" s="2"/>
    </row>
    <row r="491" spans="1:86" x14ac:dyDescent="0.3">
      <c r="A491" s="2">
        <v>585</v>
      </c>
      <c r="B491" s="2" t="s">
        <v>84</v>
      </c>
      <c r="C491" s="2" t="s">
        <v>1</v>
      </c>
      <c r="D491" s="2" t="s">
        <v>882</v>
      </c>
      <c r="E491" s="2">
        <v>500</v>
      </c>
      <c r="F491" s="2">
        <v>2.7699999999999999E-2</v>
      </c>
      <c r="G491" s="2">
        <v>1.9E-2</v>
      </c>
      <c r="H491" s="4">
        <f t="shared" si="45"/>
        <v>0.31407942238267145</v>
      </c>
      <c r="I491" s="2" t="s">
        <v>82</v>
      </c>
      <c r="J491" s="2" t="s">
        <v>583</v>
      </c>
      <c r="K491" s="2" t="s">
        <v>95</v>
      </c>
      <c r="L491" s="2" t="s">
        <v>96</v>
      </c>
      <c r="M491" s="155"/>
      <c r="N491" s="155"/>
      <c r="O491" s="2">
        <v>10</v>
      </c>
      <c r="P491" s="6">
        <v>14</v>
      </c>
      <c r="Q491" s="131">
        <f t="shared" si="46"/>
        <v>41.142857142857146</v>
      </c>
      <c r="R491" s="33">
        <f t="shared" si="47"/>
        <v>13.999999999999998</v>
      </c>
      <c r="S491" s="132">
        <f t="shared" si="48"/>
        <v>1.7499999999999998</v>
      </c>
      <c r="T491" s="132">
        <f t="shared" si="49"/>
        <v>1.7499999999999998</v>
      </c>
      <c r="V491" s="131" t="str">
        <f t="shared" si="50"/>
        <v/>
      </c>
      <c r="W491" s="17"/>
      <c r="X491" s="7"/>
      <c r="Y491" s="161"/>
      <c r="Z491" s="7"/>
      <c r="AA491" s="117"/>
      <c r="AB491" s="117"/>
      <c r="AC491" s="117"/>
      <c r="CH491" s="2"/>
    </row>
    <row r="492" spans="1:86" x14ac:dyDescent="0.3">
      <c r="A492" s="2">
        <v>586</v>
      </c>
      <c r="B492" s="2" t="s">
        <v>84</v>
      </c>
      <c r="C492" s="2" t="s">
        <v>1</v>
      </c>
      <c r="D492" s="2" t="s">
        <v>883</v>
      </c>
      <c r="E492" s="2">
        <v>1000</v>
      </c>
      <c r="F492" s="2">
        <v>6.0000000000000001E-3</v>
      </c>
      <c r="G492" s="2">
        <v>3.5000000000000001E-3</v>
      </c>
      <c r="H492" s="4">
        <f t="shared" si="45"/>
        <v>0.41666666666666669</v>
      </c>
      <c r="I492" s="2" t="s">
        <v>82</v>
      </c>
      <c r="J492" s="2" t="s">
        <v>579</v>
      </c>
      <c r="K492" s="2" t="s">
        <v>5</v>
      </c>
      <c r="L492" s="2" t="s">
        <v>6</v>
      </c>
      <c r="M492" s="155"/>
      <c r="N492" s="155"/>
      <c r="O492" s="2">
        <v>48</v>
      </c>
      <c r="P492" s="6">
        <v>14</v>
      </c>
      <c r="Q492" s="131">
        <f t="shared" si="46"/>
        <v>98.742857142857147</v>
      </c>
      <c r="R492" s="33">
        <f t="shared" si="47"/>
        <v>14</v>
      </c>
      <c r="S492" s="132">
        <f t="shared" si="48"/>
        <v>1.75</v>
      </c>
      <c r="T492" s="132">
        <f t="shared" si="49"/>
        <v>1.75</v>
      </c>
      <c r="V492" s="131" t="str">
        <f t="shared" si="50"/>
        <v/>
      </c>
      <c r="W492" s="17"/>
      <c r="X492" s="7"/>
      <c r="Y492" s="161"/>
      <c r="Z492" s="7"/>
      <c r="AA492" s="117"/>
      <c r="AB492" s="117"/>
      <c r="AC492" s="117"/>
      <c r="CH492" s="2"/>
    </row>
    <row r="493" spans="1:86" x14ac:dyDescent="0.3">
      <c r="A493" s="2">
        <v>592</v>
      </c>
      <c r="B493" s="2" t="s">
        <v>84</v>
      </c>
      <c r="C493" s="2" t="s">
        <v>1</v>
      </c>
      <c r="D493" s="2" t="s">
        <v>884</v>
      </c>
      <c r="E493" s="2">
        <v>3200</v>
      </c>
      <c r="F493" s="2">
        <v>5.7000000000000002E-3</v>
      </c>
      <c r="G493" s="2">
        <v>3.8E-3</v>
      </c>
      <c r="H493" s="4">
        <f t="shared" si="45"/>
        <v>0.33333333333333337</v>
      </c>
      <c r="I493" s="2" t="s">
        <v>82</v>
      </c>
      <c r="J493" s="2" t="s">
        <v>645</v>
      </c>
      <c r="K493" s="2" t="s">
        <v>5</v>
      </c>
      <c r="L493" s="2" t="s">
        <v>6</v>
      </c>
      <c r="M493" s="155"/>
      <c r="N493" s="155"/>
      <c r="O493" s="2">
        <v>32</v>
      </c>
      <c r="P493" s="6"/>
      <c r="Q493" s="131" t="str">
        <f t="shared" si="46"/>
        <v/>
      </c>
      <c r="R493" s="33" t="str">
        <f t="shared" si="47"/>
        <v/>
      </c>
      <c r="S493" s="132" t="str">
        <f t="shared" si="48"/>
        <v/>
      </c>
      <c r="T493" s="132" t="str">
        <f t="shared" si="49"/>
        <v/>
      </c>
      <c r="V493" s="131" t="str">
        <f t="shared" si="50"/>
        <v/>
      </c>
      <c r="W493" s="17"/>
      <c r="X493" s="7"/>
      <c r="Y493" s="161"/>
      <c r="Z493" s="7"/>
      <c r="AA493" s="117"/>
      <c r="AB493" s="117"/>
      <c r="AC493" s="117"/>
      <c r="CH493" s="2"/>
    </row>
    <row r="494" spans="1:86" x14ac:dyDescent="0.3">
      <c r="A494" s="2">
        <v>602</v>
      </c>
      <c r="B494" s="2" t="s">
        <v>0</v>
      </c>
      <c r="C494" s="2" t="s">
        <v>1</v>
      </c>
      <c r="D494" s="2" t="s">
        <v>885</v>
      </c>
      <c r="E494" s="2">
        <v>35</v>
      </c>
      <c r="F494" s="2">
        <v>0.38540000000000002</v>
      </c>
      <c r="G494" s="2">
        <v>0.28839999999999999</v>
      </c>
      <c r="H494" s="4">
        <f t="shared" si="45"/>
        <v>0.25168655941878576</v>
      </c>
      <c r="I494" s="2" t="s">
        <v>98</v>
      </c>
      <c r="J494" s="2" t="s">
        <v>886</v>
      </c>
      <c r="K494" s="2" t="s">
        <v>105</v>
      </c>
      <c r="L494" s="2" t="s">
        <v>76</v>
      </c>
      <c r="M494" s="155"/>
      <c r="N494" s="155"/>
      <c r="O494" s="2">
        <v>2</v>
      </c>
      <c r="P494" s="6">
        <v>69</v>
      </c>
      <c r="Q494" s="131">
        <f t="shared" si="46"/>
        <v>23.850931677018636</v>
      </c>
      <c r="R494" s="33">
        <f t="shared" si="47"/>
        <v>69</v>
      </c>
      <c r="S494" s="132">
        <f t="shared" si="48"/>
        <v>8.625</v>
      </c>
      <c r="T494" s="132">
        <f t="shared" si="49"/>
        <v>8.625</v>
      </c>
      <c r="V494" s="131" t="str">
        <f t="shared" si="50"/>
        <v/>
      </c>
      <c r="W494" s="17"/>
      <c r="X494" s="7"/>
      <c r="Y494" s="161"/>
      <c r="Z494" s="7"/>
      <c r="AA494" s="117"/>
      <c r="AB494" s="117"/>
      <c r="AC494" s="117"/>
      <c r="CH494" s="2"/>
    </row>
    <row r="495" spans="1:86" x14ac:dyDescent="0.3">
      <c r="A495" s="2">
        <v>603</v>
      </c>
      <c r="B495" s="2" t="s">
        <v>0</v>
      </c>
      <c r="C495" s="2" t="s">
        <v>1</v>
      </c>
      <c r="D495" s="2" t="s">
        <v>887</v>
      </c>
      <c r="E495" s="2">
        <v>90</v>
      </c>
      <c r="F495" s="2">
        <v>0.12740000000000001</v>
      </c>
      <c r="G495" s="2">
        <v>9.8000000000000004E-2</v>
      </c>
      <c r="H495" s="4">
        <f t="shared" si="45"/>
        <v>0.23076923076923081</v>
      </c>
      <c r="I495" s="2" t="s">
        <v>82</v>
      </c>
      <c r="J495" s="2" t="s">
        <v>888</v>
      </c>
      <c r="K495" s="2" t="s">
        <v>105</v>
      </c>
      <c r="L495" s="2" t="s">
        <v>76</v>
      </c>
      <c r="M495" s="155"/>
      <c r="N495" s="155"/>
      <c r="O495" s="2">
        <v>2</v>
      </c>
      <c r="P495" s="6">
        <v>40</v>
      </c>
      <c r="Q495" s="131">
        <f t="shared" si="46"/>
        <v>16</v>
      </c>
      <c r="R495" s="33">
        <f t="shared" si="47"/>
        <v>40</v>
      </c>
      <c r="S495" s="132">
        <f t="shared" si="48"/>
        <v>5</v>
      </c>
      <c r="T495" s="132">
        <f t="shared" si="49"/>
        <v>5</v>
      </c>
      <c r="V495" s="131" t="str">
        <f t="shared" si="50"/>
        <v/>
      </c>
      <c r="W495" s="17"/>
      <c r="X495" s="7"/>
      <c r="Y495" s="161"/>
      <c r="Z495" s="7"/>
      <c r="AA495" s="117"/>
      <c r="AB495" s="117"/>
      <c r="AC495" s="117"/>
      <c r="CH495" s="2"/>
    </row>
    <row r="496" spans="1:86" x14ac:dyDescent="0.3">
      <c r="A496" s="2">
        <v>604</v>
      </c>
      <c r="B496" s="2" t="s">
        <v>0</v>
      </c>
      <c r="C496" s="2" t="s">
        <v>1</v>
      </c>
      <c r="D496" s="2" t="s">
        <v>889</v>
      </c>
      <c r="E496" s="2">
        <v>40</v>
      </c>
      <c r="F496" s="2">
        <v>0.39389999999999997</v>
      </c>
      <c r="G496" s="2">
        <v>0.28839999999999999</v>
      </c>
      <c r="H496" s="4">
        <f t="shared" si="45"/>
        <v>0.26783447575526781</v>
      </c>
      <c r="I496" s="2" t="s">
        <v>98</v>
      </c>
      <c r="J496" s="2" t="s">
        <v>886</v>
      </c>
      <c r="K496" s="2" t="s">
        <v>105</v>
      </c>
      <c r="L496" s="2" t="s">
        <v>76</v>
      </c>
      <c r="M496" s="155"/>
      <c r="N496" s="155"/>
      <c r="O496" s="2">
        <v>2</v>
      </c>
      <c r="P496" s="6">
        <v>60</v>
      </c>
      <c r="Q496" s="131">
        <f t="shared" si="46"/>
        <v>24</v>
      </c>
      <c r="R496" s="33">
        <f t="shared" si="47"/>
        <v>60</v>
      </c>
      <c r="S496" s="132">
        <f t="shared" si="48"/>
        <v>7.5</v>
      </c>
      <c r="T496" s="132">
        <f t="shared" si="49"/>
        <v>7.5</v>
      </c>
      <c r="V496" s="131" t="str">
        <f t="shared" si="50"/>
        <v/>
      </c>
      <c r="W496" s="17"/>
      <c r="X496" s="7"/>
      <c r="Y496" s="161"/>
      <c r="Z496" s="7"/>
      <c r="AA496" s="117"/>
      <c r="AB496" s="117"/>
      <c r="AC496" s="117"/>
      <c r="CH496" s="2"/>
    </row>
    <row r="497" spans="1:86" x14ac:dyDescent="0.3">
      <c r="A497" s="2">
        <v>605</v>
      </c>
      <c r="B497" s="2" t="s">
        <v>0</v>
      </c>
      <c r="C497" s="2" t="s">
        <v>1</v>
      </c>
      <c r="D497" s="2" t="s">
        <v>890</v>
      </c>
      <c r="E497" s="2">
        <v>160</v>
      </c>
      <c r="F497" s="2">
        <v>0.13400000000000001</v>
      </c>
      <c r="G497" s="2">
        <v>9.8000000000000004E-2</v>
      </c>
      <c r="H497" s="4">
        <f t="shared" si="45"/>
        <v>0.26865671641791045</v>
      </c>
      <c r="I497" s="2" t="s">
        <v>82</v>
      </c>
      <c r="J497" s="2" t="s">
        <v>581</v>
      </c>
      <c r="K497" s="2" t="s">
        <v>105</v>
      </c>
      <c r="L497" s="2" t="s">
        <v>76</v>
      </c>
      <c r="M497" s="155"/>
      <c r="N497" s="155"/>
      <c r="O497" s="2">
        <v>2</v>
      </c>
      <c r="P497" s="6">
        <v>23</v>
      </c>
      <c r="Q497" s="131">
        <f t="shared" si="46"/>
        <v>15.652173913043478</v>
      </c>
      <c r="R497" s="33">
        <f t="shared" si="47"/>
        <v>23</v>
      </c>
      <c r="S497" s="132">
        <f t="shared" si="48"/>
        <v>2.875</v>
      </c>
      <c r="T497" s="132">
        <f t="shared" si="49"/>
        <v>2.875</v>
      </c>
      <c r="V497" s="131" t="str">
        <f t="shared" si="50"/>
        <v/>
      </c>
      <c r="W497" s="17"/>
      <c r="X497" s="7"/>
      <c r="Y497" s="161"/>
      <c r="Z497" s="7"/>
      <c r="AA497" s="117"/>
      <c r="AB497" s="117"/>
      <c r="AC497" s="117"/>
      <c r="CH497" s="2"/>
    </row>
    <row r="498" spans="1:86" x14ac:dyDescent="0.3">
      <c r="A498" s="2">
        <v>606</v>
      </c>
      <c r="B498" s="2" t="s">
        <v>0</v>
      </c>
      <c r="C498" s="2" t="s">
        <v>1</v>
      </c>
      <c r="D498" s="2" t="s">
        <v>891</v>
      </c>
      <c r="E498" s="2">
        <v>45</v>
      </c>
      <c r="F498" s="2">
        <v>0.4204</v>
      </c>
      <c r="G498" s="2">
        <v>0.28839999999999999</v>
      </c>
      <c r="H498" s="4">
        <f t="shared" si="45"/>
        <v>0.31398667935299718</v>
      </c>
      <c r="I498" s="2" t="s">
        <v>98</v>
      </c>
      <c r="J498" s="2" t="s">
        <v>892</v>
      </c>
      <c r="K498" s="2" t="s">
        <v>105</v>
      </c>
      <c r="L498" s="2" t="s">
        <v>76</v>
      </c>
      <c r="M498" s="155"/>
      <c r="N498" s="155"/>
      <c r="O498" s="2">
        <v>2</v>
      </c>
      <c r="P498" s="6">
        <v>24</v>
      </c>
      <c r="Q498" s="131">
        <f t="shared" si="46"/>
        <v>53.333333333333336</v>
      </c>
      <c r="R498" s="33">
        <f t="shared" si="47"/>
        <v>24</v>
      </c>
      <c r="S498" s="132">
        <f t="shared" si="48"/>
        <v>3</v>
      </c>
      <c r="T498" s="132">
        <f t="shared" si="49"/>
        <v>3</v>
      </c>
      <c r="V498" s="131" t="str">
        <f t="shared" si="50"/>
        <v/>
      </c>
      <c r="W498" s="17"/>
      <c r="X498" s="7"/>
      <c r="Y498" s="161"/>
      <c r="Z498" s="7"/>
      <c r="AA498" s="117"/>
      <c r="AB498" s="117"/>
      <c r="AC498" s="117"/>
      <c r="CH498" s="2"/>
    </row>
    <row r="499" spans="1:86" x14ac:dyDescent="0.3">
      <c r="A499" s="2">
        <v>607</v>
      </c>
      <c r="B499" s="2" t="s">
        <v>0</v>
      </c>
      <c r="C499" s="2" t="s">
        <v>1</v>
      </c>
      <c r="D499" s="2" t="s">
        <v>893</v>
      </c>
      <c r="E499" s="2">
        <v>120</v>
      </c>
      <c r="F499" s="2">
        <v>0.13089999999999999</v>
      </c>
      <c r="G499" s="2">
        <v>9.8000000000000004E-2</v>
      </c>
      <c r="H499" s="4">
        <f t="shared" si="45"/>
        <v>0.25133689839572182</v>
      </c>
      <c r="I499" s="2" t="s">
        <v>82</v>
      </c>
      <c r="J499" s="2" t="s">
        <v>581</v>
      </c>
      <c r="K499" s="2" t="s">
        <v>105</v>
      </c>
      <c r="L499" s="2" t="s">
        <v>76</v>
      </c>
      <c r="M499" s="155"/>
      <c r="N499" s="155"/>
      <c r="O499" s="2">
        <v>2</v>
      </c>
      <c r="P499" s="6">
        <v>35</v>
      </c>
      <c r="Q499" s="131">
        <f t="shared" si="46"/>
        <v>13.714285714285714</v>
      </c>
      <c r="R499" s="33">
        <f t="shared" si="47"/>
        <v>35</v>
      </c>
      <c r="S499" s="132">
        <f t="shared" si="48"/>
        <v>4.375</v>
      </c>
      <c r="T499" s="132">
        <f t="shared" si="49"/>
        <v>4.375</v>
      </c>
      <c r="V499" s="131" t="str">
        <f t="shared" si="50"/>
        <v/>
      </c>
      <c r="W499" s="17"/>
      <c r="X499" s="7"/>
      <c r="Y499" s="161"/>
      <c r="Z499" s="7"/>
      <c r="AA499" s="117"/>
      <c r="AB499" s="117"/>
      <c r="AC499" s="117"/>
      <c r="CH499" s="2"/>
    </row>
    <row r="500" spans="1:86" x14ac:dyDescent="0.3">
      <c r="A500" s="2">
        <v>608</v>
      </c>
      <c r="B500" s="2" t="s">
        <v>0</v>
      </c>
      <c r="C500" s="2" t="s">
        <v>1</v>
      </c>
      <c r="D500" s="2" t="s">
        <v>894</v>
      </c>
      <c r="E500" s="2">
        <v>55</v>
      </c>
      <c r="F500" s="2">
        <v>0.40229999999999999</v>
      </c>
      <c r="G500" s="2">
        <v>0.28839999999999999</v>
      </c>
      <c r="H500" s="4">
        <f t="shared" si="45"/>
        <v>0.28312204822271936</v>
      </c>
      <c r="I500" s="2" t="s">
        <v>98</v>
      </c>
      <c r="J500" s="2" t="s">
        <v>886</v>
      </c>
      <c r="K500" s="2" t="s">
        <v>105</v>
      </c>
      <c r="L500" s="2" t="s">
        <v>76</v>
      </c>
      <c r="M500" s="155"/>
      <c r="N500" s="155"/>
      <c r="O500" s="2">
        <v>2</v>
      </c>
      <c r="P500" s="6">
        <v>44</v>
      </c>
      <c r="Q500" s="131">
        <f t="shared" si="46"/>
        <v>23.801652892561982</v>
      </c>
      <c r="R500" s="33">
        <f t="shared" si="47"/>
        <v>44</v>
      </c>
      <c r="S500" s="132">
        <f t="shared" si="48"/>
        <v>5.5</v>
      </c>
      <c r="T500" s="132">
        <f t="shared" si="49"/>
        <v>5.5</v>
      </c>
      <c r="V500" s="131" t="str">
        <f t="shared" si="50"/>
        <v/>
      </c>
      <c r="W500" s="17"/>
      <c r="X500" s="7"/>
      <c r="Y500" s="161"/>
      <c r="Z500" s="7"/>
      <c r="AA500" s="117"/>
      <c r="AB500" s="117"/>
      <c r="AC500" s="117"/>
      <c r="CH500" s="2"/>
    </row>
    <row r="501" spans="1:86" x14ac:dyDescent="0.3">
      <c r="A501" s="2">
        <v>609</v>
      </c>
      <c r="B501" s="2" t="s">
        <v>0</v>
      </c>
      <c r="C501" s="2" t="s">
        <v>1</v>
      </c>
      <c r="D501" s="2" t="s">
        <v>895</v>
      </c>
      <c r="E501" s="2">
        <v>40</v>
      </c>
      <c r="F501" s="2">
        <v>0.38540000000000002</v>
      </c>
      <c r="G501" s="2">
        <v>0.28839999999999999</v>
      </c>
      <c r="H501" s="4">
        <f t="shared" si="45"/>
        <v>0.25168655941878576</v>
      </c>
      <c r="I501" s="2" t="s">
        <v>98</v>
      </c>
      <c r="J501" s="2" t="s">
        <v>886</v>
      </c>
      <c r="K501" s="2" t="s">
        <v>105</v>
      </c>
      <c r="L501" s="2" t="s">
        <v>76</v>
      </c>
      <c r="M501" s="155"/>
      <c r="N501" s="155"/>
      <c r="O501" s="2">
        <v>2</v>
      </c>
      <c r="P501" s="6">
        <v>60</v>
      </c>
      <c r="Q501" s="131">
        <f t="shared" si="46"/>
        <v>24</v>
      </c>
      <c r="R501" s="33">
        <f t="shared" si="47"/>
        <v>60</v>
      </c>
      <c r="S501" s="132">
        <f t="shared" si="48"/>
        <v>7.5</v>
      </c>
      <c r="T501" s="132">
        <f t="shared" si="49"/>
        <v>7.5</v>
      </c>
      <c r="V501" s="131" t="str">
        <f t="shared" si="50"/>
        <v/>
      </c>
      <c r="W501" s="17"/>
      <c r="X501" s="7"/>
      <c r="Y501" s="161"/>
      <c r="Z501" s="7"/>
      <c r="AA501" s="117"/>
      <c r="AB501" s="117"/>
      <c r="AC501" s="117"/>
      <c r="CH501" s="2"/>
    </row>
    <row r="502" spans="1:86" x14ac:dyDescent="0.3">
      <c r="A502" s="2">
        <v>610</v>
      </c>
      <c r="B502" s="2" t="s">
        <v>0</v>
      </c>
      <c r="C502" s="2" t="s">
        <v>1</v>
      </c>
      <c r="D502" s="2" t="s">
        <v>896</v>
      </c>
      <c r="E502" s="2">
        <v>160</v>
      </c>
      <c r="F502" s="2">
        <v>0.13400000000000001</v>
      </c>
      <c r="G502" s="2">
        <v>9.8000000000000004E-2</v>
      </c>
      <c r="H502" s="4">
        <f t="shared" si="45"/>
        <v>0.26865671641791045</v>
      </c>
      <c r="I502" s="2" t="s">
        <v>82</v>
      </c>
      <c r="J502" s="2" t="s">
        <v>581</v>
      </c>
      <c r="K502" s="2" t="s">
        <v>105</v>
      </c>
      <c r="L502" s="2" t="s">
        <v>76</v>
      </c>
      <c r="M502" s="155"/>
      <c r="N502" s="155"/>
      <c r="O502" s="2">
        <v>2</v>
      </c>
      <c r="P502" s="6">
        <v>23</v>
      </c>
      <c r="Q502" s="131">
        <f t="shared" si="46"/>
        <v>15.652173913043478</v>
      </c>
      <c r="R502" s="33">
        <f t="shared" si="47"/>
        <v>23</v>
      </c>
      <c r="S502" s="132">
        <f t="shared" si="48"/>
        <v>2.875</v>
      </c>
      <c r="T502" s="132">
        <f t="shared" si="49"/>
        <v>2.875</v>
      </c>
      <c r="V502" s="131" t="str">
        <f t="shared" si="50"/>
        <v/>
      </c>
      <c r="W502" s="17"/>
      <c r="X502" s="7"/>
      <c r="Y502" s="161"/>
      <c r="Z502" s="7"/>
      <c r="AA502" s="117"/>
      <c r="AB502" s="117"/>
      <c r="AC502" s="117"/>
      <c r="CH502" s="2"/>
    </row>
    <row r="503" spans="1:86" x14ac:dyDescent="0.3">
      <c r="A503" s="2">
        <v>611</v>
      </c>
      <c r="B503" s="2" t="s">
        <v>0</v>
      </c>
      <c r="C503" s="2" t="s">
        <v>1</v>
      </c>
      <c r="D503" s="2" t="s">
        <v>897</v>
      </c>
      <c r="E503" s="2">
        <v>40</v>
      </c>
      <c r="F503" s="2">
        <v>0.39389999999999997</v>
      </c>
      <c r="G503" s="2">
        <v>0.28839999999999999</v>
      </c>
      <c r="H503" s="4">
        <f t="shared" si="45"/>
        <v>0.26783447575526781</v>
      </c>
      <c r="I503" s="2" t="s">
        <v>98</v>
      </c>
      <c r="J503" s="2" t="s">
        <v>892</v>
      </c>
      <c r="K503" s="2" t="s">
        <v>105</v>
      </c>
      <c r="L503" s="2" t="s">
        <v>76</v>
      </c>
      <c r="M503" s="155"/>
      <c r="N503" s="155"/>
      <c r="O503" s="2">
        <v>2</v>
      </c>
      <c r="P503" s="6">
        <v>60</v>
      </c>
      <c r="Q503" s="131">
        <f t="shared" si="46"/>
        <v>24</v>
      </c>
      <c r="R503" s="33">
        <f t="shared" si="47"/>
        <v>60</v>
      </c>
      <c r="S503" s="132">
        <f t="shared" si="48"/>
        <v>7.5</v>
      </c>
      <c r="T503" s="132">
        <f t="shared" si="49"/>
        <v>7.5</v>
      </c>
      <c r="V503" s="131" t="str">
        <f t="shared" si="50"/>
        <v/>
      </c>
      <c r="W503" s="17"/>
      <c r="X503" s="7"/>
      <c r="Y503" s="161"/>
      <c r="Z503" s="7"/>
      <c r="AA503" s="117"/>
      <c r="AB503" s="117"/>
      <c r="AC503" s="117"/>
      <c r="CH503" s="2"/>
    </row>
    <row r="504" spans="1:86" x14ac:dyDescent="0.3">
      <c r="A504" s="2">
        <v>612</v>
      </c>
      <c r="B504" s="2" t="s">
        <v>0</v>
      </c>
      <c r="C504" s="2" t="s">
        <v>1</v>
      </c>
      <c r="D504" s="2" t="s">
        <v>898</v>
      </c>
      <c r="E504" s="2">
        <v>160</v>
      </c>
      <c r="F504" s="2">
        <v>0.13400000000000001</v>
      </c>
      <c r="G504" s="2">
        <v>9.8000000000000004E-2</v>
      </c>
      <c r="H504" s="4">
        <f t="shared" si="45"/>
        <v>0.26865671641791045</v>
      </c>
      <c r="I504" s="2" t="s">
        <v>82</v>
      </c>
      <c r="J504" s="2" t="s">
        <v>581</v>
      </c>
      <c r="K504" s="2" t="s">
        <v>105</v>
      </c>
      <c r="L504" s="2" t="s">
        <v>76</v>
      </c>
      <c r="M504" s="155"/>
      <c r="N504" s="155"/>
      <c r="O504" s="2">
        <v>2</v>
      </c>
      <c r="P504" s="6">
        <v>23</v>
      </c>
      <c r="Q504" s="131">
        <f t="shared" si="46"/>
        <v>15.652173913043478</v>
      </c>
      <c r="R504" s="33">
        <f t="shared" si="47"/>
        <v>23</v>
      </c>
      <c r="S504" s="132">
        <f t="shared" si="48"/>
        <v>2.875</v>
      </c>
      <c r="T504" s="132">
        <f t="shared" si="49"/>
        <v>2.875</v>
      </c>
      <c r="V504" s="131" t="str">
        <f t="shared" si="50"/>
        <v/>
      </c>
      <c r="W504" s="17"/>
      <c r="X504" s="7"/>
      <c r="Y504" s="161"/>
      <c r="Z504" s="7"/>
      <c r="AA504" s="117"/>
      <c r="AB504" s="117"/>
      <c r="AC504" s="117"/>
      <c r="CH504" s="2"/>
    </row>
    <row r="505" spans="1:86" x14ac:dyDescent="0.3">
      <c r="A505" s="2">
        <v>613</v>
      </c>
      <c r="B505" s="2" t="s">
        <v>0</v>
      </c>
      <c r="C505" s="2" t="s">
        <v>1</v>
      </c>
      <c r="D505" s="2" t="s">
        <v>899</v>
      </c>
      <c r="E505" s="2">
        <v>40</v>
      </c>
      <c r="F505" s="2">
        <v>0.38119999999999998</v>
      </c>
      <c r="G505" s="2">
        <v>0.28839999999999999</v>
      </c>
      <c r="H505" s="4">
        <f t="shared" si="45"/>
        <v>0.24344176285414479</v>
      </c>
      <c r="I505" s="2" t="s">
        <v>98</v>
      </c>
      <c r="J505" s="2" t="s">
        <v>892</v>
      </c>
      <c r="K505" s="2" t="s">
        <v>105</v>
      </c>
      <c r="L505" s="2" t="s">
        <v>76</v>
      </c>
      <c r="M505" s="155"/>
      <c r="N505" s="155"/>
      <c r="O505" s="2">
        <v>2</v>
      </c>
      <c r="P505" s="6">
        <v>60</v>
      </c>
      <c r="Q505" s="131">
        <f t="shared" si="46"/>
        <v>24</v>
      </c>
      <c r="R505" s="33">
        <f t="shared" si="47"/>
        <v>60</v>
      </c>
      <c r="S505" s="132">
        <f t="shared" si="48"/>
        <v>7.5</v>
      </c>
      <c r="T505" s="132">
        <f t="shared" si="49"/>
        <v>7.5</v>
      </c>
      <c r="V505" s="131" t="str">
        <f t="shared" si="50"/>
        <v/>
      </c>
      <c r="W505" s="17"/>
      <c r="X505" s="7"/>
      <c r="Y505" s="161"/>
      <c r="Z505" s="7"/>
      <c r="AA505" s="117"/>
      <c r="AB505" s="117"/>
      <c r="AC505" s="117"/>
      <c r="CH505" s="2"/>
    </row>
    <row r="506" spans="1:86" x14ac:dyDescent="0.3">
      <c r="A506" s="2">
        <v>614</v>
      </c>
      <c r="B506" s="2" t="s">
        <v>0</v>
      </c>
      <c r="C506" s="2" t="s">
        <v>1</v>
      </c>
      <c r="D506" s="2" t="s">
        <v>900</v>
      </c>
      <c r="E506" s="2">
        <v>120</v>
      </c>
      <c r="F506" s="2">
        <v>0.1278</v>
      </c>
      <c r="G506" s="2">
        <v>9.8000000000000004E-2</v>
      </c>
      <c r="H506" s="4">
        <f t="shared" si="45"/>
        <v>0.23317683881064158</v>
      </c>
      <c r="I506" s="2" t="s">
        <v>82</v>
      </c>
      <c r="J506" s="2" t="s">
        <v>581</v>
      </c>
      <c r="K506" s="2" t="s">
        <v>105</v>
      </c>
      <c r="L506" s="2" t="s">
        <v>76</v>
      </c>
      <c r="M506" s="155"/>
      <c r="N506" s="155"/>
      <c r="O506" s="2">
        <v>2</v>
      </c>
      <c r="P506" s="6">
        <v>30</v>
      </c>
      <c r="Q506" s="131">
        <f t="shared" si="46"/>
        <v>16</v>
      </c>
      <c r="R506" s="33">
        <f t="shared" si="47"/>
        <v>30</v>
      </c>
      <c r="S506" s="132">
        <f t="shared" si="48"/>
        <v>3.75</v>
      </c>
      <c r="T506" s="132">
        <f t="shared" si="49"/>
        <v>3.75</v>
      </c>
      <c r="V506" s="131" t="str">
        <f t="shared" si="50"/>
        <v/>
      </c>
      <c r="W506" s="17"/>
      <c r="X506" s="7"/>
      <c r="Y506" s="161"/>
      <c r="Z506" s="7"/>
      <c r="AA506" s="117"/>
      <c r="AB506" s="117"/>
      <c r="AC506" s="117"/>
      <c r="CH506" s="2"/>
    </row>
    <row r="507" spans="1:86" x14ac:dyDescent="0.3">
      <c r="A507" s="23">
        <v>615</v>
      </c>
      <c r="B507" s="2" t="s">
        <v>0</v>
      </c>
      <c r="C507" s="2" t="s">
        <v>1</v>
      </c>
      <c r="D507" s="2" t="s">
        <v>901</v>
      </c>
      <c r="E507" s="2">
        <v>60</v>
      </c>
      <c r="F507" s="2">
        <v>0.41120000000000001</v>
      </c>
      <c r="G507" s="2">
        <v>0.28839999999999999</v>
      </c>
      <c r="H507" s="4">
        <f t="shared" ref="H507:H570" si="51">(F507-G507)/F507</f>
        <v>0.29863813229571989</v>
      </c>
      <c r="I507" s="2" t="s">
        <v>98</v>
      </c>
      <c r="J507" s="2" t="s">
        <v>892</v>
      </c>
      <c r="K507" s="2" t="s">
        <v>105</v>
      </c>
      <c r="L507" s="2" t="s">
        <v>76</v>
      </c>
      <c r="M507" s="155"/>
      <c r="N507" s="155"/>
      <c r="O507" s="2">
        <v>2</v>
      </c>
      <c r="P507" s="6">
        <v>60</v>
      </c>
      <c r="Q507" s="131">
        <f t="shared" ref="Q507:Q570" si="52">IFERROR(60*60*8*O507/E507/P507,"")</f>
        <v>16</v>
      </c>
      <c r="R507" s="33">
        <f t="shared" ref="R507:R512" si="53">IFERROR(60*60*8*O507/E507/Q507,"")</f>
        <v>60</v>
      </c>
      <c r="S507" s="132">
        <f t="shared" ref="S507:S570" si="54">IFERROR(R507/8,"")</f>
        <v>7.5</v>
      </c>
      <c r="T507" s="132">
        <f t="shared" ref="T507:T570" si="55">IFERROR(IF(R507&gt;2,S507,""),"")</f>
        <v>7.5</v>
      </c>
      <c r="V507" s="131">
        <f t="shared" ref="V507:V570" si="56">IF(X507&gt;10,X507*O507/E507,"")</f>
        <v>13.333333333333334</v>
      </c>
      <c r="W507" s="17">
        <v>72</v>
      </c>
      <c r="X507" s="8">
        <f>60*60*8/W507</f>
        <v>400</v>
      </c>
      <c r="Y507" s="161">
        <v>45373</v>
      </c>
      <c r="Z507" s="7" t="s">
        <v>7</v>
      </c>
      <c r="AA507" s="117"/>
      <c r="AB507" s="117"/>
      <c r="AC507" s="117"/>
      <c r="CH507" s="2"/>
    </row>
    <row r="508" spans="1:86" x14ac:dyDescent="0.3">
      <c r="A508" s="2">
        <v>616</v>
      </c>
      <c r="B508" s="2" t="s">
        <v>0</v>
      </c>
      <c r="C508" s="2" t="s">
        <v>1</v>
      </c>
      <c r="D508" s="2" t="s">
        <v>902</v>
      </c>
      <c r="E508" s="2">
        <v>120</v>
      </c>
      <c r="F508" s="2">
        <v>0.1371</v>
      </c>
      <c r="G508" s="2">
        <v>9.8000000000000004E-2</v>
      </c>
      <c r="H508" s="4">
        <f t="shared" si="51"/>
        <v>0.28519328956965717</v>
      </c>
      <c r="I508" s="2" t="s">
        <v>82</v>
      </c>
      <c r="J508" s="2" t="s">
        <v>581</v>
      </c>
      <c r="K508" s="2" t="s">
        <v>105</v>
      </c>
      <c r="L508" s="2" t="s">
        <v>76</v>
      </c>
      <c r="M508" s="155"/>
      <c r="N508" s="155"/>
      <c r="O508" s="2">
        <v>2</v>
      </c>
      <c r="P508" s="6">
        <v>30</v>
      </c>
      <c r="Q508" s="131">
        <f t="shared" si="52"/>
        <v>16</v>
      </c>
      <c r="R508" s="33">
        <f t="shared" si="53"/>
        <v>30</v>
      </c>
      <c r="S508" s="132">
        <f t="shared" si="54"/>
        <v>3.75</v>
      </c>
      <c r="T508" s="132">
        <f t="shared" si="55"/>
        <v>3.75</v>
      </c>
      <c r="V508" s="131" t="str">
        <f t="shared" si="56"/>
        <v/>
      </c>
      <c r="W508" s="17"/>
      <c r="X508" s="7"/>
      <c r="Y508" s="161"/>
      <c r="Z508" s="7"/>
      <c r="AA508" s="117"/>
      <c r="AB508" s="117"/>
      <c r="AC508" s="117"/>
      <c r="CH508" s="2"/>
    </row>
    <row r="509" spans="1:86" x14ac:dyDescent="0.3">
      <c r="A509" s="2">
        <v>617</v>
      </c>
      <c r="B509" s="2" t="s">
        <v>84</v>
      </c>
      <c r="C509" s="2" t="s">
        <v>1</v>
      </c>
      <c r="D509" s="2" t="s">
        <v>903</v>
      </c>
      <c r="E509" s="2">
        <v>2700</v>
      </c>
      <c r="F509" s="2">
        <v>6.7000000000000002E-3</v>
      </c>
      <c r="G509" s="2"/>
      <c r="H509" s="4">
        <f t="shared" si="51"/>
        <v>1</v>
      </c>
      <c r="I509" s="2" t="s">
        <v>82</v>
      </c>
      <c r="J509" s="2" t="s">
        <v>645</v>
      </c>
      <c r="K509" s="2" t="s">
        <v>5</v>
      </c>
      <c r="L509" s="2" t="s">
        <v>6</v>
      </c>
      <c r="M509" s="155"/>
      <c r="N509" s="155"/>
      <c r="O509" s="2">
        <v>21</v>
      </c>
      <c r="P509" s="6"/>
      <c r="Q509" s="131" t="str">
        <f t="shared" si="52"/>
        <v/>
      </c>
      <c r="R509" s="33" t="str">
        <f t="shared" si="53"/>
        <v/>
      </c>
      <c r="S509" s="132" t="str">
        <f t="shared" si="54"/>
        <v/>
      </c>
      <c r="T509" s="132" t="str">
        <f t="shared" si="55"/>
        <v/>
      </c>
      <c r="V509" s="131" t="str">
        <f t="shared" si="56"/>
        <v/>
      </c>
      <c r="W509" s="17"/>
      <c r="X509" s="7"/>
      <c r="Y509" s="161"/>
      <c r="Z509" s="7"/>
      <c r="AA509" s="117"/>
      <c r="AB509" s="117"/>
      <c r="AC509" s="117"/>
      <c r="CH509" s="2"/>
    </row>
    <row r="510" spans="1:86" x14ac:dyDescent="0.3">
      <c r="A510" s="2">
        <v>619</v>
      </c>
      <c r="B510" s="2" t="s">
        <v>84</v>
      </c>
      <c r="C510" s="2" t="s">
        <v>1</v>
      </c>
      <c r="D510" s="2" t="s">
        <v>904</v>
      </c>
      <c r="E510" s="2">
        <v>900</v>
      </c>
      <c r="F510" s="2">
        <v>4.7999999999999996E-3</v>
      </c>
      <c r="G510" s="2"/>
      <c r="H510" s="4">
        <f t="shared" si="51"/>
        <v>1</v>
      </c>
      <c r="I510" s="2" t="s">
        <v>98</v>
      </c>
      <c r="J510" s="2" t="s">
        <v>418</v>
      </c>
      <c r="K510" s="2" t="s">
        <v>163</v>
      </c>
      <c r="L510" s="2" t="s">
        <v>6</v>
      </c>
      <c r="M510" s="155"/>
      <c r="N510" s="155"/>
      <c r="O510" s="2">
        <v>25</v>
      </c>
      <c r="P510" s="6"/>
      <c r="Q510" s="131" t="str">
        <f t="shared" si="52"/>
        <v/>
      </c>
      <c r="R510" s="33" t="str">
        <f t="shared" si="53"/>
        <v/>
      </c>
      <c r="S510" s="132" t="str">
        <f t="shared" si="54"/>
        <v/>
      </c>
      <c r="T510" s="132" t="str">
        <f t="shared" si="55"/>
        <v/>
      </c>
      <c r="V510" s="131" t="str">
        <f t="shared" si="56"/>
        <v/>
      </c>
      <c r="W510" s="17"/>
      <c r="X510" s="7"/>
      <c r="Y510" s="161"/>
      <c r="Z510" s="7"/>
      <c r="AA510" s="117"/>
      <c r="AB510" s="117"/>
      <c r="AC510" s="117"/>
      <c r="CH510" s="2"/>
    </row>
    <row r="511" spans="1:86" x14ac:dyDescent="0.3">
      <c r="A511" s="2">
        <v>623</v>
      </c>
      <c r="B511" s="2" t="s">
        <v>0</v>
      </c>
      <c r="C511" s="2" t="s">
        <v>1</v>
      </c>
      <c r="D511" s="2" t="s">
        <v>905</v>
      </c>
      <c r="E511" s="2">
        <v>5560</v>
      </c>
      <c r="F511" s="2">
        <v>1.6999999999999999E-3</v>
      </c>
      <c r="G511" s="2">
        <v>1.1000000000000001E-3</v>
      </c>
      <c r="H511" s="4">
        <f t="shared" si="51"/>
        <v>0.35294117647058815</v>
      </c>
      <c r="I511" s="2" t="s">
        <v>82</v>
      </c>
      <c r="J511" s="2" t="s">
        <v>645</v>
      </c>
      <c r="K511" s="2" t="s">
        <v>163</v>
      </c>
      <c r="L511" s="2" t="s">
        <v>6</v>
      </c>
      <c r="M511" s="155"/>
      <c r="N511" s="155"/>
      <c r="O511" s="2">
        <v>66</v>
      </c>
      <c r="P511" s="6">
        <v>8</v>
      </c>
      <c r="Q511" s="131">
        <f t="shared" si="52"/>
        <v>42.733812949640289</v>
      </c>
      <c r="R511" s="33">
        <f t="shared" si="53"/>
        <v>8</v>
      </c>
      <c r="S511" s="132">
        <f t="shared" si="54"/>
        <v>1</v>
      </c>
      <c r="T511" s="132">
        <f t="shared" si="55"/>
        <v>1</v>
      </c>
      <c r="V511" s="131" t="str">
        <f t="shared" si="56"/>
        <v/>
      </c>
      <c r="W511" s="17"/>
      <c r="X511" s="7"/>
      <c r="Y511" s="161"/>
      <c r="Z511" s="7"/>
      <c r="AA511" s="117"/>
      <c r="AB511" s="117"/>
      <c r="AC511" s="117"/>
      <c r="CH511" s="2"/>
    </row>
    <row r="512" spans="1:86" x14ac:dyDescent="0.3">
      <c r="A512" s="2">
        <v>630</v>
      </c>
      <c r="B512" s="2" t="s">
        <v>0</v>
      </c>
      <c r="C512" s="2" t="s">
        <v>1</v>
      </c>
      <c r="D512" s="2" t="s">
        <v>906</v>
      </c>
      <c r="E512" s="2">
        <v>4500</v>
      </c>
      <c r="F512" s="2">
        <v>6.0000000000000001E-3</v>
      </c>
      <c r="G512" s="2">
        <v>4.5999999999999999E-3</v>
      </c>
      <c r="H512" s="4">
        <f t="shared" si="51"/>
        <v>0.23333333333333336</v>
      </c>
      <c r="I512" s="2" t="s">
        <v>98</v>
      </c>
      <c r="J512" s="2" t="s">
        <v>418</v>
      </c>
      <c r="K512" s="2" t="s">
        <v>222</v>
      </c>
      <c r="L512" s="2" t="s">
        <v>76</v>
      </c>
      <c r="M512" s="155"/>
      <c r="N512" s="155"/>
      <c r="O512" s="2">
        <v>35</v>
      </c>
      <c r="P512" s="6">
        <v>10</v>
      </c>
      <c r="Q512" s="131">
        <f t="shared" si="52"/>
        <v>22.4</v>
      </c>
      <c r="R512" s="33">
        <f t="shared" si="53"/>
        <v>10</v>
      </c>
      <c r="S512" s="132">
        <f t="shared" si="54"/>
        <v>1.25</v>
      </c>
      <c r="T512" s="132">
        <f t="shared" si="55"/>
        <v>1.25</v>
      </c>
      <c r="V512" s="131" t="str">
        <f t="shared" si="56"/>
        <v/>
      </c>
      <c r="W512" s="17"/>
      <c r="X512" s="7"/>
      <c r="Y512" s="161"/>
      <c r="Z512" s="7"/>
      <c r="AA512" s="117"/>
      <c r="AB512" s="117"/>
      <c r="AC512" s="117"/>
      <c r="CH512" s="2"/>
    </row>
    <row r="513" spans="1:86" ht="28.8" x14ac:dyDescent="0.3">
      <c r="A513" s="23">
        <v>631</v>
      </c>
      <c r="B513" s="2" t="s">
        <v>0</v>
      </c>
      <c r="C513" s="2" t="s">
        <v>1</v>
      </c>
      <c r="D513" s="109" t="s">
        <v>907</v>
      </c>
      <c r="E513" s="2">
        <v>2800</v>
      </c>
      <c r="F513" s="2">
        <v>8.2000000000000007E-3</v>
      </c>
      <c r="G513" s="2">
        <v>6.0000000000000001E-3</v>
      </c>
      <c r="H513" s="4">
        <f t="shared" si="51"/>
        <v>0.26829268292682934</v>
      </c>
      <c r="I513" s="2" t="s">
        <v>98</v>
      </c>
      <c r="J513" s="2" t="s">
        <v>908</v>
      </c>
      <c r="K513" s="2" t="s">
        <v>222</v>
      </c>
      <c r="L513" s="2" t="s">
        <v>76</v>
      </c>
      <c r="M513" s="155">
        <v>10</v>
      </c>
      <c r="N513" s="164" t="s">
        <v>909</v>
      </c>
      <c r="O513" s="2">
        <v>25</v>
      </c>
      <c r="P513" s="6">
        <v>22</v>
      </c>
      <c r="Q513" s="131">
        <f t="shared" si="52"/>
        <v>11.688311688311689</v>
      </c>
      <c r="R513" s="33">
        <v>22</v>
      </c>
      <c r="S513" s="132">
        <f t="shared" si="54"/>
        <v>2.75</v>
      </c>
      <c r="T513" s="132">
        <f t="shared" si="55"/>
        <v>2.75</v>
      </c>
      <c r="V513" s="131">
        <f t="shared" si="56"/>
        <v>12.362637362637361</v>
      </c>
      <c r="W513" s="17">
        <f>26*0.8</f>
        <v>20.8</v>
      </c>
      <c r="X513" s="8">
        <f>60*60*8/W513</f>
        <v>1384.6153846153845</v>
      </c>
      <c r="Y513" s="161">
        <v>45329</v>
      </c>
      <c r="Z513" s="7" t="s">
        <v>7</v>
      </c>
      <c r="AA513" s="117"/>
      <c r="AB513" s="117"/>
      <c r="AC513" s="117"/>
      <c r="AD513" s="24">
        <v>45496</v>
      </c>
      <c r="AE513">
        <v>1</v>
      </c>
      <c r="AF513">
        <v>2.2000000000000002</v>
      </c>
      <c r="AG513">
        <v>1.6</v>
      </c>
      <c r="AI513">
        <v>0.1</v>
      </c>
      <c r="AJ513">
        <v>0.2</v>
      </c>
      <c r="AK513">
        <v>6</v>
      </c>
      <c r="AL513">
        <v>5.5</v>
      </c>
      <c r="AN513">
        <v>7</v>
      </c>
      <c r="AS513" s="29">
        <v>138.4</v>
      </c>
      <c r="AT513">
        <v>9</v>
      </c>
      <c r="AU513">
        <v>21</v>
      </c>
      <c r="AV513">
        <v>135</v>
      </c>
      <c r="AW513">
        <v>148</v>
      </c>
      <c r="AX513">
        <v>12</v>
      </c>
      <c r="AY513">
        <v>47</v>
      </c>
      <c r="AZ513">
        <v>95</v>
      </c>
      <c r="BA513">
        <v>113</v>
      </c>
      <c r="CH513" s="2"/>
    </row>
    <row r="514" spans="1:86" x14ac:dyDescent="0.3">
      <c r="A514" s="2">
        <v>633</v>
      </c>
      <c r="B514" s="2" t="s">
        <v>0</v>
      </c>
      <c r="C514" s="2" t="s">
        <v>1</v>
      </c>
      <c r="D514" s="2" t="s">
        <v>910</v>
      </c>
      <c r="E514" s="2">
        <v>2400</v>
      </c>
      <c r="F514" s="2">
        <v>7.1999999999999998E-3</v>
      </c>
      <c r="G514" s="2">
        <v>5.5999999999999999E-3</v>
      </c>
      <c r="H514" s="4">
        <f t="shared" si="51"/>
        <v>0.22222222222222221</v>
      </c>
      <c r="I514" s="2" t="s">
        <v>98</v>
      </c>
      <c r="J514" s="2" t="s">
        <v>689</v>
      </c>
      <c r="K514" s="2" t="s">
        <v>105</v>
      </c>
      <c r="L514" s="2" t="s">
        <v>76</v>
      </c>
      <c r="M514" s="155"/>
      <c r="N514" s="155"/>
      <c r="O514" s="2">
        <v>25</v>
      </c>
      <c r="P514" s="6">
        <v>17</v>
      </c>
      <c r="Q514" s="131">
        <f t="shared" si="52"/>
        <v>17.647058823529413</v>
      </c>
      <c r="R514" s="33">
        <f t="shared" ref="R514:R577" si="57">IFERROR(60*60*8*O514/E514/Q514,"")</f>
        <v>17</v>
      </c>
      <c r="S514" s="132">
        <f t="shared" si="54"/>
        <v>2.125</v>
      </c>
      <c r="T514" s="132">
        <f t="shared" si="55"/>
        <v>2.125</v>
      </c>
      <c r="V514" s="131" t="str">
        <f t="shared" si="56"/>
        <v/>
      </c>
      <c r="W514" s="17"/>
      <c r="X514" s="7"/>
      <c r="Y514" s="161"/>
      <c r="Z514" s="7"/>
      <c r="AA514" s="117"/>
      <c r="AB514" s="117"/>
      <c r="AC514" s="117"/>
      <c r="CH514" s="2"/>
    </row>
    <row r="515" spans="1:86" x14ac:dyDescent="0.3">
      <c r="A515" s="2">
        <v>638</v>
      </c>
      <c r="B515" s="2" t="s">
        <v>0</v>
      </c>
      <c r="C515" s="2" t="s">
        <v>1</v>
      </c>
      <c r="D515" s="2" t="s">
        <v>911</v>
      </c>
      <c r="E515" s="2">
        <v>700</v>
      </c>
      <c r="F515" s="2">
        <v>1.6E-2</v>
      </c>
      <c r="G515" s="2">
        <v>1.32E-2</v>
      </c>
      <c r="H515" s="4">
        <f t="shared" si="51"/>
        <v>0.17500000000000002</v>
      </c>
      <c r="I515" s="2" t="s">
        <v>98</v>
      </c>
      <c r="J515" s="2" t="s">
        <v>912</v>
      </c>
      <c r="K515" s="2" t="s">
        <v>105</v>
      </c>
      <c r="L515" s="2" t="s">
        <v>76</v>
      </c>
      <c r="M515" s="155"/>
      <c r="N515" s="155"/>
      <c r="O515" s="2">
        <v>16</v>
      </c>
      <c r="P515" s="6">
        <v>40</v>
      </c>
      <c r="Q515" s="131">
        <f t="shared" si="52"/>
        <v>16.457142857142859</v>
      </c>
      <c r="R515" s="33">
        <f t="shared" si="57"/>
        <v>40</v>
      </c>
      <c r="S515" s="132">
        <f t="shared" si="54"/>
        <v>5</v>
      </c>
      <c r="T515" s="132">
        <f t="shared" si="55"/>
        <v>5</v>
      </c>
      <c r="V515" s="131" t="str">
        <f t="shared" si="56"/>
        <v/>
      </c>
      <c r="W515" s="17"/>
      <c r="X515" s="7"/>
      <c r="Y515" s="161"/>
      <c r="Z515" s="7"/>
      <c r="AA515" s="117"/>
      <c r="AB515" s="117"/>
      <c r="AC515" s="117"/>
      <c r="CH515" s="2"/>
    </row>
    <row r="516" spans="1:86" x14ac:dyDescent="0.3">
      <c r="A516" s="2">
        <v>643</v>
      </c>
      <c r="B516" s="2" t="s">
        <v>0</v>
      </c>
      <c r="C516" s="2" t="s">
        <v>1</v>
      </c>
      <c r="D516" s="2" t="s">
        <v>913</v>
      </c>
      <c r="E516" s="2">
        <v>7000</v>
      </c>
      <c r="F516" s="2">
        <v>3.5999999999999999E-3</v>
      </c>
      <c r="G516" s="2">
        <v>2.5999999999999999E-3</v>
      </c>
      <c r="H516" s="4">
        <f t="shared" si="51"/>
        <v>0.27777777777777779</v>
      </c>
      <c r="I516" s="2" t="s">
        <v>98</v>
      </c>
      <c r="J516" s="2" t="s">
        <v>418</v>
      </c>
      <c r="K516" s="2" t="s">
        <v>222</v>
      </c>
      <c r="L516" s="2" t="s">
        <v>76</v>
      </c>
      <c r="M516" s="155"/>
      <c r="N516" s="155"/>
      <c r="O516" s="2">
        <v>60</v>
      </c>
      <c r="P516" s="6">
        <v>7</v>
      </c>
      <c r="Q516" s="131">
        <f t="shared" si="52"/>
        <v>35.265306122448983</v>
      </c>
      <c r="R516" s="33">
        <f t="shared" si="57"/>
        <v>6.9999999999999991</v>
      </c>
      <c r="S516" s="132">
        <f t="shared" si="54"/>
        <v>0.87499999999999989</v>
      </c>
      <c r="T516" s="132">
        <f t="shared" si="55"/>
        <v>0.87499999999999989</v>
      </c>
      <c r="V516" s="131" t="str">
        <f t="shared" si="56"/>
        <v/>
      </c>
      <c r="W516" s="17"/>
      <c r="X516" s="7"/>
      <c r="Y516" s="161"/>
      <c r="Z516" s="7"/>
      <c r="AA516" s="117"/>
      <c r="AB516" s="117"/>
      <c r="AC516" s="117"/>
      <c r="CH516" s="2"/>
    </row>
    <row r="517" spans="1:86" x14ac:dyDescent="0.3">
      <c r="A517" s="2">
        <v>644</v>
      </c>
      <c r="B517" s="2" t="s">
        <v>84</v>
      </c>
      <c r="C517" s="2" t="s">
        <v>1</v>
      </c>
      <c r="D517" s="2" t="s">
        <v>914</v>
      </c>
      <c r="E517" s="2">
        <v>850</v>
      </c>
      <c r="F517" s="2">
        <v>7.7999999999999996E-3</v>
      </c>
      <c r="G517" s="2">
        <v>6.3E-3</v>
      </c>
      <c r="H517" s="4">
        <f t="shared" si="51"/>
        <v>0.19230769230769226</v>
      </c>
      <c r="I517" s="2" t="s">
        <v>82</v>
      </c>
      <c r="J517" s="2" t="s">
        <v>600</v>
      </c>
      <c r="K517" s="2" t="s">
        <v>222</v>
      </c>
      <c r="L517" s="2" t="s">
        <v>76</v>
      </c>
      <c r="M517" s="155"/>
      <c r="N517" s="155"/>
      <c r="O517" s="2">
        <v>25</v>
      </c>
      <c r="P517" s="6"/>
      <c r="Q517" s="131" t="str">
        <f t="shared" si="52"/>
        <v/>
      </c>
      <c r="R517" s="33" t="str">
        <f t="shared" si="57"/>
        <v/>
      </c>
      <c r="S517" s="132" t="str">
        <f t="shared" si="54"/>
        <v/>
      </c>
      <c r="T517" s="132" t="str">
        <f t="shared" si="55"/>
        <v/>
      </c>
      <c r="V517" s="131" t="str">
        <f t="shared" si="56"/>
        <v/>
      </c>
      <c r="W517" s="17"/>
      <c r="X517" s="7"/>
      <c r="Y517" s="161"/>
      <c r="Z517" s="7"/>
      <c r="AA517" s="117"/>
      <c r="AB517" s="117"/>
      <c r="AC517" s="117"/>
      <c r="CH517" s="2"/>
    </row>
    <row r="518" spans="1:86" x14ac:dyDescent="0.3">
      <c r="A518" s="2">
        <v>646</v>
      </c>
      <c r="B518" s="2" t="s">
        <v>0</v>
      </c>
      <c r="C518" s="2" t="s">
        <v>1</v>
      </c>
      <c r="D518" s="2" t="s">
        <v>915</v>
      </c>
      <c r="E518" s="2">
        <v>2500</v>
      </c>
      <c r="F518" s="2">
        <v>9.7999999999999997E-3</v>
      </c>
      <c r="G518" s="2">
        <v>6.8999999999999999E-3</v>
      </c>
      <c r="H518" s="4">
        <f t="shared" si="51"/>
        <v>0.29591836734693877</v>
      </c>
      <c r="I518" s="2" t="s">
        <v>98</v>
      </c>
      <c r="J518" s="2" t="s">
        <v>670</v>
      </c>
      <c r="K518" s="2" t="s">
        <v>105</v>
      </c>
      <c r="L518" s="2" t="s">
        <v>76</v>
      </c>
      <c r="M518" s="155"/>
      <c r="N518" s="155"/>
      <c r="O518" s="2">
        <v>27</v>
      </c>
      <c r="P518" s="6">
        <v>20</v>
      </c>
      <c r="Q518" s="131">
        <f t="shared" si="52"/>
        <v>15.552000000000001</v>
      </c>
      <c r="R518" s="33">
        <f t="shared" si="57"/>
        <v>20</v>
      </c>
      <c r="S518" s="132">
        <f t="shared" si="54"/>
        <v>2.5</v>
      </c>
      <c r="T518" s="132">
        <f t="shared" si="55"/>
        <v>2.5</v>
      </c>
      <c r="V518" s="131" t="str">
        <f t="shared" si="56"/>
        <v/>
      </c>
      <c r="W518" s="17"/>
      <c r="X518" s="7"/>
      <c r="Y518" s="161"/>
      <c r="Z518" s="7"/>
      <c r="AA518" s="117"/>
      <c r="AB518" s="117"/>
      <c r="AC518" s="117"/>
      <c r="CH518" s="2"/>
    </row>
    <row r="519" spans="1:86" x14ac:dyDescent="0.3">
      <c r="A519" s="2">
        <v>651</v>
      </c>
      <c r="B519" s="2" t="s">
        <v>0</v>
      </c>
      <c r="C519" s="2" t="s">
        <v>1</v>
      </c>
      <c r="D519" s="2" t="s">
        <v>916</v>
      </c>
      <c r="E519" s="2">
        <v>35</v>
      </c>
      <c r="F519" s="2">
        <v>0.30859999999999999</v>
      </c>
      <c r="G519" s="2">
        <v>0.21</v>
      </c>
      <c r="H519" s="4">
        <f t="shared" si="51"/>
        <v>0.31950745301360983</v>
      </c>
      <c r="I519" s="2" t="s">
        <v>98</v>
      </c>
      <c r="J519" s="2" t="s">
        <v>917</v>
      </c>
      <c r="K519" s="2" t="s">
        <v>222</v>
      </c>
      <c r="L519" s="2" t="s">
        <v>76</v>
      </c>
      <c r="M519" s="155"/>
      <c r="N519" s="155"/>
      <c r="O519" s="2">
        <v>2</v>
      </c>
      <c r="P519" s="6">
        <v>40</v>
      </c>
      <c r="Q519" s="131">
        <f t="shared" si="52"/>
        <v>41.142857142857146</v>
      </c>
      <c r="R519" s="33">
        <f t="shared" si="57"/>
        <v>40</v>
      </c>
      <c r="S519" s="132">
        <f t="shared" si="54"/>
        <v>5</v>
      </c>
      <c r="T519" s="132">
        <f t="shared" si="55"/>
        <v>5</v>
      </c>
      <c r="V519" s="131" t="str">
        <f t="shared" si="56"/>
        <v/>
      </c>
      <c r="W519" s="17"/>
      <c r="X519" s="7"/>
      <c r="Y519" s="161"/>
      <c r="Z519" s="7"/>
      <c r="AA519" s="117"/>
      <c r="AB519" s="117"/>
      <c r="AC519" s="117"/>
      <c r="CH519" s="2"/>
    </row>
    <row r="520" spans="1:86" x14ac:dyDescent="0.3">
      <c r="A520" s="2">
        <v>652</v>
      </c>
      <c r="B520" s="2" t="s">
        <v>0</v>
      </c>
      <c r="C520" s="2" t="s">
        <v>1</v>
      </c>
      <c r="D520" s="2" t="s">
        <v>918</v>
      </c>
      <c r="E520" s="2">
        <v>105</v>
      </c>
      <c r="F520" s="2">
        <v>0.14949999999999999</v>
      </c>
      <c r="G520" s="2">
        <v>0.1235</v>
      </c>
      <c r="H520" s="4">
        <f t="shared" si="51"/>
        <v>0.17391304347826084</v>
      </c>
      <c r="I520" s="2" t="s">
        <v>82</v>
      </c>
      <c r="J520" s="2" t="s">
        <v>579</v>
      </c>
      <c r="K520" s="2" t="s">
        <v>222</v>
      </c>
      <c r="L520" s="2" t="s">
        <v>76</v>
      </c>
      <c r="M520" s="155"/>
      <c r="N520" s="155"/>
      <c r="O520" s="2">
        <v>2</v>
      </c>
      <c r="P520" s="6">
        <v>20</v>
      </c>
      <c r="Q520" s="131">
        <f t="shared" si="52"/>
        <v>27.428571428571427</v>
      </c>
      <c r="R520" s="33">
        <f t="shared" si="57"/>
        <v>20</v>
      </c>
      <c r="S520" s="132">
        <f t="shared" si="54"/>
        <v>2.5</v>
      </c>
      <c r="T520" s="132">
        <f t="shared" si="55"/>
        <v>2.5</v>
      </c>
      <c r="V520" s="131" t="str">
        <f t="shared" si="56"/>
        <v/>
      </c>
      <c r="W520" s="17"/>
      <c r="X520" s="7"/>
      <c r="Y520" s="161"/>
      <c r="Z520" s="7"/>
      <c r="AA520" s="117"/>
      <c r="AB520" s="117"/>
      <c r="AC520" s="117"/>
      <c r="CH520" s="2"/>
    </row>
    <row r="521" spans="1:86" x14ac:dyDescent="0.3">
      <c r="A521" s="2">
        <v>658</v>
      </c>
      <c r="B521" s="2" t="s">
        <v>84</v>
      </c>
      <c r="C521" s="2" t="s">
        <v>1</v>
      </c>
      <c r="D521" s="2" t="s">
        <v>919</v>
      </c>
      <c r="E521" s="2">
        <v>1800</v>
      </c>
      <c r="F521" s="2">
        <v>1.2500000000000001E-2</v>
      </c>
      <c r="G521" s="2">
        <v>1.04E-2</v>
      </c>
      <c r="H521" s="4">
        <f t="shared" si="51"/>
        <v>0.16800000000000009</v>
      </c>
      <c r="I521" s="2" t="s">
        <v>98</v>
      </c>
      <c r="J521" s="2" t="s">
        <v>412</v>
      </c>
      <c r="K521" s="2" t="s">
        <v>105</v>
      </c>
      <c r="L521" s="2" t="s">
        <v>76</v>
      </c>
      <c r="M521" s="155"/>
      <c r="N521" s="155"/>
      <c r="O521" s="2">
        <v>24</v>
      </c>
      <c r="P521" s="6">
        <v>14</v>
      </c>
      <c r="Q521" s="131">
        <f t="shared" si="52"/>
        <v>27.428571428571427</v>
      </c>
      <c r="R521" s="33">
        <f t="shared" si="57"/>
        <v>14</v>
      </c>
      <c r="S521" s="132">
        <f t="shared" si="54"/>
        <v>1.75</v>
      </c>
      <c r="T521" s="132">
        <f t="shared" si="55"/>
        <v>1.75</v>
      </c>
      <c r="V521" s="131" t="str">
        <f t="shared" si="56"/>
        <v/>
      </c>
      <c r="W521" s="17"/>
      <c r="X521" s="7"/>
      <c r="Y521" s="161"/>
      <c r="Z521" s="7"/>
      <c r="AA521" s="117"/>
      <c r="AB521" s="117"/>
      <c r="AC521" s="117"/>
      <c r="CH521" s="2"/>
    </row>
    <row r="522" spans="1:86" x14ac:dyDescent="0.3">
      <c r="A522" s="2">
        <v>659</v>
      </c>
      <c r="B522" s="2" t="s">
        <v>84</v>
      </c>
      <c r="C522" s="2" t="s">
        <v>1</v>
      </c>
      <c r="D522" s="2" t="s">
        <v>920</v>
      </c>
      <c r="E522" s="2">
        <v>1800</v>
      </c>
      <c r="F522" s="2">
        <v>1.24E-2</v>
      </c>
      <c r="G522" s="2">
        <v>1.04E-2</v>
      </c>
      <c r="H522" s="4">
        <f t="shared" si="51"/>
        <v>0.16129032258064516</v>
      </c>
      <c r="I522" s="2" t="s">
        <v>98</v>
      </c>
      <c r="J522" s="2" t="s">
        <v>412</v>
      </c>
      <c r="K522" s="2" t="s">
        <v>105</v>
      </c>
      <c r="L522" s="2" t="s">
        <v>76</v>
      </c>
      <c r="M522" s="155"/>
      <c r="N522" s="155"/>
      <c r="O522" s="2">
        <v>24</v>
      </c>
      <c r="P522" s="6">
        <v>14</v>
      </c>
      <c r="Q522" s="131">
        <f t="shared" si="52"/>
        <v>27.428571428571427</v>
      </c>
      <c r="R522" s="33">
        <f t="shared" si="57"/>
        <v>14</v>
      </c>
      <c r="S522" s="132">
        <f t="shared" si="54"/>
        <v>1.75</v>
      </c>
      <c r="T522" s="132">
        <f t="shared" si="55"/>
        <v>1.75</v>
      </c>
      <c r="V522" s="131" t="str">
        <f t="shared" si="56"/>
        <v/>
      </c>
      <c r="W522" s="17"/>
      <c r="X522" s="7"/>
      <c r="Y522" s="161"/>
      <c r="Z522" s="7"/>
      <c r="AA522" s="117"/>
      <c r="AB522" s="117"/>
      <c r="AC522" s="117"/>
      <c r="CH522" s="2"/>
    </row>
    <row r="523" spans="1:86" x14ac:dyDescent="0.3">
      <c r="A523" s="2">
        <v>660</v>
      </c>
      <c r="B523" s="2" t="s">
        <v>84</v>
      </c>
      <c r="C523" s="2" t="s">
        <v>1</v>
      </c>
      <c r="D523" s="2" t="s">
        <v>921</v>
      </c>
      <c r="E523" s="2">
        <v>1300</v>
      </c>
      <c r="F523" s="2">
        <v>1.6400000000000001E-2</v>
      </c>
      <c r="G523" s="2">
        <v>1.2500000000000001E-2</v>
      </c>
      <c r="H523" s="4">
        <f t="shared" si="51"/>
        <v>0.2378048780487805</v>
      </c>
      <c r="I523" s="2" t="s">
        <v>98</v>
      </c>
      <c r="J523" s="2" t="s">
        <v>594</v>
      </c>
      <c r="K523" s="2"/>
      <c r="L523" s="2"/>
      <c r="M523" s="155"/>
      <c r="N523" s="155"/>
      <c r="O523" s="2">
        <v>24</v>
      </c>
      <c r="P523" s="6">
        <v>15</v>
      </c>
      <c r="Q523" s="131">
        <f t="shared" si="52"/>
        <v>35.446153846153848</v>
      </c>
      <c r="R523" s="33">
        <f t="shared" si="57"/>
        <v>15</v>
      </c>
      <c r="S523" s="132">
        <f t="shared" si="54"/>
        <v>1.875</v>
      </c>
      <c r="T523" s="132">
        <f t="shared" si="55"/>
        <v>1.875</v>
      </c>
      <c r="V523" s="131" t="str">
        <f t="shared" si="56"/>
        <v/>
      </c>
      <c r="W523" s="17"/>
      <c r="X523" s="7"/>
      <c r="Y523" s="161"/>
      <c r="Z523" s="7"/>
      <c r="AA523" s="117"/>
      <c r="AB523" s="117"/>
      <c r="AC523" s="117"/>
      <c r="CH523" s="2"/>
    </row>
    <row r="524" spans="1:86" x14ac:dyDescent="0.3">
      <c r="A524" s="2">
        <v>661</v>
      </c>
      <c r="B524" s="2" t="s">
        <v>84</v>
      </c>
      <c r="C524" s="2" t="s">
        <v>1</v>
      </c>
      <c r="D524" s="2" t="s">
        <v>922</v>
      </c>
      <c r="E524" s="2">
        <v>1800</v>
      </c>
      <c r="F524" s="2">
        <v>1.24E-2</v>
      </c>
      <c r="G524" s="2">
        <v>1.04E-2</v>
      </c>
      <c r="H524" s="4">
        <f t="shared" si="51"/>
        <v>0.16129032258064516</v>
      </c>
      <c r="I524" s="2" t="s">
        <v>98</v>
      </c>
      <c r="J524" s="2" t="s">
        <v>412</v>
      </c>
      <c r="K524" s="2" t="s">
        <v>105</v>
      </c>
      <c r="L524" s="2" t="s">
        <v>76</v>
      </c>
      <c r="M524" s="155"/>
      <c r="N524" s="155"/>
      <c r="O524" s="2">
        <v>24</v>
      </c>
      <c r="P524" s="6">
        <v>14</v>
      </c>
      <c r="Q524" s="131">
        <f t="shared" si="52"/>
        <v>27.428571428571427</v>
      </c>
      <c r="R524" s="33">
        <f t="shared" si="57"/>
        <v>14</v>
      </c>
      <c r="S524" s="132">
        <f t="shared" si="54"/>
        <v>1.75</v>
      </c>
      <c r="T524" s="132">
        <f t="shared" si="55"/>
        <v>1.75</v>
      </c>
      <c r="V524" s="131" t="str">
        <f t="shared" si="56"/>
        <v/>
      </c>
      <c r="W524" s="17"/>
      <c r="X524" s="7"/>
      <c r="Y524" s="161"/>
      <c r="Z524" s="7"/>
      <c r="AA524" s="117"/>
      <c r="AB524" s="117"/>
      <c r="AC524" s="117"/>
      <c r="CH524" s="2"/>
    </row>
    <row r="525" spans="1:86" x14ac:dyDescent="0.3">
      <c r="A525" s="2">
        <v>662</v>
      </c>
      <c r="B525" s="2" t="s">
        <v>84</v>
      </c>
      <c r="C525" s="2" t="s">
        <v>1</v>
      </c>
      <c r="D525" s="2" t="s">
        <v>923</v>
      </c>
      <c r="E525" s="2">
        <v>1700</v>
      </c>
      <c r="F525" s="2">
        <v>1.24E-2</v>
      </c>
      <c r="G525" s="2">
        <v>1.04E-2</v>
      </c>
      <c r="H525" s="4">
        <f t="shared" si="51"/>
        <v>0.16129032258064516</v>
      </c>
      <c r="I525" s="2" t="s">
        <v>98</v>
      </c>
      <c r="J525" s="2" t="s">
        <v>412</v>
      </c>
      <c r="K525" s="2" t="s">
        <v>105</v>
      </c>
      <c r="L525" s="2" t="s">
        <v>76</v>
      </c>
      <c r="M525" s="155"/>
      <c r="N525" s="155"/>
      <c r="O525" s="2">
        <v>20</v>
      </c>
      <c r="P525" s="6">
        <v>28</v>
      </c>
      <c r="Q525" s="131">
        <f t="shared" si="52"/>
        <v>12.100840336134453</v>
      </c>
      <c r="R525" s="33">
        <f t="shared" si="57"/>
        <v>28</v>
      </c>
      <c r="S525" s="132">
        <f t="shared" si="54"/>
        <v>3.5</v>
      </c>
      <c r="T525" s="132">
        <f t="shared" si="55"/>
        <v>3.5</v>
      </c>
      <c r="V525" s="131" t="str">
        <f t="shared" si="56"/>
        <v/>
      </c>
      <c r="W525" s="17"/>
      <c r="X525" s="7"/>
      <c r="Y525" s="161"/>
      <c r="Z525" s="7"/>
      <c r="AA525" s="117"/>
      <c r="AB525" s="117"/>
      <c r="AC525" s="117"/>
      <c r="CH525" s="2"/>
    </row>
    <row r="526" spans="1:86" x14ac:dyDescent="0.3">
      <c r="A526" s="2">
        <v>663</v>
      </c>
      <c r="B526" s="2" t="s">
        <v>84</v>
      </c>
      <c r="C526" s="2" t="s">
        <v>1</v>
      </c>
      <c r="D526" s="2" t="s">
        <v>924</v>
      </c>
      <c r="E526" s="2">
        <v>2000</v>
      </c>
      <c r="F526" s="2">
        <v>1.2200000000000001E-2</v>
      </c>
      <c r="G526" s="2">
        <v>1.04E-2</v>
      </c>
      <c r="H526" s="4">
        <f t="shared" si="51"/>
        <v>0.14754098360655746</v>
      </c>
      <c r="I526" s="2" t="s">
        <v>98</v>
      </c>
      <c r="J526" s="2" t="s">
        <v>412</v>
      </c>
      <c r="K526" s="2" t="s">
        <v>105</v>
      </c>
      <c r="L526" s="2" t="s">
        <v>76</v>
      </c>
      <c r="M526" s="155"/>
      <c r="N526" s="155"/>
      <c r="O526" s="2">
        <v>24</v>
      </c>
      <c r="P526" s="6"/>
      <c r="Q526" s="131" t="str">
        <f t="shared" si="52"/>
        <v/>
      </c>
      <c r="R526" s="33" t="str">
        <f t="shared" si="57"/>
        <v/>
      </c>
      <c r="S526" s="132" t="str">
        <f t="shared" si="54"/>
        <v/>
      </c>
      <c r="T526" s="132" t="str">
        <f t="shared" si="55"/>
        <v/>
      </c>
      <c r="V526" s="131" t="str">
        <f t="shared" si="56"/>
        <v/>
      </c>
      <c r="W526" s="17"/>
      <c r="X526" s="7"/>
      <c r="Y526" s="161"/>
      <c r="Z526" s="7"/>
      <c r="AA526" s="117"/>
      <c r="AB526" s="117"/>
      <c r="AC526" s="117"/>
      <c r="CH526" s="2"/>
    </row>
    <row r="527" spans="1:86" x14ac:dyDescent="0.3">
      <c r="A527" s="2">
        <v>671</v>
      </c>
      <c r="B527" s="2" t="s">
        <v>0</v>
      </c>
      <c r="C527" s="2" t="s">
        <v>1</v>
      </c>
      <c r="D527" s="2" t="s">
        <v>925</v>
      </c>
      <c r="E527" s="2">
        <v>4000</v>
      </c>
      <c r="F527" s="2">
        <v>5.7000000000000002E-3</v>
      </c>
      <c r="G527" s="2">
        <v>4.0000000000000001E-3</v>
      </c>
      <c r="H527" s="4">
        <f t="shared" si="51"/>
        <v>0.2982456140350877</v>
      </c>
      <c r="I527" s="2" t="s">
        <v>98</v>
      </c>
      <c r="J527" s="2" t="s">
        <v>393</v>
      </c>
      <c r="K527" s="2" t="s">
        <v>105</v>
      </c>
      <c r="L527" s="2" t="s">
        <v>76</v>
      </c>
      <c r="M527" s="155"/>
      <c r="N527" s="155"/>
      <c r="O527" s="2">
        <v>27</v>
      </c>
      <c r="P527" s="6">
        <v>20</v>
      </c>
      <c r="Q527" s="131">
        <f t="shared" si="52"/>
        <v>9.7200000000000006</v>
      </c>
      <c r="R527" s="33">
        <f t="shared" si="57"/>
        <v>20</v>
      </c>
      <c r="S527" s="132">
        <f t="shared" si="54"/>
        <v>2.5</v>
      </c>
      <c r="T527" s="132">
        <f t="shared" si="55"/>
        <v>2.5</v>
      </c>
      <c r="V527" s="131" t="str">
        <f t="shared" si="56"/>
        <v/>
      </c>
      <c r="W527" s="17"/>
      <c r="X527" s="7"/>
      <c r="Y527" s="161"/>
      <c r="Z527" s="7"/>
      <c r="AA527" s="117"/>
      <c r="AB527" s="117"/>
      <c r="AC527" s="117"/>
      <c r="CH527" s="2"/>
    </row>
    <row r="528" spans="1:86" x14ac:dyDescent="0.3">
      <c r="A528" s="2">
        <v>672</v>
      </c>
      <c r="B528" s="2" t="s">
        <v>0</v>
      </c>
      <c r="C528" s="2" t="s">
        <v>1</v>
      </c>
      <c r="D528" s="2" t="s">
        <v>926</v>
      </c>
      <c r="E528" s="2">
        <v>2000</v>
      </c>
      <c r="F528" s="2">
        <v>9.9000000000000008E-3</v>
      </c>
      <c r="G528" s="2">
        <v>7.0000000000000001E-3</v>
      </c>
      <c r="H528" s="4">
        <f t="shared" si="51"/>
        <v>0.29292929292929298</v>
      </c>
      <c r="I528" s="2" t="s">
        <v>98</v>
      </c>
      <c r="J528" s="2" t="s">
        <v>99</v>
      </c>
      <c r="K528" s="2" t="s">
        <v>105</v>
      </c>
      <c r="L528" s="2" t="s">
        <v>76</v>
      </c>
      <c r="M528" s="155"/>
      <c r="N528" s="155"/>
      <c r="O528" s="2">
        <v>27</v>
      </c>
      <c r="P528" s="6">
        <v>20</v>
      </c>
      <c r="Q528" s="131">
        <f t="shared" si="52"/>
        <v>19.440000000000001</v>
      </c>
      <c r="R528" s="33">
        <f t="shared" si="57"/>
        <v>20</v>
      </c>
      <c r="S528" s="132">
        <f t="shared" si="54"/>
        <v>2.5</v>
      </c>
      <c r="T528" s="132">
        <f t="shared" si="55"/>
        <v>2.5</v>
      </c>
      <c r="V528" s="131" t="str">
        <f t="shared" si="56"/>
        <v/>
      </c>
      <c r="W528" s="17"/>
      <c r="X528" s="7"/>
      <c r="Y528" s="161"/>
      <c r="Z528" s="7"/>
      <c r="AA528" s="117"/>
      <c r="AB528" s="117"/>
      <c r="AC528" s="117"/>
      <c r="CH528" s="2"/>
    </row>
    <row r="529" spans="1:86" x14ac:dyDescent="0.3">
      <c r="A529" s="23">
        <v>673</v>
      </c>
      <c r="B529" s="2" t="s">
        <v>0</v>
      </c>
      <c r="C529" s="2" t="s">
        <v>1</v>
      </c>
      <c r="D529" s="2" t="s">
        <v>927</v>
      </c>
      <c r="E529" s="2">
        <v>2000</v>
      </c>
      <c r="F529" s="2">
        <v>8.6E-3</v>
      </c>
      <c r="G529" s="2">
        <v>6.6E-3</v>
      </c>
      <c r="H529" s="4">
        <f t="shared" si="51"/>
        <v>0.23255813953488372</v>
      </c>
      <c r="I529" s="2" t="s">
        <v>82</v>
      </c>
      <c r="J529" s="2" t="s">
        <v>107</v>
      </c>
      <c r="K529" s="2" t="s">
        <v>105</v>
      </c>
      <c r="L529" s="2" t="s">
        <v>76</v>
      </c>
      <c r="M529" s="155"/>
      <c r="N529" s="155"/>
      <c r="O529" s="2">
        <v>27</v>
      </c>
      <c r="P529" s="6">
        <v>20</v>
      </c>
      <c r="Q529" s="131">
        <f t="shared" si="52"/>
        <v>19.440000000000001</v>
      </c>
      <c r="R529" s="33">
        <f t="shared" si="57"/>
        <v>20</v>
      </c>
      <c r="S529" s="132">
        <f t="shared" si="54"/>
        <v>2.5</v>
      </c>
      <c r="T529" s="132">
        <f t="shared" si="55"/>
        <v>2.5</v>
      </c>
      <c r="V529" s="131">
        <f t="shared" si="56"/>
        <v>10.231578947368421</v>
      </c>
      <c r="W529" s="17">
        <v>38</v>
      </c>
      <c r="X529" s="8">
        <f>60*60*8/W529</f>
        <v>757.89473684210532</v>
      </c>
      <c r="Y529" s="161">
        <v>45323</v>
      </c>
      <c r="Z529" s="7" t="s">
        <v>704</v>
      </c>
      <c r="AA529" s="117"/>
      <c r="AB529" s="117"/>
      <c r="AC529" s="117"/>
      <c r="CH529" s="2"/>
    </row>
    <row r="530" spans="1:86" x14ac:dyDescent="0.3">
      <c r="A530" s="2">
        <v>675</v>
      </c>
      <c r="B530" s="2" t="s">
        <v>0</v>
      </c>
      <c r="C530" s="2" t="s">
        <v>1</v>
      </c>
      <c r="D530" s="2" t="s">
        <v>928</v>
      </c>
      <c r="E530" s="2">
        <v>2000</v>
      </c>
      <c r="F530" s="2">
        <v>1.0800000000000001E-2</v>
      </c>
      <c r="G530" s="2">
        <v>9.4000000000000004E-3</v>
      </c>
      <c r="H530" s="4">
        <f t="shared" si="51"/>
        <v>0.12962962962962965</v>
      </c>
      <c r="I530" s="2" t="s">
        <v>98</v>
      </c>
      <c r="J530" s="2" t="s">
        <v>393</v>
      </c>
      <c r="K530" s="2" t="s">
        <v>105</v>
      </c>
      <c r="L530" s="2" t="s">
        <v>76</v>
      </c>
      <c r="M530" s="155"/>
      <c r="N530" s="155"/>
      <c r="O530" s="2">
        <v>15</v>
      </c>
      <c r="P530" s="6">
        <v>20</v>
      </c>
      <c r="Q530" s="131">
        <f t="shared" si="52"/>
        <v>10.8</v>
      </c>
      <c r="R530" s="33">
        <f t="shared" si="57"/>
        <v>20</v>
      </c>
      <c r="S530" s="132">
        <f t="shared" si="54"/>
        <v>2.5</v>
      </c>
      <c r="T530" s="132">
        <f t="shared" si="55"/>
        <v>2.5</v>
      </c>
      <c r="V530" s="131" t="str">
        <f t="shared" si="56"/>
        <v/>
      </c>
      <c r="W530" s="17"/>
      <c r="X530" s="7"/>
      <c r="Y530" s="161"/>
      <c r="Z530" s="7"/>
      <c r="AA530" s="117"/>
      <c r="AB530" s="117"/>
      <c r="AC530" s="117"/>
      <c r="CH530" s="2"/>
    </row>
    <row r="531" spans="1:86" x14ac:dyDescent="0.3">
      <c r="A531" s="2">
        <v>676</v>
      </c>
      <c r="B531" s="2" t="s">
        <v>84</v>
      </c>
      <c r="C531" s="2" t="s">
        <v>1</v>
      </c>
      <c r="D531" s="2" t="s">
        <v>929</v>
      </c>
      <c r="E531" s="2">
        <v>2000</v>
      </c>
      <c r="F531" s="2">
        <v>1.03E-2</v>
      </c>
      <c r="G531" s="2">
        <v>7.9000000000000008E-3</v>
      </c>
      <c r="H531" s="4">
        <f t="shared" si="51"/>
        <v>0.233009708737864</v>
      </c>
      <c r="I531" s="2" t="s">
        <v>82</v>
      </c>
      <c r="J531" s="2" t="s">
        <v>930</v>
      </c>
      <c r="K531" s="2" t="s">
        <v>105</v>
      </c>
      <c r="L531" s="2" t="s">
        <v>76</v>
      </c>
      <c r="M531" s="155"/>
      <c r="N531" s="155"/>
      <c r="O531" s="2">
        <v>27</v>
      </c>
      <c r="P531" s="6"/>
      <c r="Q531" s="131" t="str">
        <f t="shared" si="52"/>
        <v/>
      </c>
      <c r="R531" s="33" t="str">
        <f t="shared" si="57"/>
        <v/>
      </c>
      <c r="S531" s="132" t="str">
        <f t="shared" si="54"/>
        <v/>
      </c>
      <c r="T531" s="132" t="str">
        <f t="shared" si="55"/>
        <v/>
      </c>
      <c r="V531" s="131" t="str">
        <f t="shared" si="56"/>
        <v/>
      </c>
      <c r="W531" s="17"/>
      <c r="X531" s="7"/>
      <c r="Y531" s="161"/>
      <c r="Z531" s="7"/>
      <c r="AA531" s="117"/>
      <c r="AB531" s="117"/>
      <c r="AC531" s="117"/>
      <c r="CH531" s="2"/>
    </row>
    <row r="532" spans="1:86" x14ac:dyDescent="0.3">
      <c r="A532" s="2">
        <v>677</v>
      </c>
      <c r="B532" s="2" t="s">
        <v>0</v>
      </c>
      <c r="C532" s="2" t="s">
        <v>1</v>
      </c>
      <c r="D532" s="2" t="s">
        <v>931</v>
      </c>
      <c r="E532" s="2">
        <v>3000</v>
      </c>
      <c r="F532" s="2">
        <v>6.7000000000000002E-3</v>
      </c>
      <c r="G532" s="2">
        <v>5.7999999999999996E-3</v>
      </c>
      <c r="H532" s="4">
        <f t="shared" si="51"/>
        <v>0.13432835820895531</v>
      </c>
      <c r="I532" s="2" t="s">
        <v>98</v>
      </c>
      <c r="J532" s="2" t="s">
        <v>575</v>
      </c>
      <c r="K532" s="2" t="s">
        <v>222</v>
      </c>
      <c r="L532" s="2" t="s">
        <v>76</v>
      </c>
      <c r="M532" s="155"/>
      <c r="N532" s="155"/>
      <c r="O532" s="2">
        <v>25</v>
      </c>
      <c r="P532" s="6">
        <v>20</v>
      </c>
      <c r="Q532" s="131">
        <f t="shared" si="52"/>
        <v>12</v>
      </c>
      <c r="R532" s="33">
        <f t="shared" si="57"/>
        <v>20</v>
      </c>
      <c r="S532" s="132">
        <f t="shared" si="54"/>
        <v>2.5</v>
      </c>
      <c r="T532" s="132">
        <f t="shared" si="55"/>
        <v>2.5</v>
      </c>
      <c r="V532" s="131" t="str">
        <f t="shared" si="56"/>
        <v/>
      </c>
      <c r="W532" s="17"/>
      <c r="X532" s="7"/>
      <c r="Y532" s="161"/>
      <c r="Z532" s="7"/>
      <c r="AA532" s="117"/>
      <c r="AB532" s="117"/>
      <c r="AC532" s="117"/>
      <c r="CH532" s="2"/>
    </row>
    <row r="533" spans="1:86" x14ac:dyDescent="0.3">
      <c r="A533" s="2">
        <v>678</v>
      </c>
      <c r="B533" s="2" t="s">
        <v>0</v>
      </c>
      <c r="C533" s="2" t="s">
        <v>1</v>
      </c>
      <c r="D533" s="2" t="s">
        <v>932</v>
      </c>
      <c r="E533" s="2">
        <v>3000</v>
      </c>
      <c r="F533" s="2">
        <v>6.7000000000000002E-3</v>
      </c>
      <c r="G533" s="2">
        <v>5.7999999999999996E-3</v>
      </c>
      <c r="H533" s="4">
        <f t="shared" si="51"/>
        <v>0.13432835820895531</v>
      </c>
      <c r="I533" s="2" t="s">
        <v>98</v>
      </c>
      <c r="J533" s="2" t="s">
        <v>575</v>
      </c>
      <c r="K533" s="2" t="s">
        <v>222</v>
      </c>
      <c r="L533" s="2" t="s">
        <v>76</v>
      </c>
      <c r="M533" s="155"/>
      <c r="N533" s="155"/>
      <c r="O533" s="2">
        <v>25</v>
      </c>
      <c r="P533" s="6">
        <v>18</v>
      </c>
      <c r="Q533" s="131">
        <f t="shared" si="52"/>
        <v>13.333333333333334</v>
      </c>
      <c r="R533" s="33">
        <f t="shared" si="57"/>
        <v>18</v>
      </c>
      <c r="S533" s="132">
        <f t="shared" si="54"/>
        <v>2.25</v>
      </c>
      <c r="T533" s="132">
        <f t="shared" si="55"/>
        <v>2.25</v>
      </c>
      <c r="V533" s="131" t="str">
        <f t="shared" si="56"/>
        <v/>
      </c>
      <c r="W533" s="17"/>
      <c r="X533" s="7"/>
      <c r="Y533" s="161"/>
      <c r="Z533" s="7"/>
      <c r="AA533" s="117"/>
      <c r="AB533" s="117"/>
      <c r="AC533" s="117"/>
      <c r="CH533" s="2"/>
    </row>
    <row r="534" spans="1:86" x14ac:dyDescent="0.3">
      <c r="A534" s="2">
        <v>679</v>
      </c>
      <c r="B534" s="2" t="s">
        <v>0</v>
      </c>
      <c r="C534" s="2" t="s">
        <v>1</v>
      </c>
      <c r="D534" s="2" t="s">
        <v>933</v>
      </c>
      <c r="E534" s="2">
        <v>1800</v>
      </c>
      <c r="F534" s="2">
        <v>1.1599999999999999E-2</v>
      </c>
      <c r="G534" s="2">
        <v>1.01E-2</v>
      </c>
      <c r="H534" s="4">
        <f t="shared" si="51"/>
        <v>0.12931034482758619</v>
      </c>
      <c r="I534" s="2" t="s">
        <v>98</v>
      </c>
      <c r="J534" s="2" t="s">
        <v>683</v>
      </c>
      <c r="K534" s="2" t="s">
        <v>105</v>
      </c>
      <c r="L534" s="2" t="s">
        <v>76</v>
      </c>
      <c r="M534" s="155"/>
      <c r="N534" s="155"/>
      <c r="O534" s="2">
        <v>25</v>
      </c>
      <c r="P534" s="6">
        <v>26</v>
      </c>
      <c r="Q534" s="131">
        <f t="shared" si="52"/>
        <v>15.384615384615385</v>
      </c>
      <c r="R534" s="33">
        <f t="shared" si="57"/>
        <v>26</v>
      </c>
      <c r="S534" s="132">
        <f t="shared" si="54"/>
        <v>3.25</v>
      </c>
      <c r="T534" s="132">
        <f t="shared" si="55"/>
        <v>3.25</v>
      </c>
      <c r="V534" s="131" t="str">
        <f t="shared" si="56"/>
        <v/>
      </c>
      <c r="W534" s="17"/>
      <c r="X534" s="7"/>
      <c r="Y534" s="161"/>
      <c r="Z534" s="7"/>
      <c r="AA534" s="117"/>
      <c r="AB534" s="117"/>
      <c r="AC534" s="117"/>
      <c r="CH534" s="2"/>
    </row>
    <row r="535" spans="1:86" x14ac:dyDescent="0.3">
      <c r="A535" s="2">
        <v>681</v>
      </c>
      <c r="B535" s="2" t="s">
        <v>0</v>
      </c>
      <c r="C535" s="2" t="s">
        <v>1</v>
      </c>
      <c r="D535" s="2" t="s">
        <v>934</v>
      </c>
      <c r="E535" s="2">
        <v>1350</v>
      </c>
      <c r="F535" s="2">
        <v>1.06E-2</v>
      </c>
      <c r="G535" s="2">
        <v>7.1000000000000004E-3</v>
      </c>
      <c r="H535" s="4">
        <f t="shared" si="51"/>
        <v>0.330188679245283</v>
      </c>
      <c r="I535" s="2" t="s">
        <v>98</v>
      </c>
      <c r="J535" s="2" t="s">
        <v>935</v>
      </c>
      <c r="K535" s="2" t="s">
        <v>105</v>
      </c>
      <c r="L535" s="2" t="s">
        <v>76</v>
      </c>
      <c r="M535" s="155"/>
      <c r="N535" s="155"/>
      <c r="O535" s="2">
        <v>24</v>
      </c>
      <c r="P535" s="6">
        <v>8</v>
      </c>
      <c r="Q535" s="131">
        <f t="shared" si="52"/>
        <v>64</v>
      </c>
      <c r="R535" s="33">
        <f t="shared" si="57"/>
        <v>8</v>
      </c>
      <c r="S535" s="132">
        <f t="shared" si="54"/>
        <v>1</v>
      </c>
      <c r="T535" s="132">
        <f t="shared" si="55"/>
        <v>1</v>
      </c>
      <c r="V535" s="131" t="str">
        <f t="shared" si="56"/>
        <v/>
      </c>
      <c r="W535" s="17"/>
      <c r="X535" s="7"/>
      <c r="Y535" s="161"/>
      <c r="Z535" s="7"/>
      <c r="AA535" s="117"/>
      <c r="AB535" s="117"/>
      <c r="AC535" s="117"/>
      <c r="CH535" s="2"/>
    </row>
    <row r="536" spans="1:86" x14ac:dyDescent="0.3">
      <c r="A536" s="2">
        <v>682</v>
      </c>
      <c r="B536" s="2" t="s">
        <v>0</v>
      </c>
      <c r="C536" s="2" t="s">
        <v>1</v>
      </c>
      <c r="D536" s="2" t="s">
        <v>936</v>
      </c>
      <c r="E536" s="2">
        <v>1000</v>
      </c>
      <c r="F536" s="2">
        <v>1.06E-2</v>
      </c>
      <c r="G536" s="2">
        <v>7.1000000000000004E-3</v>
      </c>
      <c r="H536" s="4">
        <f t="shared" si="51"/>
        <v>0.330188679245283</v>
      </c>
      <c r="I536" s="2" t="s">
        <v>98</v>
      </c>
      <c r="J536" s="2" t="s">
        <v>935</v>
      </c>
      <c r="K536" s="2" t="s">
        <v>5</v>
      </c>
      <c r="L536" s="2" t="s">
        <v>6</v>
      </c>
      <c r="M536" s="155"/>
      <c r="N536" s="155"/>
      <c r="O536" s="2">
        <v>24</v>
      </c>
      <c r="P536" s="6">
        <v>14</v>
      </c>
      <c r="Q536" s="131">
        <f t="shared" si="52"/>
        <v>49.371428571428574</v>
      </c>
      <c r="R536" s="33">
        <f t="shared" si="57"/>
        <v>14</v>
      </c>
      <c r="S536" s="132">
        <f t="shared" si="54"/>
        <v>1.75</v>
      </c>
      <c r="T536" s="132">
        <f t="shared" si="55"/>
        <v>1.75</v>
      </c>
      <c r="V536" s="131" t="str">
        <f t="shared" si="56"/>
        <v/>
      </c>
      <c r="W536" s="17"/>
      <c r="X536" s="7"/>
      <c r="Y536" s="161"/>
      <c r="Z536" s="7"/>
      <c r="AA536" s="117"/>
      <c r="AB536" s="117"/>
      <c r="AC536" s="117"/>
      <c r="CH536" s="2"/>
    </row>
    <row r="537" spans="1:86" x14ac:dyDescent="0.3">
      <c r="A537" s="23">
        <v>683</v>
      </c>
      <c r="B537" s="2" t="s">
        <v>0</v>
      </c>
      <c r="C537" s="2" t="s">
        <v>1</v>
      </c>
      <c r="D537" s="2" t="s">
        <v>937</v>
      </c>
      <c r="E537" s="2">
        <v>2100</v>
      </c>
      <c r="F537" s="2">
        <v>1.0999999999999999E-2</v>
      </c>
      <c r="G537" s="2">
        <v>6.8999999999999999E-3</v>
      </c>
      <c r="H537" s="4">
        <f t="shared" si="51"/>
        <v>0.37272727272727268</v>
      </c>
      <c r="I537" s="2" t="s">
        <v>98</v>
      </c>
      <c r="J537" s="2" t="s">
        <v>938</v>
      </c>
      <c r="K537" s="2" t="s">
        <v>261</v>
      </c>
      <c r="L537" s="2" t="s">
        <v>76</v>
      </c>
      <c r="M537" s="155">
        <v>35</v>
      </c>
      <c r="N537" s="155">
        <v>60</v>
      </c>
      <c r="O537" s="2">
        <v>30</v>
      </c>
      <c r="P537" s="6">
        <v>5</v>
      </c>
      <c r="Q537" s="131">
        <f t="shared" si="52"/>
        <v>82.285714285714292</v>
      </c>
      <c r="R537" s="33">
        <f t="shared" si="57"/>
        <v>5</v>
      </c>
      <c r="S537" s="132">
        <f t="shared" si="54"/>
        <v>0.625</v>
      </c>
      <c r="T537" s="132">
        <f t="shared" si="55"/>
        <v>0.625</v>
      </c>
      <c r="V537" s="131">
        <f t="shared" si="56"/>
        <v>10.52246985750822</v>
      </c>
      <c r="W537" s="135">
        <v>39.1</v>
      </c>
      <c r="X537" s="8">
        <f>60*60*8/W537</f>
        <v>736.57289002557548</v>
      </c>
      <c r="Y537" s="161">
        <v>45504</v>
      </c>
      <c r="Z537" s="7" t="s">
        <v>7</v>
      </c>
      <c r="AA537" s="117"/>
      <c r="AB537" s="117"/>
      <c r="AC537" s="117"/>
      <c r="AD537" s="24">
        <v>45504</v>
      </c>
      <c r="AE537">
        <v>8</v>
      </c>
      <c r="AF537">
        <v>8.1999999999999993</v>
      </c>
      <c r="AH537">
        <v>3</v>
      </c>
      <c r="AI537">
        <v>1</v>
      </c>
      <c r="AJ537">
        <v>1.2</v>
      </c>
      <c r="AK537">
        <v>8</v>
      </c>
      <c r="AL537">
        <v>7.5</v>
      </c>
      <c r="AN537">
        <v>8</v>
      </c>
      <c r="AO537">
        <v>0.3</v>
      </c>
      <c r="AS537">
        <v>39.1</v>
      </c>
      <c r="AT537">
        <v>6.5</v>
      </c>
      <c r="AU537">
        <v>16</v>
      </c>
      <c r="AV537">
        <v>87.5</v>
      </c>
      <c r="AW537">
        <v>99</v>
      </c>
      <c r="AX537">
        <v>9.5</v>
      </c>
      <c r="AY537">
        <v>23.5</v>
      </c>
      <c r="AZ537">
        <v>101</v>
      </c>
      <c r="BA537">
        <v>112</v>
      </c>
      <c r="BB537">
        <v>400</v>
      </c>
      <c r="CH537" s="2"/>
    </row>
    <row r="538" spans="1:86" ht="28.8" x14ac:dyDescent="0.3">
      <c r="A538" s="23">
        <v>684</v>
      </c>
      <c r="B538" s="2" t="s">
        <v>0</v>
      </c>
      <c r="C538" s="2" t="s">
        <v>1</v>
      </c>
      <c r="D538" s="2" t="s">
        <v>939</v>
      </c>
      <c r="E538" s="2">
        <v>770</v>
      </c>
      <c r="F538" s="2">
        <v>2.5399999999999999E-2</v>
      </c>
      <c r="G538" s="2">
        <v>1.3899999999999999E-2</v>
      </c>
      <c r="H538" s="4">
        <f t="shared" si="51"/>
        <v>0.45275590551181105</v>
      </c>
      <c r="I538" s="2" t="s">
        <v>98</v>
      </c>
      <c r="J538" s="2" t="s">
        <v>596</v>
      </c>
      <c r="K538" s="2" t="s">
        <v>261</v>
      </c>
      <c r="L538" s="2" t="s">
        <v>76</v>
      </c>
      <c r="M538" s="155">
        <v>16</v>
      </c>
      <c r="N538" s="164" t="s">
        <v>940</v>
      </c>
      <c r="O538" s="2">
        <v>12</v>
      </c>
      <c r="P538" s="6">
        <v>12</v>
      </c>
      <c r="Q538" s="131">
        <f t="shared" si="52"/>
        <v>37.402597402597401</v>
      </c>
      <c r="R538" s="33">
        <f t="shared" si="57"/>
        <v>12</v>
      </c>
      <c r="S538" s="132">
        <f t="shared" si="54"/>
        <v>1.5</v>
      </c>
      <c r="T538" s="132">
        <f t="shared" si="55"/>
        <v>1.5</v>
      </c>
      <c r="V538" s="131">
        <f t="shared" si="56"/>
        <v>11.968831168831169</v>
      </c>
      <c r="W538" s="17">
        <v>37.5</v>
      </c>
      <c r="X538" s="8">
        <f>60*60*8/W538</f>
        <v>768</v>
      </c>
      <c r="Y538" s="161">
        <v>45351</v>
      </c>
      <c r="Z538" s="7" t="s">
        <v>7</v>
      </c>
      <c r="AA538" s="117"/>
      <c r="AB538" s="117"/>
      <c r="AC538" s="117"/>
      <c r="AD538" s="24">
        <v>45610</v>
      </c>
      <c r="AE538" t="s">
        <v>941</v>
      </c>
      <c r="AF538">
        <v>6.6</v>
      </c>
      <c r="AH538">
        <v>3.5</v>
      </c>
      <c r="AI538">
        <v>1</v>
      </c>
      <c r="AJ538">
        <v>0.9</v>
      </c>
      <c r="AK538">
        <v>9</v>
      </c>
      <c r="AL538">
        <v>8.5</v>
      </c>
      <c r="AN538">
        <v>8</v>
      </c>
      <c r="AO538">
        <v>0.3</v>
      </c>
      <c r="AS538">
        <v>39.1</v>
      </c>
      <c r="AT538">
        <v>9</v>
      </c>
      <c r="AU538">
        <v>21</v>
      </c>
      <c r="AV538">
        <v>87.5</v>
      </c>
      <c r="AW538">
        <v>98</v>
      </c>
      <c r="AX538">
        <v>12</v>
      </c>
      <c r="AY538">
        <v>47</v>
      </c>
      <c r="AZ538">
        <v>95</v>
      </c>
      <c r="BA538">
        <v>113</v>
      </c>
      <c r="BB538">
        <v>440</v>
      </c>
      <c r="CH538" s="2"/>
    </row>
    <row r="539" spans="1:86" x14ac:dyDescent="0.3">
      <c r="A539" s="23">
        <v>685</v>
      </c>
      <c r="B539" s="2" t="s">
        <v>0</v>
      </c>
      <c r="C539" s="2" t="s">
        <v>1</v>
      </c>
      <c r="D539" s="2" t="s">
        <v>942</v>
      </c>
      <c r="E539" s="2">
        <v>1500</v>
      </c>
      <c r="F539" s="2">
        <v>1.1599999999999999E-2</v>
      </c>
      <c r="G539" s="2">
        <v>6.6E-3</v>
      </c>
      <c r="H539" s="4">
        <f t="shared" si="51"/>
        <v>0.43103448275862066</v>
      </c>
      <c r="I539" s="2" t="s">
        <v>98</v>
      </c>
      <c r="J539" s="2" t="s">
        <v>938</v>
      </c>
      <c r="K539" s="2" t="s">
        <v>105</v>
      </c>
      <c r="L539" s="2" t="s">
        <v>76</v>
      </c>
      <c r="M539" s="155">
        <v>25</v>
      </c>
      <c r="N539" s="155">
        <v>60</v>
      </c>
      <c r="O539" s="2">
        <v>20</v>
      </c>
      <c r="P539" s="6">
        <v>5</v>
      </c>
      <c r="Q539" s="131">
        <f t="shared" si="52"/>
        <v>76.8</v>
      </c>
      <c r="R539" s="33">
        <f t="shared" si="57"/>
        <v>5</v>
      </c>
      <c r="S539" s="132">
        <f t="shared" si="54"/>
        <v>0.625</v>
      </c>
      <c r="T539" s="132">
        <f t="shared" si="55"/>
        <v>0.625</v>
      </c>
      <c r="V539" s="131">
        <f t="shared" si="56"/>
        <v>9.9224806201550386</v>
      </c>
      <c r="W539" s="17">
        <v>38.700000000000003</v>
      </c>
      <c r="X539" s="8">
        <f>60*60*8/W539</f>
        <v>744.18604651162786</v>
      </c>
      <c r="Y539" s="161">
        <v>45542</v>
      </c>
      <c r="Z539" s="7" t="s">
        <v>7</v>
      </c>
      <c r="AA539" s="117"/>
      <c r="AB539" s="117"/>
      <c r="AC539" s="117"/>
      <c r="CH539" s="2"/>
    </row>
    <row r="540" spans="1:86" x14ac:dyDescent="0.3">
      <c r="A540" s="2">
        <v>686</v>
      </c>
      <c r="B540" s="2" t="s">
        <v>0</v>
      </c>
      <c r="C540" s="2" t="s">
        <v>1</v>
      </c>
      <c r="D540" s="2" t="s">
        <v>943</v>
      </c>
      <c r="E540" s="2">
        <v>1500</v>
      </c>
      <c r="F540" s="2">
        <v>1.1599999999999999E-2</v>
      </c>
      <c r="G540" s="2">
        <v>6.6E-3</v>
      </c>
      <c r="H540" s="4">
        <f t="shared" si="51"/>
        <v>0.43103448275862066</v>
      </c>
      <c r="I540" s="2" t="s">
        <v>98</v>
      </c>
      <c r="J540" s="2" t="s">
        <v>938</v>
      </c>
      <c r="K540" s="2" t="s">
        <v>105</v>
      </c>
      <c r="L540" s="2" t="s">
        <v>76</v>
      </c>
      <c r="M540" s="155"/>
      <c r="N540" s="155"/>
      <c r="O540" s="2">
        <v>20</v>
      </c>
      <c r="P540" s="6">
        <v>5</v>
      </c>
      <c r="Q540" s="131">
        <f t="shared" si="52"/>
        <v>76.8</v>
      </c>
      <c r="R540" s="33">
        <f t="shared" si="57"/>
        <v>5</v>
      </c>
      <c r="S540" s="132">
        <f t="shared" si="54"/>
        <v>0.625</v>
      </c>
      <c r="T540" s="132">
        <f t="shared" si="55"/>
        <v>0.625</v>
      </c>
      <c r="V540" s="131" t="str">
        <f t="shared" si="56"/>
        <v/>
      </c>
      <c r="W540" s="136"/>
      <c r="X540" s="7"/>
      <c r="Y540" s="161"/>
      <c r="Z540" s="7"/>
      <c r="AA540" s="117"/>
      <c r="AB540" s="117"/>
      <c r="AC540" s="117"/>
      <c r="CH540" s="2"/>
    </row>
    <row r="541" spans="1:86" x14ac:dyDescent="0.3">
      <c r="A541" s="23">
        <v>687</v>
      </c>
      <c r="B541" s="2" t="s">
        <v>0</v>
      </c>
      <c r="C541" s="2" t="s">
        <v>1</v>
      </c>
      <c r="D541" s="2" t="s">
        <v>944</v>
      </c>
      <c r="E541" s="2">
        <v>1760</v>
      </c>
      <c r="F541" s="2">
        <v>4.1000000000000003E-3</v>
      </c>
      <c r="G541" s="2">
        <v>2.5999999999999999E-3</v>
      </c>
      <c r="H541" s="4">
        <f t="shared" si="51"/>
        <v>0.36585365853658547</v>
      </c>
      <c r="I541" s="2" t="s">
        <v>98</v>
      </c>
      <c r="J541" s="2" t="s">
        <v>945</v>
      </c>
      <c r="K541" s="2" t="s">
        <v>5</v>
      </c>
      <c r="L541" s="2" t="s">
        <v>6</v>
      </c>
      <c r="M541" s="155"/>
      <c r="N541" s="155"/>
      <c r="O541" s="2">
        <v>84</v>
      </c>
      <c r="P541" s="6">
        <v>7</v>
      </c>
      <c r="Q541" s="131">
        <f t="shared" si="52"/>
        <v>196.36363636363635</v>
      </c>
      <c r="R541" s="33">
        <f t="shared" si="57"/>
        <v>7</v>
      </c>
      <c r="S541" s="132">
        <f t="shared" si="54"/>
        <v>0.875</v>
      </c>
      <c r="T541" s="132">
        <f t="shared" si="55"/>
        <v>0.875</v>
      </c>
      <c r="V541" s="131">
        <f t="shared" si="56"/>
        <v>36.077308518253396</v>
      </c>
      <c r="W541" s="17">
        <v>38.1</v>
      </c>
      <c r="X541" s="8">
        <f>60*60*8/W541</f>
        <v>755.90551181102364</v>
      </c>
      <c r="Y541" s="161">
        <v>45544</v>
      </c>
      <c r="Z541" s="7" t="s">
        <v>7</v>
      </c>
      <c r="AA541" s="117"/>
      <c r="AB541" s="117"/>
      <c r="AC541" s="117"/>
      <c r="AD541" s="24">
        <v>45545</v>
      </c>
      <c r="AE541">
        <v>8</v>
      </c>
      <c r="AF541">
        <v>6.4</v>
      </c>
      <c r="AG541">
        <v>1.8</v>
      </c>
      <c r="AI541">
        <v>0.2</v>
      </c>
      <c r="AJ541">
        <v>0.2</v>
      </c>
      <c r="AK541">
        <v>8</v>
      </c>
      <c r="AL541">
        <v>7.5</v>
      </c>
      <c r="AN541">
        <v>12</v>
      </c>
      <c r="AS541">
        <v>38.1</v>
      </c>
      <c r="AT541">
        <v>6.5</v>
      </c>
      <c r="AU541">
        <v>16</v>
      </c>
      <c r="AV541">
        <v>123</v>
      </c>
      <c r="AW541">
        <v>133</v>
      </c>
      <c r="AX541">
        <v>12</v>
      </c>
      <c r="AY541">
        <v>23.5</v>
      </c>
      <c r="AZ541">
        <v>101</v>
      </c>
      <c r="BA541">
        <v>112</v>
      </c>
      <c r="BB541">
        <v>420</v>
      </c>
      <c r="CH541" s="2"/>
    </row>
    <row r="542" spans="1:86" x14ac:dyDescent="0.3">
      <c r="A542" s="23">
        <v>688</v>
      </c>
      <c r="B542" s="2" t="s">
        <v>0</v>
      </c>
      <c r="C542" s="2" t="s">
        <v>1</v>
      </c>
      <c r="D542" s="2" t="s">
        <v>946</v>
      </c>
      <c r="E542" s="2">
        <v>650</v>
      </c>
      <c r="F542" s="2">
        <v>3.56E-2</v>
      </c>
      <c r="G542" s="2">
        <v>1.9300000000000001E-2</v>
      </c>
      <c r="H542" s="4">
        <f t="shared" si="51"/>
        <v>0.4578651685393258</v>
      </c>
      <c r="I542" s="2" t="s">
        <v>98</v>
      </c>
      <c r="J542" s="2" t="s">
        <v>947</v>
      </c>
      <c r="K542" s="2" t="s">
        <v>261</v>
      </c>
      <c r="L542" s="2" t="s">
        <v>76</v>
      </c>
      <c r="M542" s="155"/>
      <c r="N542" s="155"/>
      <c r="O542" s="2">
        <v>8</v>
      </c>
      <c r="P542" s="6">
        <v>15</v>
      </c>
      <c r="Q542" s="131">
        <f t="shared" si="52"/>
        <v>23.630769230769229</v>
      </c>
      <c r="R542" s="33">
        <f t="shared" si="57"/>
        <v>15.000000000000002</v>
      </c>
      <c r="S542" s="132">
        <f t="shared" si="54"/>
        <v>1.8750000000000002</v>
      </c>
      <c r="T542" s="132">
        <f t="shared" si="55"/>
        <v>1.8750000000000002</v>
      </c>
      <c r="V542" s="131">
        <f t="shared" si="56"/>
        <v>8.0908819552964708</v>
      </c>
      <c r="W542" s="17">
        <v>43.81</v>
      </c>
      <c r="X542" s="8">
        <f>60*60*8/W542</f>
        <v>657.38415886783832</v>
      </c>
      <c r="Y542" s="161">
        <v>45358</v>
      </c>
      <c r="Z542" s="7" t="s">
        <v>7</v>
      </c>
      <c r="AA542" s="117"/>
      <c r="AB542" s="117"/>
      <c r="AC542" s="117"/>
      <c r="CH542" s="2"/>
    </row>
    <row r="543" spans="1:86" x14ac:dyDescent="0.3">
      <c r="A543" s="2">
        <v>691</v>
      </c>
      <c r="B543" s="2" t="s">
        <v>0</v>
      </c>
      <c r="C543" s="2" t="s">
        <v>1</v>
      </c>
      <c r="D543" s="2" t="s">
        <v>948</v>
      </c>
      <c r="E543" s="2">
        <v>3500</v>
      </c>
      <c r="F543" s="2">
        <v>7.1000000000000004E-3</v>
      </c>
      <c r="G543" s="2">
        <v>5.4999999999999997E-3</v>
      </c>
      <c r="H543" s="4">
        <f t="shared" si="51"/>
        <v>0.22535211267605643</v>
      </c>
      <c r="I543" s="2" t="s">
        <v>98</v>
      </c>
      <c r="J543" s="2" t="s">
        <v>393</v>
      </c>
      <c r="K543" s="2" t="s">
        <v>105</v>
      </c>
      <c r="L543" s="2" t="s">
        <v>76</v>
      </c>
      <c r="M543" s="155"/>
      <c r="N543" s="155"/>
      <c r="O543" s="2">
        <v>20</v>
      </c>
      <c r="P543" s="6">
        <v>24</v>
      </c>
      <c r="Q543" s="131">
        <f t="shared" si="52"/>
        <v>6.8571428571428577</v>
      </c>
      <c r="R543" s="33">
        <f t="shared" si="57"/>
        <v>24</v>
      </c>
      <c r="S543" s="132">
        <f t="shared" si="54"/>
        <v>3</v>
      </c>
      <c r="T543" s="132">
        <f t="shared" si="55"/>
        <v>3</v>
      </c>
      <c r="V543" s="131" t="str">
        <f t="shared" si="56"/>
        <v/>
      </c>
      <c r="W543" s="17"/>
      <c r="X543" s="7"/>
      <c r="Y543" s="161"/>
      <c r="Z543" s="7"/>
      <c r="AA543" s="117"/>
      <c r="AB543" s="117"/>
      <c r="AC543" s="117"/>
      <c r="CH543" s="2"/>
    </row>
    <row r="544" spans="1:86" x14ac:dyDescent="0.3">
      <c r="A544" s="2">
        <v>695</v>
      </c>
      <c r="B544" s="2" t="s">
        <v>0</v>
      </c>
      <c r="C544" s="2" t="s">
        <v>1</v>
      </c>
      <c r="D544" s="2" t="s">
        <v>949</v>
      </c>
      <c r="E544" s="2">
        <v>1080</v>
      </c>
      <c r="F544" s="2">
        <v>1.8700000000000001E-2</v>
      </c>
      <c r="G544" s="2">
        <v>1.4500000000000001E-2</v>
      </c>
      <c r="H544" s="4">
        <f t="shared" si="51"/>
        <v>0.22459893048128343</v>
      </c>
      <c r="I544" s="2" t="s">
        <v>82</v>
      </c>
      <c r="J544" s="2" t="s">
        <v>950</v>
      </c>
      <c r="K544" s="2" t="s">
        <v>413</v>
      </c>
      <c r="L544" s="2" t="s">
        <v>76</v>
      </c>
      <c r="M544" s="155"/>
      <c r="N544" s="155"/>
      <c r="O544" s="2">
        <v>9</v>
      </c>
      <c r="P544" s="6">
        <v>12</v>
      </c>
      <c r="Q544" s="131">
        <f t="shared" si="52"/>
        <v>20</v>
      </c>
      <c r="R544" s="33">
        <f t="shared" si="57"/>
        <v>12</v>
      </c>
      <c r="S544" s="132">
        <f t="shared" si="54"/>
        <v>1.5</v>
      </c>
      <c r="T544" s="132">
        <f t="shared" si="55"/>
        <v>1.5</v>
      </c>
      <c r="V544" s="131" t="str">
        <f t="shared" si="56"/>
        <v/>
      </c>
      <c r="W544" s="17"/>
      <c r="X544" s="7"/>
      <c r="Y544" s="161"/>
      <c r="Z544" s="7"/>
      <c r="AA544" s="117"/>
      <c r="AB544" s="117"/>
      <c r="AC544" s="117"/>
      <c r="CH544" s="2"/>
    </row>
    <row r="545" spans="1:86" x14ac:dyDescent="0.3">
      <c r="A545" s="2">
        <v>696</v>
      </c>
      <c r="B545" s="2" t="s">
        <v>0</v>
      </c>
      <c r="C545" s="2" t="s">
        <v>1</v>
      </c>
      <c r="D545" s="2" t="s">
        <v>951</v>
      </c>
      <c r="E545" s="2">
        <v>1200</v>
      </c>
      <c r="F545" s="2">
        <v>1.6400000000000001E-2</v>
      </c>
      <c r="G545" s="2">
        <v>1.2699999999999999E-2</v>
      </c>
      <c r="H545" s="4">
        <f t="shared" si="51"/>
        <v>0.22560975609756106</v>
      </c>
      <c r="I545" s="2" t="s">
        <v>82</v>
      </c>
      <c r="J545" s="2" t="s">
        <v>107</v>
      </c>
      <c r="K545" s="2" t="s">
        <v>413</v>
      </c>
      <c r="L545" s="2" t="s">
        <v>76</v>
      </c>
      <c r="M545" s="155"/>
      <c r="N545" s="155"/>
      <c r="O545" s="2">
        <v>8</v>
      </c>
      <c r="P545" s="6">
        <v>18</v>
      </c>
      <c r="Q545" s="131">
        <f t="shared" si="52"/>
        <v>10.666666666666666</v>
      </c>
      <c r="R545" s="33">
        <f t="shared" si="57"/>
        <v>18</v>
      </c>
      <c r="S545" s="132">
        <f t="shared" si="54"/>
        <v>2.25</v>
      </c>
      <c r="T545" s="132">
        <f t="shared" si="55"/>
        <v>2.25</v>
      </c>
      <c r="V545" s="131" t="str">
        <f t="shared" si="56"/>
        <v/>
      </c>
      <c r="W545" s="17"/>
      <c r="X545" s="7"/>
      <c r="Y545" s="161"/>
      <c r="Z545" s="7"/>
      <c r="AA545" s="117"/>
      <c r="AB545" s="117"/>
      <c r="AC545" s="117"/>
      <c r="CH545" s="2"/>
    </row>
    <row r="546" spans="1:86" x14ac:dyDescent="0.3">
      <c r="A546" s="2">
        <v>697</v>
      </c>
      <c r="B546" s="2" t="s">
        <v>0</v>
      </c>
      <c r="C546" s="2" t="s">
        <v>1</v>
      </c>
      <c r="D546" s="2" t="s">
        <v>952</v>
      </c>
      <c r="E546" s="2">
        <v>1800</v>
      </c>
      <c r="F546" s="2">
        <v>9.2999999999999992E-3</v>
      </c>
      <c r="G546" s="2">
        <v>7.1999999999999998E-3</v>
      </c>
      <c r="H546" s="4">
        <f t="shared" si="51"/>
        <v>0.22580645161290319</v>
      </c>
      <c r="I546" s="2" t="s">
        <v>82</v>
      </c>
      <c r="J546" s="2" t="s">
        <v>600</v>
      </c>
      <c r="K546" s="2" t="s">
        <v>413</v>
      </c>
      <c r="L546" s="2" t="s">
        <v>76</v>
      </c>
      <c r="M546" s="155"/>
      <c r="N546" s="155"/>
      <c r="O546" s="2">
        <v>18</v>
      </c>
      <c r="P546" s="6">
        <v>9</v>
      </c>
      <c r="Q546" s="131">
        <f t="shared" si="52"/>
        <v>32</v>
      </c>
      <c r="R546" s="33">
        <f t="shared" si="57"/>
        <v>9</v>
      </c>
      <c r="S546" s="132">
        <f t="shared" si="54"/>
        <v>1.125</v>
      </c>
      <c r="T546" s="132">
        <f t="shared" si="55"/>
        <v>1.125</v>
      </c>
      <c r="V546" s="131" t="str">
        <f t="shared" si="56"/>
        <v/>
      </c>
      <c r="W546" s="17"/>
      <c r="X546" s="7"/>
      <c r="Y546" s="161"/>
      <c r="Z546" s="7"/>
      <c r="AA546" s="117"/>
      <c r="AB546" s="117"/>
      <c r="AC546" s="117"/>
      <c r="CH546" s="2"/>
    </row>
    <row r="547" spans="1:86" x14ac:dyDescent="0.3">
      <c r="A547" s="2">
        <v>698</v>
      </c>
      <c r="B547" s="2" t="s">
        <v>0</v>
      </c>
      <c r="C547" s="2" t="s">
        <v>1</v>
      </c>
      <c r="D547" s="2" t="s">
        <v>953</v>
      </c>
      <c r="E547" s="2">
        <v>1500</v>
      </c>
      <c r="F547" s="2">
        <v>1.2500000000000001E-2</v>
      </c>
      <c r="G547" s="2">
        <v>9.4000000000000004E-3</v>
      </c>
      <c r="H547" s="4">
        <f t="shared" si="51"/>
        <v>0.24800000000000003</v>
      </c>
      <c r="I547" s="2" t="s">
        <v>82</v>
      </c>
      <c r="J547" s="2" t="s">
        <v>587</v>
      </c>
      <c r="K547" s="2" t="s">
        <v>75</v>
      </c>
      <c r="L547" s="2" t="s">
        <v>76</v>
      </c>
      <c r="M547" s="155"/>
      <c r="N547" s="155"/>
      <c r="O547" s="2">
        <v>12</v>
      </c>
      <c r="P547" s="6">
        <v>12</v>
      </c>
      <c r="Q547" s="131">
        <f t="shared" si="52"/>
        <v>19.2</v>
      </c>
      <c r="R547" s="33">
        <f t="shared" si="57"/>
        <v>12</v>
      </c>
      <c r="S547" s="132">
        <f t="shared" si="54"/>
        <v>1.5</v>
      </c>
      <c r="T547" s="132">
        <f t="shared" si="55"/>
        <v>1.5</v>
      </c>
      <c r="V547" s="131" t="str">
        <f t="shared" si="56"/>
        <v/>
      </c>
      <c r="W547" s="17"/>
      <c r="X547" s="7"/>
      <c r="Y547" s="161"/>
      <c r="Z547" s="7"/>
      <c r="AA547" s="117"/>
      <c r="AB547" s="117"/>
      <c r="AC547" s="117"/>
      <c r="CH547" s="2"/>
    </row>
    <row r="548" spans="1:86" x14ac:dyDescent="0.3">
      <c r="A548" s="2">
        <v>699</v>
      </c>
      <c r="B548" s="2" t="s">
        <v>0</v>
      </c>
      <c r="C548" s="2" t="s">
        <v>1</v>
      </c>
      <c r="D548" s="2" t="s">
        <v>954</v>
      </c>
      <c r="E548" s="2">
        <v>2500</v>
      </c>
      <c r="F548" s="2">
        <v>7.1999999999999998E-3</v>
      </c>
      <c r="G548" s="2">
        <v>5.4999999999999997E-3</v>
      </c>
      <c r="H548" s="4">
        <f t="shared" si="51"/>
        <v>0.23611111111111113</v>
      </c>
      <c r="I548" s="2" t="s">
        <v>82</v>
      </c>
      <c r="J548" s="2" t="s">
        <v>587</v>
      </c>
      <c r="K548" s="2" t="s">
        <v>75</v>
      </c>
      <c r="L548" s="2" t="s">
        <v>76</v>
      </c>
      <c r="M548" s="155"/>
      <c r="N548" s="155"/>
      <c r="O548" s="2">
        <v>20</v>
      </c>
      <c r="P548" s="6">
        <v>8</v>
      </c>
      <c r="Q548" s="131">
        <f t="shared" si="52"/>
        <v>28.8</v>
      </c>
      <c r="R548" s="33">
        <f t="shared" si="57"/>
        <v>8</v>
      </c>
      <c r="S548" s="132">
        <f t="shared" si="54"/>
        <v>1</v>
      </c>
      <c r="T548" s="132">
        <f t="shared" si="55"/>
        <v>1</v>
      </c>
      <c r="V548" s="131" t="str">
        <f t="shared" si="56"/>
        <v/>
      </c>
      <c r="W548" s="17"/>
      <c r="X548" s="7"/>
      <c r="Y548" s="161"/>
      <c r="Z548" s="7"/>
      <c r="AA548" s="117"/>
      <c r="AB548" s="117"/>
      <c r="AC548" s="117"/>
      <c r="CH548" s="2"/>
    </row>
    <row r="549" spans="1:86" x14ac:dyDescent="0.3">
      <c r="A549" s="2">
        <v>700</v>
      </c>
      <c r="B549" s="2" t="s">
        <v>0</v>
      </c>
      <c r="C549" s="2" t="s">
        <v>1</v>
      </c>
      <c r="D549" s="2" t="s">
        <v>955</v>
      </c>
      <c r="E549" s="2">
        <v>1000</v>
      </c>
      <c r="F549" s="2">
        <v>2.4400000000000002E-2</v>
      </c>
      <c r="G549" s="2">
        <v>2.0400000000000001E-2</v>
      </c>
      <c r="H549" s="4">
        <f t="shared" si="51"/>
        <v>0.16393442622950818</v>
      </c>
      <c r="I549" s="2" t="s">
        <v>98</v>
      </c>
      <c r="J549" s="2" t="s">
        <v>956</v>
      </c>
      <c r="K549" s="2" t="s">
        <v>75</v>
      </c>
      <c r="L549" s="2" t="s">
        <v>76</v>
      </c>
      <c r="M549" s="155"/>
      <c r="N549" s="155"/>
      <c r="O549" s="2">
        <v>4</v>
      </c>
      <c r="P549" s="6">
        <v>45</v>
      </c>
      <c r="Q549" s="131">
        <f t="shared" si="52"/>
        <v>2.56</v>
      </c>
      <c r="R549" s="33">
        <f t="shared" si="57"/>
        <v>45</v>
      </c>
      <c r="S549" s="132">
        <f t="shared" si="54"/>
        <v>5.625</v>
      </c>
      <c r="T549" s="132">
        <f t="shared" si="55"/>
        <v>5.625</v>
      </c>
      <c r="V549" s="131" t="str">
        <f t="shared" si="56"/>
        <v/>
      </c>
      <c r="W549" s="17"/>
      <c r="X549" s="7"/>
      <c r="Y549" s="161"/>
      <c r="Z549" s="7"/>
      <c r="AA549" s="117"/>
      <c r="AB549" s="117"/>
      <c r="AC549" s="117"/>
      <c r="CH549" s="2"/>
    </row>
    <row r="550" spans="1:86" x14ac:dyDescent="0.3">
      <c r="A550" s="23">
        <v>701</v>
      </c>
      <c r="B550" s="2" t="s">
        <v>0</v>
      </c>
      <c r="C550" s="2" t="s">
        <v>1</v>
      </c>
      <c r="D550" s="2" t="s">
        <v>957</v>
      </c>
      <c r="E550" s="2">
        <v>1000</v>
      </c>
      <c r="F550" s="2">
        <v>2.4199999999999999E-2</v>
      </c>
      <c r="G550" s="2">
        <v>2.0400000000000001E-2</v>
      </c>
      <c r="H550" s="4">
        <f t="shared" si="51"/>
        <v>0.15702479338842967</v>
      </c>
      <c r="I550" s="2" t="s">
        <v>98</v>
      </c>
      <c r="J550" s="2" t="s">
        <v>956</v>
      </c>
      <c r="K550" s="2" t="s">
        <v>75</v>
      </c>
      <c r="L550" s="2" t="s">
        <v>76</v>
      </c>
      <c r="M550" s="155"/>
      <c r="N550" s="155"/>
      <c r="O550" s="2">
        <v>4</v>
      </c>
      <c r="P550" s="6">
        <v>45</v>
      </c>
      <c r="Q550" s="131">
        <f t="shared" si="52"/>
        <v>2.56</v>
      </c>
      <c r="R550" s="33">
        <f t="shared" si="57"/>
        <v>45</v>
      </c>
      <c r="S550" s="132">
        <f t="shared" si="54"/>
        <v>5.625</v>
      </c>
      <c r="T550" s="132">
        <f t="shared" si="55"/>
        <v>5.625</v>
      </c>
      <c r="V550" s="131">
        <f t="shared" si="56"/>
        <v>4.6639676113360329</v>
      </c>
      <c r="W550" s="17">
        <v>24.7</v>
      </c>
      <c r="X550" s="8">
        <f>60*60*8/W550</f>
        <v>1165.9919028340082</v>
      </c>
      <c r="Y550" s="161">
        <v>45596</v>
      </c>
      <c r="Z550" s="7" t="s">
        <v>7</v>
      </c>
      <c r="AA550" s="117"/>
      <c r="AB550" s="117"/>
      <c r="AC550" s="117"/>
      <c r="CH550" s="2"/>
    </row>
    <row r="551" spans="1:86" x14ac:dyDescent="0.3">
      <c r="A551" s="23">
        <v>702</v>
      </c>
      <c r="B551" s="2" t="s">
        <v>0</v>
      </c>
      <c r="C551" s="2" t="s">
        <v>1</v>
      </c>
      <c r="D551" s="2" t="s">
        <v>958</v>
      </c>
      <c r="E551" s="2">
        <v>1000</v>
      </c>
      <c r="F551" s="2">
        <v>2.4199999999999999E-2</v>
      </c>
      <c r="G551" s="2">
        <v>2.0400000000000001E-2</v>
      </c>
      <c r="H551" s="4">
        <f t="shared" si="51"/>
        <v>0.15702479338842967</v>
      </c>
      <c r="I551" s="2" t="s">
        <v>98</v>
      </c>
      <c r="J551" s="2" t="s">
        <v>956</v>
      </c>
      <c r="K551" s="2" t="s">
        <v>75</v>
      </c>
      <c r="L551" s="2" t="s">
        <v>76</v>
      </c>
      <c r="M551" s="155"/>
      <c r="N551" s="155"/>
      <c r="O551" s="2">
        <v>4</v>
      </c>
      <c r="P551" s="6">
        <v>45</v>
      </c>
      <c r="Q551" s="131">
        <f t="shared" si="52"/>
        <v>2.56</v>
      </c>
      <c r="R551" s="33">
        <f t="shared" si="57"/>
        <v>45</v>
      </c>
      <c r="S551" s="132">
        <f t="shared" si="54"/>
        <v>5.625</v>
      </c>
      <c r="T551" s="132">
        <f t="shared" si="55"/>
        <v>5.625</v>
      </c>
      <c r="V551" s="131">
        <f t="shared" si="56"/>
        <v>4.6639676113360329</v>
      </c>
      <c r="W551" s="17">
        <v>24.7</v>
      </c>
      <c r="X551" s="8">
        <f>60*60*8/W551</f>
        <v>1165.9919028340082</v>
      </c>
      <c r="Y551" s="161">
        <v>45596</v>
      </c>
      <c r="Z551" s="7" t="s">
        <v>7</v>
      </c>
      <c r="AA551" s="117"/>
      <c r="AB551" s="117"/>
      <c r="AC551" s="117"/>
      <c r="CH551" s="2"/>
    </row>
    <row r="552" spans="1:86" x14ac:dyDescent="0.3">
      <c r="A552" s="2">
        <v>703</v>
      </c>
      <c r="B552" s="2" t="s">
        <v>0</v>
      </c>
      <c r="C552" s="2" t="s">
        <v>1</v>
      </c>
      <c r="D552" s="2" t="s">
        <v>959</v>
      </c>
      <c r="E552" s="2">
        <v>1000</v>
      </c>
      <c r="F552" s="2">
        <v>2.4199999999999999E-2</v>
      </c>
      <c r="G552" s="2">
        <v>2.0400000000000001E-2</v>
      </c>
      <c r="H552" s="4">
        <f t="shared" si="51"/>
        <v>0.15702479338842967</v>
      </c>
      <c r="I552" s="2" t="s">
        <v>98</v>
      </c>
      <c r="J552" s="2" t="s">
        <v>956</v>
      </c>
      <c r="K552" s="2" t="s">
        <v>75</v>
      </c>
      <c r="L552" s="2" t="s">
        <v>76</v>
      </c>
      <c r="M552" s="155"/>
      <c r="N552" s="155"/>
      <c r="O552" s="2">
        <v>4</v>
      </c>
      <c r="P552" s="6">
        <v>45</v>
      </c>
      <c r="Q552" s="131">
        <f t="shared" si="52"/>
        <v>2.56</v>
      </c>
      <c r="R552" s="33">
        <f t="shared" si="57"/>
        <v>45</v>
      </c>
      <c r="S552" s="132">
        <f t="shared" si="54"/>
        <v>5.625</v>
      </c>
      <c r="T552" s="132">
        <f t="shared" si="55"/>
        <v>5.625</v>
      </c>
      <c r="V552" s="131" t="str">
        <f t="shared" si="56"/>
        <v/>
      </c>
      <c r="W552" s="17"/>
      <c r="X552" s="7"/>
      <c r="Y552" s="161"/>
      <c r="Z552" s="7"/>
      <c r="AA552" s="117"/>
      <c r="AB552" s="117"/>
      <c r="AC552" s="117"/>
      <c r="CH552" s="2"/>
    </row>
    <row r="553" spans="1:86" x14ac:dyDescent="0.3">
      <c r="A553" s="2">
        <v>704</v>
      </c>
      <c r="B553" s="2" t="s">
        <v>0</v>
      </c>
      <c r="C553" s="2" t="s">
        <v>1</v>
      </c>
      <c r="D553" s="2" t="s">
        <v>960</v>
      </c>
      <c r="E553" s="2">
        <v>1000</v>
      </c>
      <c r="F553" s="2">
        <v>2.4199999999999999E-2</v>
      </c>
      <c r="G553" s="2">
        <v>2.0400000000000001E-2</v>
      </c>
      <c r="H553" s="4">
        <f t="shared" si="51"/>
        <v>0.15702479338842967</v>
      </c>
      <c r="I553" s="2" t="s">
        <v>98</v>
      </c>
      <c r="J553" s="2" t="s">
        <v>956</v>
      </c>
      <c r="K553" s="2" t="s">
        <v>75</v>
      </c>
      <c r="L553" s="2" t="s">
        <v>76</v>
      </c>
      <c r="M553" s="155"/>
      <c r="N553" s="155"/>
      <c r="O553" s="2">
        <v>4</v>
      </c>
      <c r="P553" s="6">
        <v>45</v>
      </c>
      <c r="Q553" s="131">
        <f t="shared" si="52"/>
        <v>2.56</v>
      </c>
      <c r="R553" s="33">
        <f t="shared" si="57"/>
        <v>45</v>
      </c>
      <c r="S553" s="132">
        <f t="shared" si="54"/>
        <v>5.625</v>
      </c>
      <c r="T553" s="132">
        <f t="shared" si="55"/>
        <v>5.625</v>
      </c>
      <c r="V553" s="131" t="str">
        <f t="shared" si="56"/>
        <v/>
      </c>
      <c r="W553" s="17"/>
      <c r="X553" s="7"/>
      <c r="Y553" s="161"/>
      <c r="Z553" s="7"/>
      <c r="AA553" s="117"/>
      <c r="AB553" s="117"/>
      <c r="AC553" s="117"/>
      <c r="CH553" s="2"/>
    </row>
    <row r="554" spans="1:86" x14ac:dyDescent="0.3">
      <c r="A554" s="23">
        <v>705</v>
      </c>
      <c r="B554" s="2" t="s">
        <v>0</v>
      </c>
      <c r="C554" s="2" t="s">
        <v>1</v>
      </c>
      <c r="D554" s="2" t="s">
        <v>961</v>
      </c>
      <c r="E554" s="2">
        <v>1000</v>
      </c>
      <c r="F554" s="2">
        <v>2.4199999999999999E-2</v>
      </c>
      <c r="G554" s="2">
        <v>2.0400000000000001E-2</v>
      </c>
      <c r="H554" s="4">
        <f t="shared" si="51"/>
        <v>0.15702479338842967</v>
      </c>
      <c r="I554" s="2" t="s">
        <v>98</v>
      </c>
      <c r="J554" s="2" t="s">
        <v>956</v>
      </c>
      <c r="K554" s="2" t="s">
        <v>75</v>
      </c>
      <c r="L554" s="2" t="s">
        <v>76</v>
      </c>
      <c r="M554" s="155"/>
      <c r="N554" s="155"/>
      <c r="O554" s="2">
        <v>4</v>
      </c>
      <c r="P554" s="6">
        <v>45</v>
      </c>
      <c r="Q554" s="131">
        <f t="shared" si="52"/>
        <v>2.56</v>
      </c>
      <c r="R554" s="33">
        <f t="shared" si="57"/>
        <v>45</v>
      </c>
      <c r="S554" s="132">
        <f t="shared" si="54"/>
        <v>5.625</v>
      </c>
      <c r="T554" s="132">
        <f t="shared" si="55"/>
        <v>5.625</v>
      </c>
      <c r="V554" s="131">
        <f t="shared" si="56"/>
        <v>4.6639676113360329</v>
      </c>
      <c r="W554" s="17">
        <v>24.7</v>
      </c>
      <c r="X554" s="8">
        <f>60*60*8/W554</f>
        <v>1165.9919028340082</v>
      </c>
      <c r="Y554" s="161">
        <v>45596</v>
      </c>
      <c r="Z554" s="7" t="s">
        <v>7</v>
      </c>
      <c r="AA554" s="117"/>
      <c r="AB554" s="117"/>
      <c r="AC554" s="117"/>
      <c r="CH554" s="2"/>
    </row>
    <row r="555" spans="1:86" x14ac:dyDescent="0.3">
      <c r="A555" s="2">
        <v>706</v>
      </c>
      <c r="B555" s="2" t="s">
        <v>0</v>
      </c>
      <c r="C555" s="2" t="s">
        <v>1</v>
      </c>
      <c r="D555" s="2" t="s">
        <v>962</v>
      </c>
      <c r="E555" s="2">
        <v>1000</v>
      </c>
      <c r="F555" s="2">
        <v>2.4199999999999999E-2</v>
      </c>
      <c r="G555" s="2">
        <v>2.0400000000000001E-2</v>
      </c>
      <c r="H555" s="4">
        <f t="shared" si="51"/>
        <v>0.15702479338842967</v>
      </c>
      <c r="I555" s="2" t="s">
        <v>98</v>
      </c>
      <c r="J555" s="2" t="s">
        <v>956</v>
      </c>
      <c r="K555" s="2" t="s">
        <v>75</v>
      </c>
      <c r="L555" s="2" t="s">
        <v>76</v>
      </c>
      <c r="M555" s="155"/>
      <c r="N555" s="155"/>
      <c r="O555" s="2">
        <v>4</v>
      </c>
      <c r="P555" s="6">
        <v>45</v>
      </c>
      <c r="Q555" s="131">
        <f t="shared" si="52"/>
        <v>2.56</v>
      </c>
      <c r="R555" s="33">
        <f t="shared" si="57"/>
        <v>45</v>
      </c>
      <c r="S555" s="132">
        <f t="shared" si="54"/>
        <v>5.625</v>
      </c>
      <c r="T555" s="132">
        <f t="shared" si="55"/>
        <v>5.625</v>
      </c>
      <c r="V555" s="131" t="str">
        <f t="shared" si="56"/>
        <v/>
      </c>
      <c r="W555" s="17"/>
      <c r="X555" s="7"/>
      <c r="Y555" s="161"/>
      <c r="Z555" s="7"/>
      <c r="AA555" s="117"/>
      <c r="AB555" s="117"/>
      <c r="AC555" s="117"/>
      <c r="CH555" s="2"/>
    </row>
    <row r="556" spans="1:86" x14ac:dyDescent="0.3">
      <c r="A556" s="2">
        <v>707</v>
      </c>
      <c r="B556" s="23" t="s">
        <v>0</v>
      </c>
      <c r="C556" s="2" t="s">
        <v>1</v>
      </c>
      <c r="D556" s="2" t="s">
        <v>963</v>
      </c>
      <c r="E556" s="2">
        <v>1000</v>
      </c>
      <c r="F556" s="2">
        <v>2.4199999999999999E-2</v>
      </c>
      <c r="G556" s="2">
        <v>2.0400000000000001E-2</v>
      </c>
      <c r="H556" s="4">
        <f t="shared" si="51"/>
        <v>0.15702479338842967</v>
      </c>
      <c r="I556" s="2" t="s">
        <v>98</v>
      </c>
      <c r="J556" s="2" t="s">
        <v>964</v>
      </c>
      <c r="K556" s="2" t="s">
        <v>75</v>
      </c>
      <c r="L556" s="2" t="s">
        <v>76</v>
      </c>
      <c r="M556" s="155"/>
      <c r="N556" s="155"/>
      <c r="O556" s="2">
        <v>4</v>
      </c>
      <c r="P556" s="6">
        <v>45</v>
      </c>
      <c r="Q556" s="131">
        <f t="shared" si="52"/>
        <v>2.56</v>
      </c>
      <c r="R556" s="33">
        <f t="shared" si="57"/>
        <v>45</v>
      </c>
      <c r="S556" s="132">
        <f t="shared" si="54"/>
        <v>5.625</v>
      </c>
      <c r="T556" s="132">
        <f t="shared" si="55"/>
        <v>5.625</v>
      </c>
      <c r="V556" s="131" t="str">
        <f t="shared" si="56"/>
        <v/>
      </c>
      <c r="W556" s="17"/>
      <c r="X556" s="7"/>
      <c r="Y556" s="161"/>
      <c r="Z556" s="7"/>
      <c r="AA556" s="117"/>
      <c r="AB556" s="117"/>
      <c r="AC556" s="117"/>
      <c r="CH556" s="2"/>
    </row>
    <row r="557" spans="1:86" x14ac:dyDescent="0.3">
      <c r="A557" s="23">
        <v>708</v>
      </c>
      <c r="B557" s="2" t="s">
        <v>0</v>
      </c>
      <c r="C557" s="2" t="s">
        <v>1</v>
      </c>
      <c r="D557" s="2" t="s">
        <v>965</v>
      </c>
      <c r="E557" s="2">
        <v>1000</v>
      </c>
      <c r="F557" s="2">
        <v>2.4199999999999999E-2</v>
      </c>
      <c r="G557" s="2">
        <v>2.0400000000000001E-2</v>
      </c>
      <c r="H557" s="4">
        <f t="shared" si="51"/>
        <v>0.15702479338842967</v>
      </c>
      <c r="I557" s="2" t="s">
        <v>98</v>
      </c>
      <c r="J557" s="2" t="s">
        <v>956</v>
      </c>
      <c r="K557" s="2" t="s">
        <v>75</v>
      </c>
      <c r="L557" s="2" t="s">
        <v>76</v>
      </c>
      <c r="M557" s="155"/>
      <c r="N557" s="155"/>
      <c r="O557" s="2">
        <v>4</v>
      </c>
      <c r="P557" s="6">
        <v>45</v>
      </c>
      <c r="Q557" s="131">
        <f t="shared" si="52"/>
        <v>2.56</v>
      </c>
      <c r="R557" s="33">
        <f t="shared" si="57"/>
        <v>45</v>
      </c>
      <c r="S557" s="132">
        <f t="shared" si="54"/>
        <v>5.625</v>
      </c>
      <c r="T557" s="132">
        <f t="shared" si="55"/>
        <v>5.625</v>
      </c>
      <c r="V557" s="131">
        <f t="shared" si="56"/>
        <v>4.6639676113360329</v>
      </c>
      <c r="W557" s="17">
        <v>24.7</v>
      </c>
      <c r="X557" s="8">
        <f>60*60*8/W557</f>
        <v>1165.9919028340082</v>
      </c>
      <c r="Y557" s="161">
        <v>45597</v>
      </c>
      <c r="Z557" s="7" t="s">
        <v>7</v>
      </c>
      <c r="AA557" s="117"/>
      <c r="AB557" s="117"/>
      <c r="AC557" s="117"/>
      <c r="CH557" s="2"/>
    </row>
    <row r="558" spans="1:86" x14ac:dyDescent="0.3">
      <c r="A558" s="2">
        <v>709</v>
      </c>
      <c r="B558" s="2" t="s">
        <v>0</v>
      </c>
      <c r="C558" s="2" t="s">
        <v>1</v>
      </c>
      <c r="D558" s="2" t="s">
        <v>966</v>
      </c>
      <c r="E558" s="2">
        <v>1000</v>
      </c>
      <c r="F558" s="2">
        <v>2.4199999999999999E-2</v>
      </c>
      <c r="G558" s="2">
        <v>2.0400000000000001E-2</v>
      </c>
      <c r="H558" s="4">
        <f t="shared" si="51"/>
        <v>0.15702479338842967</v>
      </c>
      <c r="I558" s="2" t="s">
        <v>98</v>
      </c>
      <c r="J558" s="2" t="s">
        <v>956</v>
      </c>
      <c r="K558" s="2" t="s">
        <v>75</v>
      </c>
      <c r="L558" s="2" t="s">
        <v>76</v>
      </c>
      <c r="M558" s="155"/>
      <c r="N558" s="155"/>
      <c r="O558" s="2">
        <v>4</v>
      </c>
      <c r="P558" s="6">
        <v>45</v>
      </c>
      <c r="Q558" s="131">
        <f t="shared" si="52"/>
        <v>2.56</v>
      </c>
      <c r="R558" s="33">
        <f t="shared" si="57"/>
        <v>45</v>
      </c>
      <c r="S558" s="132">
        <f t="shared" si="54"/>
        <v>5.625</v>
      </c>
      <c r="T558" s="132">
        <f t="shared" si="55"/>
        <v>5.625</v>
      </c>
      <c r="V558" s="131" t="str">
        <f t="shared" si="56"/>
        <v/>
      </c>
      <c r="W558" s="17"/>
      <c r="X558" s="7"/>
      <c r="Y558" s="161"/>
      <c r="Z558" s="7"/>
      <c r="AA558" s="117"/>
      <c r="AB558" s="117"/>
      <c r="AC558" s="117"/>
      <c r="CH558" s="2"/>
    </row>
    <row r="559" spans="1:86" x14ac:dyDescent="0.3">
      <c r="A559" s="2">
        <v>710</v>
      </c>
      <c r="B559" s="2" t="s">
        <v>0</v>
      </c>
      <c r="C559" s="2" t="s">
        <v>1</v>
      </c>
      <c r="D559" s="2" t="s">
        <v>967</v>
      </c>
      <c r="E559" s="2">
        <v>1000</v>
      </c>
      <c r="F559" s="2">
        <v>2.4199999999999999E-2</v>
      </c>
      <c r="G559" s="2">
        <v>2.0400000000000001E-2</v>
      </c>
      <c r="H559" s="4">
        <f t="shared" si="51"/>
        <v>0.15702479338842967</v>
      </c>
      <c r="I559" s="2" t="s">
        <v>98</v>
      </c>
      <c r="J559" s="2" t="s">
        <v>956</v>
      </c>
      <c r="K559" s="2" t="s">
        <v>75</v>
      </c>
      <c r="L559" s="2" t="s">
        <v>76</v>
      </c>
      <c r="M559" s="155"/>
      <c r="N559" s="155"/>
      <c r="O559" s="2">
        <v>4</v>
      </c>
      <c r="P559" s="6">
        <v>45</v>
      </c>
      <c r="Q559" s="131">
        <f t="shared" si="52"/>
        <v>2.56</v>
      </c>
      <c r="R559" s="33">
        <f t="shared" si="57"/>
        <v>45</v>
      </c>
      <c r="S559" s="132">
        <f t="shared" si="54"/>
        <v>5.625</v>
      </c>
      <c r="T559" s="132">
        <f t="shared" si="55"/>
        <v>5.625</v>
      </c>
      <c r="V559" s="131" t="str">
        <f t="shared" si="56"/>
        <v/>
      </c>
      <c r="W559" s="17"/>
      <c r="X559" s="7"/>
      <c r="Y559" s="161"/>
      <c r="Z559" s="7"/>
      <c r="AA559" s="117"/>
      <c r="AB559" s="117"/>
      <c r="AC559" s="117"/>
      <c r="CH559" s="2"/>
    </row>
    <row r="560" spans="1:86" x14ac:dyDescent="0.3">
      <c r="A560" s="23">
        <v>711</v>
      </c>
      <c r="B560" s="2" t="s">
        <v>0</v>
      </c>
      <c r="C560" s="2" t="s">
        <v>1</v>
      </c>
      <c r="D560" s="2" t="s">
        <v>968</v>
      </c>
      <c r="E560" s="2">
        <v>1000</v>
      </c>
      <c r="F560" s="2">
        <v>2.4199999999999999E-2</v>
      </c>
      <c r="G560" s="2">
        <v>2.0400000000000001E-2</v>
      </c>
      <c r="H560" s="4">
        <f t="shared" si="51"/>
        <v>0.15702479338842967</v>
      </c>
      <c r="I560" s="2" t="s">
        <v>98</v>
      </c>
      <c r="J560" s="2" t="s">
        <v>956</v>
      </c>
      <c r="K560" s="2" t="s">
        <v>75</v>
      </c>
      <c r="L560" s="2" t="s">
        <v>76</v>
      </c>
      <c r="M560" s="155"/>
      <c r="N560" s="155"/>
      <c r="O560" s="2">
        <v>4</v>
      </c>
      <c r="P560" s="6">
        <v>45</v>
      </c>
      <c r="Q560" s="131">
        <f t="shared" si="52"/>
        <v>2.56</v>
      </c>
      <c r="R560" s="33">
        <f t="shared" si="57"/>
        <v>45</v>
      </c>
      <c r="S560" s="132">
        <f t="shared" si="54"/>
        <v>5.625</v>
      </c>
      <c r="T560" s="132">
        <f t="shared" si="55"/>
        <v>5.625</v>
      </c>
      <c r="V560" s="131">
        <f t="shared" si="56"/>
        <v>4.6639676113360329</v>
      </c>
      <c r="W560" s="17">
        <v>24.7</v>
      </c>
      <c r="X560" s="8">
        <f>60*60*8/W560</f>
        <v>1165.9919028340082</v>
      </c>
      <c r="Y560" s="161">
        <v>45596</v>
      </c>
      <c r="Z560" s="7" t="s">
        <v>7</v>
      </c>
      <c r="AA560" s="117"/>
      <c r="AB560" s="117"/>
      <c r="AC560" s="117"/>
      <c r="AD560" t="s">
        <v>969</v>
      </c>
      <c r="CH560" s="2"/>
    </row>
    <row r="561" spans="1:86" x14ac:dyDescent="0.3">
      <c r="A561" s="2">
        <v>712</v>
      </c>
      <c r="B561" s="2" t="s">
        <v>0</v>
      </c>
      <c r="C561" s="2" t="s">
        <v>1</v>
      </c>
      <c r="D561" s="2" t="s">
        <v>970</v>
      </c>
      <c r="E561" s="2">
        <v>1000</v>
      </c>
      <c r="F561" s="2">
        <v>2.4199999999999999E-2</v>
      </c>
      <c r="G561" s="2">
        <v>2.0400000000000001E-2</v>
      </c>
      <c r="H561" s="4">
        <f t="shared" si="51"/>
        <v>0.15702479338842967</v>
      </c>
      <c r="I561" s="2" t="s">
        <v>98</v>
      </c>
      <c r="J561" s="2" t="s">
        <v>956</v>
      </c>
      <c r="K561" s="2" t="s">
        <v>75</v>
      </c>
      <c r="L561" s="2" t="s">
        <v>76</v>
      </c>
      <c r="M561" s="155"/>
      <c r="N561" s="155"/>
      <c r="O561" s="2">
        <v>4</v>
      </c>
      <c r="P561" s="6">
        <v>45</v>
      </c>
      <c r="Q561" s="131">
        <f t="shared" si="52"/>
        <v>2.56</v>
      </c>
      <c r="R561" s="33">
        <f t="shared" si="57"/>
        <v>45</v>
      </c>
      <c r="S561" s="132">
        <f t="shared" si="54"/>
        <v>5.625</v>
      </c>
      <c r="T561" s="132">
        <f t="shared" si="55"/>
        <v>5.625</v>
      </c>
      <c r="V561" s="131" t="str">
        <f t="shared" si="56"/>
        <v/>
      </c>
      <c r="W561" s="17"/>
      <c r="X561" s="7"/>
      <c r="Y561" s="161"/>
      <c r="Z561" s="7"/>
      <c r="AA561" s="117"/>
      <c r="AB561" s="117"/>
      <c r="AC561" s="117"/>
      <c r="CH561" s="2"/>
    </row>
    <row r="562" spans="1:86" x14ac:dyDescent="0.3">
      <c r="A562" s="2">
        <v>713</v>
      </c>
      <c r="B562" s="2" t="s">
        <v>0</v>
      </c>
      <c r="C562" s="2" t="s">
        <v>1</v>
      </c>
      <c r="D562" s="2" t="s">
        <v>971</v>
      </c>
      <c r="E562" s="2">
        <v>1000</v>
      </c>
      <c r="F562" s="2">
        <v>2.4199999999999999E-2</v>
      </c>
      <c r="G562" s="2">
        <v>2.0400000000000001E-2</v>
      </c>
      <c r="H562" s="4">
        <f t="shared" si="51"/>
        <v>0.15702479338842967</v>
      </c>
      <c r="I562" s="2" t="s">
        <v>98</v>
      </c>
      <c r="J562" s="2" t="s">
        <v>956</v>
      </c>
      <c r="K562" s="2" t="s">
        <v>75</v>
      </c>
      <c r="L562" s="2" t="s">
        <v>76</v>
      </c>
      <c r="M562" s="155"/>
      <c r="N562" s="155"/>
      <c r="O562" s="2">
        <v>4</v>
      </c>
      <c r="P562" s="6">
        <v>45</v>
      </c>
      <c r="Q562" s="131">
        <f t="shared" si="52"/>
        <v>2.56</v>
      </c>
      <c r="R562" s="33">
        <f t="shared" si="57"/>
        <v>45</v>
      </c>
      <c r="S562" s="132">
        <f t="shared" si="54"/>
        <v>5.625</v>
      </c>
      <c r="T562" s="132">
        <f t="shared" si="55"/>
        <v>5.625</v>
      </c>
      <c r="V562" s="131" t="str">
        <f t="shared" si="56"/>
        <v/>
      </c>
      <c r="W562" s="17"/>
      <c r="X562" s="7"/>
      <c r="Y562" s="161"/>
      <c r="Z562" s="7"/>
      <c r="AA562" s="117"/>
      <c r="AB562" s="117"/>
      <c r="AC562" s="117"/>
      <c r="CH562" s="2"/>
    </row>
    <row r="563" spans="1:86" x14ac:dyDescent="0.3">
      <c r="A563" s="2">
        <v>714</v>
      </c>
      <c r="B563" s="2" t="s">
        <v>0</v>
      </c>
      <c r="C563" s="2" t="s">
        <v>1</v>
      </c>
      <c r="D563" s="2" t="s">
        <v>972</v>
      </c>
      <c r="E563" s="2">
        <v>1000</v>
      </c>
      <c r="F563" s="2">
        <v>2.4199999999999999E-2</v>
      </c>
      <c r="G563" s="2">
        <v>2.0400000000000001E-2</v>
      </c>
      <c r="H563" s="4">
        <f t="shared" si="51"/>
        <v>0.15702479338842967</v>
      </c>
      <c r="I563" s="2" t="s">
        <v>98</v>
      </c>
      <c r="J563" s="2" t="s">
        <v>956</v>
      </c>
      <c r="K563" s="2" t="s">
        <v>75</v>
      </c>
      <c r="L563" s="2" t="s">
        <v>76</v>
      </c>
      <c r="M563" s="155"/>
      <c r="N563" s="155"/>
      <c r="O563" s="2">
        <v>4</v>
      </c>
      <c r="P563" s="6">
        <v>45</v>
      </c>
      <c r="Q563" s="131">
        <f t="shared" si="52"/>
        <v>2.56</v>
      </c>
      <c r="R563" s="33">
        <f t="shared" si="57"/>
        <v>45</v>
      </c>
      <c r="S563" s="132">
        <f t="shared" si="54"/>
        <v>5.625</v>
      </c>
      <c r="T563" s="132">
        <f t="shared" si="55"/>
        <v>5.625</v>
      </c>
      <c r="V563" s="131" t="str">
        <f t="shared" si="56"/>
        <v/>
      </c>
      <c r="W563" s="17"/>
      <c r="X563" s="7"/>
      <c r="Y563" s="161"/>
      <c r="Z563" s="7"/>
      <c r="AA563" s="117"/>
      <c r="AB563" s="117"/>
      <c r="AC563" s="117"/>
      <c r="CH563" s="2"/>
    </row>
    <row r="564" spans="1:86" x14ac:dyDescent="0.3">
      <c r="A564" s="2">
        <v>715</v>
      </c>
      <c r="B564" s="2" t="s">
        <v>0</v>
      </c>
      <c r="C564" s="2" t="s">
        <v>1</v>
      </c>
      <c r="D564" s="2" t="s">
        <v>973</v>
      </c>
      <c r="E564" s="2">
        <v>1000</v>
      </c>
      <c r="F564" s="2">
        <v>2.4199999999999999E-2</v>
      </c>
      <c r="G564" s="2">
        <v>2.0400000000000001E-2</v>
      </c>
      <c r="H564" s="4">
        <f t="shared" si="51"/>
        <v>0.15702479338842967</v>
      </c>
      <c r="I564" s="2" t="s">
        <v>98</v>
      </c>
      <c r="J564" s="2" t="s">
        <v>956</v>
      </c>
      <c r="K564" s="2" t="s">
        <v>75</v>
      </c>
      <c r="L564" s="2" t="s">
        <v>76</v>
      </c>
      <c r="M564" s="155"/>
      <c r="N564" s="155"/>
      <c r="O564" s="2">
        <v>4</v>
      </c>
      <c r="P564" s="6">
        <v>45</v>
      </c>
      <c r="Q564" s="131">
        <f t="shared" si="52"/>
        <v>2.56</v>
      </c>
      <c r="R564" s="33">
        <f t="shared" si="57"/>
        <v>45</v>
      </c>
      <c r="S564" s="132">
        <f t="shared" si="54"/>
        <v>5.625</v>
      </c>
      <c r="T564" s="132">
        <f t="shared" si="55"/>
        <v>5.625</v>
      </c>
      <c r="V564" s="131" t="str">
        <f t="shared" si="56"/>
        <v/>
      </c>
      <c r="W564" s="17"/>
      <c r="X564" s="7"/>
      <c r="Y564" s="161"/>
      <c r="Z564" s="7"/>
      <c r="AA564" s="117"/>
      <c r="AB564" s="117"/>
      <c r="AC564" s="117"/>
      <c r="CH564" s="2"/>
    </row>
    <row r="565" spans="1:86" x14ac:dyDescent="0.3">
      <c r="A565" s="2">
        <v>716</v>
      </c>
      <c r="B565" s="2" t="s">
        <v>0</v>
      </c>
      <c r="C565" s="2" t="s">
        <v>1</v>
      </c>
      <c r="D565" s="2" t="s">
        <v>974</v>
      </c>
      <c r="E565" s="2">
        <v>1000</v>
      </c>
      <c r="F565" s="2">
        <v>2.4199999999999999E-2</v>
      </c>
      <c r="G565" s="2">
        <v>2.0400000000000001E-2</v>
      </c>
      <c r="H565" s="4">
        <f t="shared" si="51"/>
        <v>0.15702479338842967</v>
      </c>
      <c r="I565" s="2" t="s">
        <v>98</v>
      </c>
      <c r="J565" s="2" t="s">
        <v>956</v>
      </c>
      <c r="K565" s="2" t="s">
        <v>75</v>
      </c>
      <c r="L565" s="2" t="s">
        <v>76</v>
      </c>
      <c r="M565" s="155"/>
      <c r="N565" s="155"/>
      <c r="O565" s="2">
        <v>4</v>
      </c>
      <c r="P565" s="6">
        <v>45</v>
      </c>
      <c r="Q565" s="131">
        <f t="shared" si="52"/>
        <v>2.56</v>
      </c>
      <c r="R565" s="33">
        <f t="shared" si="57"/>
        <v>45</v>
      </c>
      <c r="S565" s="132">
        <f t="shared" si="54"/>
        <v>5.625</v>
      </c>
      <c r="T565" s="132">
        <f t="shared" si="55"/>
        <v>5.625</v>
      </c>
      <c r="V565" s="131" t="str">
        <f t="shared" si="56"/>
        <v/>
      </c>
      <c r="W565" s="17"/>
      <c r="X565" s="7"/>
      <c r="Y565" s="161"/>
      <c r="Z565" s="7"/>
      <c r="AA565" s="117"/>
      <c r="AB565" s="117"/>
      <c r="AC565" s="117"/>
      <c r="CH565" s="2"/>
    </row>
    <row r="566" spans="1:86" x14ac:dyDescent="0.3">
      <c r="A566" s="2">
        <v>717</v>
      </c>
      <c r="B566" s="2" t="s">
        <v>0</v>
      </c>
      <c r="C566" s="2" t="s">
        <v>1</v>
      </c>
      <c r="D566" s="2" t="s">
        <v>975</v>
      </c>
      <c r="E566" s="2">
        <v>1000</v>
      </c>
      <c r="F566" s="2">
        <v>2.4199999999999999E-2</v>
      </c>
      <c r="G566" s="2">
        <v>2.0400000000000001E-2</v>
      </c>
      <c r="H566" s="4">
        <f t="shared" si="51"/>
        <v>0.15702479338842967</v>
      </c>
      <c r="I566" s="2" t="s">
        <v>98</v>
      </c>
      <c r="J566" s="2" t="s">
        <v>956</v>
      </c>
      <c r="K566" s="2" t="s">
        <v>75</v>
      </c>
      <c r="L566" s="2" t="s">
        <v>76</v>
      </c>
      <c r="M566" s="155"/>
      <c r="N566" s="155"/>
      <c r="O566" s="2">
        <v>4</v>
      </c>
      <c r="P566" s="6">
        <v>45</v>
      </c>
      <c r="Q566" s="131">
        <f t="shared" si="52"/>
        <v>2.56</v>
      </c>
      <c r="R566" s="33">
        <f t="shared" si="57"/>
        <v>45</v>
      </c>
      <c r="S566" s="132">
        <f t="shared" si="54"/>
        <v>5.625</v>
      </c>
      <c r="T566" s="132">
        <f t="shared" si="55"/>
        <v>5.625</v>
      </c>
      <c r="V566" s="131" t="str">
        <f t="shared" si="56"/>
        <v/>
      </c>
      <c r="W566" s="17"/>
      <c r="X566" s="7"/>
      <c r="Y566" s="161"/>
      <c r="Z566" s="7"/>
      <c r="AA566" s="117"/>
      <c r="AB566" s="117"/>
      <c r="AC566" s="117"/>
      <c r="CH566" s="2"/>
    </row>
    <row r="567" spans="1:86" x14ac:dyDescent="0.3">
      <c r="A567" s="2">
        <v>718</v>
      </c>
      <c r="B567" s="2" t="s">
        <v>0</v>
      </c>
      <c r="C567" s="2" t="s">
        <v>1</v>
      </c>
      <c r="D567" s="2" t="s">
        <v>976</v>
      </c>
      <c r="E567" s="2">
        <v>1000</v>
      </c>
      <c r="F567" s="2">
        <v>2.4199999999999999E-2</v>
      </c>
      <c r="G567" s="2">
        <v>2.0400000000000001E-2</v>
      </c>
      <c r="H567" s="4">
        <f t="shared" si="51"/>
        <v>0.15702479338842967</v>
      </c>
      <c r="I567" s="2" t="s">
        <v>98</v>
      </c>
      <c r="J567" s="2" t="s">
        <v>956</v>
      </c>
      <c r="K567" s="2" t="s">
        <v>75</v>
      </c>
      <c r="L567" s="2" t="s">
        <v>76</v>
      </c>
      <c r="M567" s="155"/>
      <c r="N567" s="155"/>
      <c r="O567" s="2">
        <v>4</v>
      </c>
      <c r="P567" s="6">
        <v>45</v>
      </c>
      <c r="Q567" s="131">
        <f t="shared" si="52"/>
        <v>2.56</v>
      </c>
      <c r="R567" s="33">
        <f t="shared" si="57"/>
        <v>45</v>
      </c>
      <c r="S567" s="132">
        <f t="shared" si="54"/>
        <v>5.625</v>
      </c>
      <c r="T567" s="132">
        <f t="shared" si="55"/>
        <v>5.625</v>
      </c>
      <c r="V567" s="131" t="str">
        <f t="shared" si="56"/>
        <v/>
      </c>
      <c r="W567" s="17"/>
      <c r="X567" s="7"/>
      <c r="Y567" s="161"/>
      <c r="Z567" s="7"/>
      <c r="AA567" s="117"/>
      <c r="AB567" s="117"/>
      <c r="AC567" s="117"/>
      <c r="CH567" s="2"/>
    </row>
    <row r="568" spans="1:86" x14ac:dyDescent="0.3">
      <c r="A568" s="2">
        <v>719</v>
      </c>
      <c r="B568" s="2" t="s">
        <v>0</v>
      </c>
      <c r="C568" s="2" t="s">
        <v>1</v>
      </c>
      <c r="D568" s="2" t="s">
        <v>977</v>
      </c>
      <c r="E568" s="2">
        <v>1000</v>
      </c>
      <c r="F568" s="2">
        <v>2.4199999999999999E-2</v>
      </c>
      <c r="G568" s="2">
        <v>2.0400000000000001E-2</v>
      </c>
      <c r="H568" s="4">
        <f t="shared" si="51"/>
        <v>0.15702479338842967</v>
      </c>
      <c r="I568" s="2" t="s">
        <v>98</v>
      </c>
      <c r="J568" s="2" t="s">
        <v>956</v>
      </c>
      <c r="K568" s="2" t="s">
        <v>75</v>
      </c>
      <c r="L568" s="2" t="s">
        <v>76</v>
      </c>
      <c r="M568" s="155"/>
      <c r="N568" s="155"/>
      <c r="O568" s="2">
        <v>4</v>
      </c>
      <c r="P568" s="6">
        <v>45</v>
      </c>
      <c r="Q568" s="131">
        <f t="shared" si="52"/>
        <v>2.56</v>
      </c>
      <c r="R568" s="33">
        <f t="shared" si="57"/>
        <v>45</v>
      </c>
      <c r="S568" s="132">
        <f t="shared" si="54"/>
        <v>5.625</v>
      </c>
      <c r="T568" s="132">
        <f t="shared" si="55"/>
        <v>5.625</v>
      </c>
      <c r="V568" s="131" t="str">
        <f t="shared" si="56"/>
        <v/>
      </c>
      <c r="W568" s="17"/>
      <c r="X568" s="7"/>
      <c r="Y568" s="161"/>
      <c r="Z568" s="7"/>
      <c r="AA568" s="117"/>
      <c r="AB568" s="117"/>
      <c r="AC568" s="117"/>
      <c r="CH568" s="2"/>
    </row>
    <row r="569" spans="1:86" x14ac:dyDescent="0.3">
      <c r="A569" s="2">
        <v>720</v>
      </c>
      <c r="B569" s="2" t="s">
        <v>0</v>
      </c>
      <c r="C569" s="2" t="s">
        <v>1</v>
      </c>
      <c r="D569" s="2" t="s">
        <v>978</v>
      </c>
      <c r="E569" s="2">
        <v>1000</v>
      </c>
      <c r="F569" s="2">
        <v>2.4199999999999999E-2</v>
      </c>
      <c r="G569" s="2">
        <v>2.0400000000000001E-2</v>
      </c>
      <c r="H569" s="4">
        <f t="shared" si="51"/>
        <v>0.15702479338842967</v>
      </c>
      <c r="I569" s="2" t="s">
        <v>98</v>
      </c>
      <c r="J569" s="2" t="s">
        <v>956</v>
      </c>
      <c r="K569" s="2" t="s">
        <v>75</v>
      </c>
      <c r="L569" s="2" t="s">
        <v>76</v>
      </c>
      <c r="M569" s="155"/>
      <c r="N569" s="155"/>
      <c r="O569" s="2">
        <v>4</v>
      </c>
      <c r="P569" s="6">
        <v>45</v>
      </c>
      <c r="Q569" s="131">
        <f t="shared" si="52"/>
        <v>2.56</v>
      </c>
      <c r="R569" s="33">
        <f t="shared" si="57"/>
        <v>45</v>
      </c>
      <c r="S569" s="132">
        <f t="shared" si="54"/>
        <v>5.625</v>
      </c>
      <c r="T569" s="132">
        <f t="shared" si="55"/>
        <v>5.625</v>
      </c>
      <c r="V569" s="131" t="str">
        <f t="shared" si="56"/>
        <v/>
      </c>
      <c r="W569" s="17"/>
      <c r="X569" s="7"/>
      <c r="Y569" s="161"/>
      <c r="Z569" s="7"/>
      <c r="AA569" s="117"/>
      <c r="AB569" s="117"/>
      <c r="AC569" s="117"/>
      <c r="CH569" s="2"/>
    </row>
    <row r="570" spans="1:86" x14ac:dyDescent="0.3">
      <c r="A570" s="2">
        <v>721</v>
      </c>
      <c r="B570" s="2" t="s">
        <v>0</v>
      </c>
      <c r="C570" s="2" t="s">
        <v>1</v>
      </c>
      <c r="D570" s="2" t="s">
        <v>979</v>
      </c>
      <c r="E570" s="2">
        <v>1000</v>
      </c>
      <c r="F570" s="2">
        <v>2.4199999999999999E-2</v>
      </c>
      <c r="G570" s="2">
        <v>2.0400000000000001E-2</v>
      </c>
      <c r="H570" s="4">
        <f t="shared" si="51"/>
        <v>0.15702479338842967</v>
      </c>
      <c r="I570" s="2" t="s">
        <v>98</v>
      </c>
      <c r="J570" s="2" t="s">
        <v>956</v>
      </c>
      <c r="K570" s="2" t="s">
        <v>75</v>
      </c>
      <c r="L570" s="2" t="s">
        <v>76</v>
      </c>
      <c r="M570" s="155"/>
      <c r="N570" s="155"/>
      <c r="O570" s="2">
        <v>4</v>
      </c>
      <c r="P570" s="6">
        <v>45</v>
      </c>
      <c r="Q570" s="131">
        <f t="shared" si="52"/>
        <v>2.56</v>
      </c>
      <c r="R570" s="33">
        <f t="shared" si="57"/>
        <v>45</v>
      </c>
      <c r="S570" s="132">
        <f t="shared" si="54"/>
        <v>5.625</v>
      </c>
      <c r="T570" s="132">
        <f t="shared" si="55"/>
        <v>5.625</v>
      </c>
      <c r="V570" s="131" t="str">
        <f t="shared" si="56"/>
        <v/>
      </c>
      <c r="W570" s="17"/>
      <c r="X570" s="7"/>
      <c r="Y570" s="161"/>
      <c r="Z570" s="7"/>
      <c r="AA570" s="117"/>
      <c r="AB570" s="117"/>
      <c r="AC570" s="117"/>
      <c r="CH570" s="2"/>
    </row>
    <row r="571" spans="1:86" x14ac:dyDescent="0.3">
      <c r="A571" s="2">
        <v>722</v>
      </c>
      <c r="B571" s="2" t="s">
        <v>0</v>
      </c>
      <c r="C571" s="2" t="s">
        <v>1</v>
      </c>
      <c r="D571" s="2" t="s">
        <v>980</v>
      </c>
      <c r="E571" s="2">
        <v>1000</v>
      </c>
      <c r="F571" s="2">
        <v>6.6E-3</v>
      </c>
      <c r="G571" s="2">
        <v>4.1999999999999997E-3</v>
      </c>
      <c r="H571" s="4">
        <f t="shared" ref="H571:H634" si="58">(F571-G571)/F571</f>
        <v>0.36363636363636365</v>
      </c>
      <c r="I571" s="2" t="s">
        <v>98</v>
      </c>
      <c r="J571" s="2" t="s">
        <v>981</v>
      </c>
      <c r="K571" s="2" t="s">
        <v>982</v>
      </c>
      <c r="L571" s="2" t="s">
        <v>983</v>
      </c>
      <c r="M571" s="155"/>
      <c r="N571" s="155"/>
      <c r="O571" s="2">
        <v>24</v>
      </c>
      <c r="P571" s="6">
        <v>40</v>
      </c>
      <c r="Q571" s="131">
        <f t="shared" ref="Q571:Q634" si="59">IFERROR(60*60*8*O571/E571/P571,"")</f>
        <v>17.28</v>
      </c>
      <c r="R571" s="33">
        <f t="shared" si="57"/>
        <v>40</v>
      </c>
      <c r="S571" s="132">
        <f t="shared" ref="S571:S634" si="60">IFERROR(R571/8,"")</f>
        <v>5</v>
      </c>
      <c r="T571" s="132">
        <f t="shared" ref="T571:T634" si="61">IFERROR(IF(R571&gt;2,S571,""),"")</f>
        <v>5</v>
      </c>
      <c r="V571" s="131" t="str">
        <f t="shared" ref="V571:V634" si="62">IF(X571&gt;10,X571*O571/E571,"")</f>
        <v/>
      </c>
      <c r="W571" s="17"/>
      <c r="X571" s="7"/>
      <c r="Y571" s="161"/>
      <c r="Z571" s="7"/>
      <c r="AA571" s="117"/>
      <c r="AB571" s="117"/>
      <c r="AC571" s="117"/>
      <c r="CH571" s="2"/>
    </row>
    <row r="572" spans="1:86" x14ac:dyDescent="0.3">
      <c r="A572" s="2">
        <v>725</v>
      </c>
      <c r="B572" s="2" t="s">
        <v>0</v>
      </c>
      <c r="C572" s="2" t="s">
        <v>1</v>
      </c>
      <c r="D572" s="2" t="s">
        <v>984</v>
      </c>
      <c r="E572" s="2">
        <v>1320</v>
      </c>
      <c r="F572" s="2">
        <v>7.1999999999999998E-3</v>
      </c>
      <c r="G572" s="2">
        <v>5.4000000000000003E-3</v>
      </c>
      <c r="H572" s="4">
        <f t="shared" si="58"/>
        <v>0.24999999999999994</v>
      </c>
      <c r="I572" s="2" t="s">
        <v>98</v>
      </c>
      <c r="J572" s="2" t="s">
        <v>985</v>
      </c>
      <c r="K572" s="2" t="s">
        <v>105</v>
      </c>
      <c r="L572" s="2" t="s">
        <v>76</v>
      </c>
      <c r="M572" s="155"/>
      <c r="N572" s="155"/>
      <c r="O572" s="2">
        <v>30</v>
      </c>
      <c r="P572" s="6">
        <v>8</v>
      </c>
      <c r="Q572" s="131">
        <f t="shared" si="59"/>
        <v>81.818181818181813</v>
      </c>
      <c r="R572" s="33">
        <f t="shared" si="57"/>
        <v>8</v>
      </c>
      <c r="S572" s="132">
        <f t="shared" si="60"/>
        <v>1</v>
      </c>
      <c r="T572" s="132">
        <f t="shared" si="61"/>
        <v>1</v>
      </c>
      <c r="V572" s="131" t="str">
        <f t="shared" si="62"/>
        <v/>
      </c>
      <c r="W572" s="17"/>
      <c r="X572" s="7"/>
      <c r="Y572" s="161"/>
      <c r="Z572" s="7"/>
      <c r="AA572" s="117"/>
      <c r="AB572" s="117"/>
      <c r="AC572" s="117"/>
      <c r="CH572" s="2"/>
    </row>
    <row r="573" spans="1:86" x14ac:dyDescent="0.3">
      <c r="A573" s="2">
        <v>733</v>
      </c>
      <c r="B573" s="2" t="s">
        <v>0</v>
      </c>
      <c r="C573" s="2" t="s">
        <v>1</v>
      </c>
      <c r="D573" s="2" t="s">
        <v>986</v>
      </c>
      <c r="E573" s="2">
        <v>750</v>
      </c>
      <c r="F573" s="2">
        <v>4.0099999999999997E-2</v>
      </c>
      <c r="G573" s="2">
        <v>3.3099999999999997E-2</v>
      </c>
      <c r="H573" s="4">
        <f t="shared" si="58"/>
        <v>0.1745635910224439</v>
      </c>
      <c r="I573" s="2" t="s">
        <v>98</v>
      </c>
      <c r="J573" s="2" t="s">
        <v>987</v>
      </c>
      <c r="K573" s="2" t="s">
        <v>413</v>
      </c>
      <c r="L573" s="2" t="s">
        <v>76</v>
      </c>
      <c r="M573" s="155"/>
      <c r="N573" s="155"/>
      <c r="O573" s="2">
        <v>3</v>
      </c>
      <c r="P573" s="6">
        <v>45</v>
      </c>
      <c r="Q573" s="131">
        <f t="shared" si="59"/>
        <v>2.56</v>
      </c>
      <c r="R573" s="33">
        <f t="shared" si="57"/>
        <v>45</v>
      </c>
      <c r="S573" s="132">
        <f t="shared" si="60"/>
        <v>5.625</v>
      </c>
      <c r="T573" s="132">
        <f t="shared" si="61"/>
        <v>5.625</v>
      </c>
      <c r="V573" s="131" t="str">
        <f t="shared" si="62"/>
        <v/>
      </c>
      <c r="W573" s="17"/>
      <c r="X573" s="7"/>
      <c r="Y573" s="161"/>
      <c r="Z573" s="7"/>
      <c r="AA573" s="117"/>
      <c r="AB573" s="117"/>
      <c r="AC573" s="117"/>
      <c r="CH573" s="2"/>
    </row>
    <row r="574" spans="1:86" x14ac:dyDescent="0.3">
      <c r="A574" s="2">
        <v>734</v>
      </c>
      <c r="B574" s="2" t="s">
        <v>0</v>
      </c>
      <c r="C574" s="2" t="s">
        <v>1</v>
      </c>
      <c r="D574" s="2" t="s">
        <v>988</v>
      </c>
      <c r="E574" s="2">
        <v>750</v>
      </c>
      <c r="F574" s="2">
        <v>4.0099999999999997E-2</v>
      </c>
      <c r="G574" s="2">
        <v>3.3099999999999997E-2</v>
      </c>
      <c r="H574" s="4">
        <f t="shared" si="58"/>
        <v>0.1745635910224439</v>
      </c>
      <c r="I574" s="2" t="s">
        <v>98</v>
      </c>
      <c r="J574" s="2" t="s">
        <v>987</v>
      </c>
      <c r="K574" s="2" t="s">
        <v>413</v>
      </c>
      <c r="L574" s="2" t="s">
        <v>76</v>
      </c>
      <c r="M574" s="155"/>
      <c r="N574" s="155"/>
      <c r="O574" s="2">
        <v>3</v>
      </c>
      <c r="P574" s="6">
        <v>45</v>
      </c>
      <c r="Q574" s="131">
        <f t="shared" si="59"/>
        <v>2.56</v>
      </c>
      <c r="R574" s="33">
        <f t="shared" si="57"/>
        <v>45</v>
      </c>
      <c r="S574" s="132">
        <f t="shared" si="60"/>
        <v>5.625</v>
      </c>
      <c r="T574" s="132">
        <f t="shared" si="61"/>
        <v>5.625</v>
      </c>
      <c r="V574" s="131" t="str">
        <f t="shared" si="62"/>
        <v/>
      </c>
      <c r="W574" s="17"/>
      <c r="X574" s="7"/>
      <c r="Y574" s="161"/>
      <c r="Z574" s="7"/>
      <c r="AA574" s="117"/>
      <c r="AB574" s="117"/>
      <c r="AC574" s="117"/>
      <c r="CH574" s="2"/>
    </row>
    <row r="575" spans="1:86" x14ac:dyDescent="0.3">
      <c r="A575" s="2">
        <v>2069</v>
      </c>
      <c r="B575" s="2" t="s">
        <v>0</v>
      </c>
      <c r="C575" s="2" t="s">
        <v>1</v>
      </c>
      <c r="D575" s="2" t="s">
        <v>989</v>
      </c>
      <c r="E575" s="2">
        <v>750</v>
      </c>
      <c r="F575" s="2">
        <v>4.0099999999999997E-2</v>
      </c>
      <c r="G575" s="2">
        <v>3.3099999999999997E-2</v>
      </c>
      <c r="H575" s="4">
        <f t="shared" si="58"/>
        <v>0.1745635910224439</v>
      </c>
      <c r="I575" s="2" t="s">
        <v>98</v>
      </c>
      <c r="J575" s="2" t="s">
        <v>990</v>
      </c>
      <c r="K575" s="2" t="s">
        <v>413</v>
      </c>
      <c r="L575" s="2" t="s">
        <v>76</v>
      </c>
      <c r="M575" s="155"/>
      <c r="N575" s="155"/>
      <c r="O575" s="2">
        <v>3</v>
      </c>
      <c r="P575" s="6">
        <v>45</v>
      </c>
      <c r="Q575" s="131">
        <f t="shared" si="59"/>
        <v>2.56</v>
      </c>
      <c r="R575" s="33">
        <f t="shared" si="57"/>
        <v>45</v>
      </c>
      <c r="S575" s="132">
        <f t="shared" si="60"/>
        <v>5.625</v>
      </c>
      <c r="T575" s="132">
        <f t="shared" si="61"/>
        <v>5.625</v>
      </c>
      <c r="V575" s="131" t="str">
        <f t="shared" si="62"/>
        <v/>
      </c>
      <c r="W575" s="17"/>
      <c r="X575" s="7"/>
      <c r="Y575" s="161"/>
      <c r="Z575" s="7"/>
      <c r="AA575" s="117"/>
      <c r="AB575" s="117"/>
      <c r="AC575" s="117"/>
      <c r="CH575" s="2"/>
    </row>
    <row r="576" spans="1:86" x14ac:dyDescent="0.3">
      <c r="A576" s="2">
        <v>2070</v>
      </c>
      <c r="B576" s="2" t="s">
        <v>0</v>
      </c>
      <c r="C576" s="2" t="s">
        <v>1</v>
      </c>
      <c r="D576" s="2" t="s">
        <v>991</v>
      </c>
      <c r="E576" s="2">
        <v>750</v>
      </c>
      <c r="F576" s="2">
        <v>4.0099999999999997E-2</v>
      </c>
      <c r="G576" s="2">
        <v>3.3099999999999997E-2</v>
      </c>
      <c r="H576" s="4">
        <f t="shared" si="58"/>
        <v>0.1745635910224439</v>
      </c>
      <c r="I576" s="2" t="s">
        <v>98</v>
      </c>
      <c r="J576" s="2" t="s">
        <v>990</v>
      </c>
      <c r="K576" s="2" t="s">
        <v>413</v>
      </c>
      <c r="L576" s="2" t="s">
        <v>76</v>
      </c>
      <c r="M576" s="155"/>
      <c r="N576" s="155"/>
      <c r="O576" s="2">
        <v>3</v>
      </c>
      <c r="P576" s="6">
        <v>45</v>
      </c>
      <c r="Q576" s="131">
        <f t="shared" si="59"/>
        <v>2.56</v>
      </c>
      <c r="R576" s="33">
        <f t="shared" si="57"/>
        <v>45</v>
      </c>
      <c r="S576" s="132">
        <f t="shared" si="60"/>
        <v>5.625</v>
      </c>
      <c r="T576" s="132">
        <f t="shared" si="61"/>
        <v>5.625</v>
      </c>
      <c r="V576" s="131" t="str">
        <f t="shared" si="62"/>
        <v/>
      </c>
      <c r="W576" s="17"/>
      <c r="X576" s="7"/>
      <c r="Y576" s="161"/>
      <c r="Z576" s="7"/>
      <c r="AA576" s="117"/>
      <c r="AB576" s="117"/>
      <c r="AC576" s="117"/>
      <c r="CH576" s="2"/>
    </row>
    <row r="577" spans="1:86" x14ac:dyDescent="0.3">
      <c r="A577" s="2">
        <v>2066</v>
      </c>
      <c r="B577" s="2" t="s">
        <v>0</v>
      </c>
      <c r="C577" s="2" t="s">
        <v>1</v>
      </c>
      <c r="D577" s="2" t="s">
        <v>992</v>
      </c>
      <c r="E577" s="2">
        <v>750</v>
      </c>
      <c r="F577" s="2">
        <v>4.0099999999999997E-2</v>
      </c>
      <c r="G577" s="2">
        <v>3.3099999999999997E-2</v>
      </c>
      <c r="H577" s="4">
        <f t="shared" si="58"/>
        <v>0.1745635910224439</v>
      </c>
      <c r="I577" s="2" t="s">
        <v>98</v>
      </c>
      <c r="J577" s="2" t="s">
        <v>990</v>
      </c>
      <c r="K577" s="2" t="s">
        <v>413</v>
      </c>
      <c r="L577" s="2" t="s">
        <v>76</v>
      </c>
      <c r="M577" s="155"/>
      <c r="N577" s="155"/>
      <c r="O577" s="2">
        <v>3</v>
      </c>
      <c r="P577" s="6">
        <v>45</v>
      </c>
      <c r="Q577" s="131">
        <f t="shared" si="59"/>
        <v>2.56</v>
      </c>
      <c r="R577" s="33">
        <f t="shared" si="57"/>
        <v>45</v>
      </c>
      <c r="S577" s="132">
        <f t="shared" si="60"/>
        <v>5.625</v>
      </c>
      <c r="T577" s="132">
        <f t="shared" si="61"/>
        <v>5.625</v>
      </c>
      <c r="V577" s="131" t="str">
        <f t="shared" si="62"/>
        <v/>
      </c>
      <c r="W577" s="17"/>
      <c r="X577" s="7"/>
      <c r="Y577" s="161"/>
      <c r="Z577" s="7"/>
      <c r="AA577" s="117"/>
      <c r="AB577" s="117"/>
      <c r="AC577" s="117"/>
      <c r="CH577" s="2"/>
    </row>
    <row r="578" spans="1:86" x14ac:dyDescent="0.3">
      <c r="A578" s="2">
        <v>2068</v>
      </c>
      <c r="B578" s="2" t="s">
        <v>0</v>
      </c>
      <c r="C578" s="2" t="s">
        <v>1</v>
      </c>
      <c r="D578" s="2" t="s">
        <v>993</v>
      </c>
      <c r="E578" s="2">
        <v>750</v>
      </c>
      <c r="F578" s="2">
        <v>4.0099999999999997E-2</v>
      </c>
      <c r="G578" s="2">
        <v>3.3099999999999997E-2</v>
      </c>
      <c r="H578" s="4">
        <f t="shared" si="58"/>
        <v>0.1745635910224439</v>
      </c>
      <c r="I578" s="2" t="s">
        <v>98</v>
      </c>
      <c r="J578" s="2" t="s">
        <v>990</v>
      </c>
      <c r="K578" s="2" t="s">
        <v>413</v>
      </c>
      <c r="L578" s="2" t="s">
        <v>76</v>
      </c>
      <c r="M578" s="155"/>
      <c r="N578" s="155"/>
      <c r="O578" s="2">
        <v>3</v>
      </c>
      <c r="P578" s="6">
        <v>45</v>
      </c>
      <c r="Q578" s="131">
        <f t="shared" si="59"/>
        <v>2.56</v>
      </c>
      <c r="R578" s="33">
        <f t="shared" ref="R578:R641" si="63">IFERROR(60*60*8*O578/E578/Q578,"")</f>
        <v>45</v>
      </c>
      <c r="S578" s="132">
        <f t="shared" si="60"/>
        <v>5.625</v>
      </c>
      <c r="T578" s="132">
        <f t="shared" si="61"/>
        <v>5.625</v>
      </c>
      <c r="V578" s="131" t="str">
        <f t="shared" si="62"/>
        <v/>
      </c>
      <c r="W578" s="17"/>
      <c r="X578" s="7"/>
      <c r="Y578" s="161"/>
      <c r="Z578" s="7"/>
      <c r="AA578" s="117"/>
      <c r="AB578" s="117"/>
      <c r="AC578" s="117"/>
      <c r="CH578" s="2"/>
    </row>
    <row r="579" spans="1:86" x14ac:dyDescent="0.3">
      <c r="A579" s="2">
        <v>736</v>
      </c>
      <c r="B579" s="2" t="s">
        <v>0</v>
      </c>
      <c r="C579" s="2" t="s">
        <v>1</v>
      </c>
      <c r="D579" s="2" t="s">
        <v>994</v>
      </c>
      <c r="E579" s="2">
        <v>750</v>
      </c>
      <c r="F579" s="2">
        <v>4.0099999999999997E-2</v>
      </c>
      <c r="G579" s="2">
        <v>3.3099999999999997E-2</v>
      </c>
      <c r="H579" s="4">
        <f t="shared" si="58"/>
        <v>0.1745635910224439</v>
      </c>
      <c r="I579" s="2" t="s">
        <v>98</v>
      </c>
      <c r="J579" s="2" t="s">
        <v>987</v>
      </c>
      <c r="K579" s="2" t="s">
        <v>413</v>
      </c>
      <c r="L579" s="2" t="s">
        <v>76</v>
      </c>
      <c r="M579" s="155"/>
      <c r="N579" s="155"/>
      <c r="O579" s="2">
        <v>3</v>
      </c>
      <c r="P579" s="6">
        <v>45</v>
      </c>
      <c r="Q579" s="131">
        <f t="shared" si="59"/>
        <v>2.56</v>
      </c>
      <c r="R579" s="33">
        <f t="shared" si="63"/>
        <v>45</v>
      </c>
      <c r="S579" s="132">
        <f t="shared" si="60"/>
        <v>5.625</v>
      </c>
      <c r="T579" s="132">
        <f t="shared" si="61"/>
        <v>5.625</v>
      </c>
      <c r="V579" s="131" t="str">
        <f t="shared" si="62"/>
        <v/>
      </c>
      <c r="W579" s="17"/>
      <c r="X579" s="7"/>
      <c r="Y579" s="161"/>
      <c r="Z579" s="7"/>
      <c r="AA579" s="117"/>
      <c r="AB579" s="117"/>
      <c r="AC579" s="117"/>
      <c r="CH579" s="2"/>
    </row>
    <row r="580" spans="1:86" x14ac:dyDescent="0.3">
      <c r="A580" s="2">
        <v>737</v>
      </c>
      <c r="B580" s="2" t="s">
        <v>0</v>
      </c>
      <c r="C580" s="2" t="s">
        <v>1</v>
      </c>
      <c r="D580" s="2" t="s">
        <v>995</v>
      </c>
      <c r="E580" s="2">
        <v>1000</v>
      </c>
      <c r="F580" s="2">
        <v>6.6E-3</v>
      </c>
      <c r="G580" s="2">
        <v>4.1999999999999997E-3</v>
      </c>
      <c r="H580" s="4">
        <f t="shared" si="58"/>
        <v>0.36363636363636365</v>
      </c>
      <c r="I580" s="2" t="s">
        <v>98</v>
      </c>
      <c r="J580" s="2" t="s">
        <v>996</v>
      </c>
      <c r="K580" s="2" t="s">
        <v>982</v>
      </c>
      <c r="L580" s="2" t="s">
        <v>983</v>
      </c>
      <c r="M580" s="155"/>
      <c r="N580" s="155"/>
      <c r="O580" s="2">
        <v>24</v>
      </c>
      <c r="P580" s="6">
        <v>40</v>
      </c>
      <c r="Q580" s="131">
        <f t="shared" si="59"/>
        <v>17.28</v>
      </c>
      <c r="R580" s="33">
        <f t="shared" si="63"/>
        <v>40</v>
      </c>
      <c r="S580" s="132">
        <f t="shared" si="60"/>
        <v>5</v>
      </c>
      <c r="T580" s="132">
        <f t="shared" si="61"/>
        <v>5</v>
      </c>
      <c r="V580" s="131" t="str">
        <f t="shared" si="62"/>
        <v/>
      </c>
      <c r="W580" s="17"/>
      <c r="X580" s="7"/>
      <c r="Y580" s="161"/>
      <c r="Z580" s="7"/>
      <c r="AA580" s="117"/>
      <c r="AB580" s="117"/>
      <c r="AC580" s="117"/>
      <c r="CH580" s="2"/>
    </row>
    <row r="581" spans="1:86" x14ac:dyDescent="0.3">
      <c r="A581" s="2">
        <v>738</v>
      </c>
      <c r="B581" s="2" t="s">
        <v>0</v>
      </c>
      <c r="C581" s="2" t="s">
        <v>1</v>
      </c>
      <c r="D581" s="2" t="s">
        <v>997</v>
      </c>
      <c r="E581" s="2">
        <v>750</v>
      </c>
      <c r="F581" s="2">
        <v>4.0099999999999997E-2</v>
      </c>
      <c r="G581" s="2">
        <v>3.3099999999999997E-2</v>
      </c>
      <c r="H581" s="4">
        <f t="shared" si="58"/>
        <v>0.1745635910224439</v>
      </c>
      <c r="I581" s="2" t="s">
        <v>98</v>
      </c>
      <c r="J581" s="2" t="s">
        <v>987</v>
      </c>
      <c r="K581" s="2" t="s">
        <v>413</v>
      </c>
      <c r="L581" s="2" t="s">
        <v>76</v>
      </c>
      <c r="M581" s="155"/>
      <c r="N581" s="155"/>
      <c r="O581" s="2">
        <v>3</v>
      </c>
      <c r="P581" s="6">
        <v>45</v>
      </c>
      <c r="Q581" s="131">
        <f t="shared" si="59"/>
        <v>2.56</v>
      </c>
      <c r="R581" s="33">
        <f t="shared" si="63"/>
        <v>45</v>
      </c>
      <c r="S581" s="132">
        <f t="shared" si="60"/>
        <v>5.625</v>
      </c>
      <c r="T581" s="132">
        <f t="shared" si="61"/>
        <v>5.625</v>
      </c>
      <c r="V581" s="131" t="str">
        <f t="shared" si="62"/>
        <v/>
      </c>
      <c r="W581" s="17"/>
      <c r="X581" s="7"/>
      <c r="Y581" s="161"/>
      <c r="Z581" s="7"/>
      <c r="AA581" s="117"/>
      <c r="AB581" s="117"/>
      <c r="AC581" s="117"/>
      <c r="CH581" s="2"/>
    </row>
    <row r="582" spans="1:86" x14ac:dyDescent="0.3">
      <c r="A582" s="2">
        <v>739</v>
      </c>
      <c r="B582" s="2" t="s">
        <v>0</v>
      </c>
      <c r="C582" s="2" t="s">
        <v>1</v>
      </c>
      <c r="D582" s="2" t="s">
        <v>998</v>
      </c>
      <c r="E582" s="2">
        <v>750</v>
      </c>
      <c r="F582" s="2">
        <v>4.0099999999999997E-2</v>
      </c>
      <c r="G582" s="2">
        <v>3.3099999999999997E-2</v>
      </c>
      <c r="H582" s="4">
        <f t="shared" si="58"/>
        <v>0.1745635910224439</v>
      </c>
      <c r="I582" s="2" t="s">
        <v>98</v>
      </c>
      <c r="J582" s="2" t="s">
        <v>987</v>
      </c>
      <c r="K582" s="2" t="s">
        <v>413</v>
      </c>
      <c r="L582" s="2" t="s">
        <v>76</v>
      </c>
      <c r="M582" s="155"/>
      <c r="N582" s="155"/>
      <c r="O582" s="2">
        <v>3</v>
      </c>
      <c r="P582" s="6">
        <v>45</v>
      </c>
      <c r="Q582" s="131">
        <f t="shared" si="59"/>
        <v>2.56</v>
      </c>
      <c r="R582" s="33">
        <f t="shared" si="63"/>
        <v>45</v>
      </c>
      <c r="S582" s="132">
        <f t="shared" si="60"/>
        <v>5.625</v>
      </c>
      <c r="T582" s="132">
        <f t="shared" si="61"/>
        <v>5.625</v>
      </c>
      <c r="V582" s="131" t="str">
        <f t="shared" si="62"/>
        <v/>
      </c>
      <c r="W582" s="17"/>
      <c r="X582" s="7"/>
      <c r="Y582" s="161"/>
      <c r="Z582" s="7"/>
      <c r="AA582" s="117"/>
      <c r="AB582" s="117"/>
      <c r="AC582" s="117"/>
      <c r="CH582" s="2"/>
    </row>
    <row r="583" spans="1:86" x14ac:dyDescent="0.3">
      <c r="A583" s="23">
        <v>740</v>
      </c>
      <c r="B583" s="2" t="s">
        <v>0</v>
      </c>
      <c r="C583" s="2" t="s">
        <v>1</v>
      </c>
      <c r="D583" s="2" t="s">
        <v>999</v>
      </c>
      <c r="E583" s="2">
        <v>750</v>
      </c>
      <c r="F583" s="2">
        <v>4.0099999999999997E-2</v>
      </c>
      <c r="G583" s="2">
        <v>3.3099999999999997E-2</v>
      </c>
      <c r="H583" s="4">
        <f t="shared" si="58"/>
        <v>0.1745635910224439</v>
      </c>
      <c r="I583" s="2" t="s">
        <v>98</v>
      </c>
      <c r="J583" s="2" t="s">
        <v>987</v>
      </c>
      <c r="K583" s="2" t="s">
        <v>413</v>
      </c>
      <c r="L583" s="2" t="s">
        <v>76</v>
      </c>
      <c r="M583" s="155"/>
      <c r="N583" s="155"/>
      <c r="O583" s="2">
        <v>3</v>
      </c>
      <c r="P583" s="6">
        <v>45</v>
      </c>
      <c r="Q583" s="131">
        <f t="shared" si="59"/>
        <v>2.56</v>
      </c>
      <c r="R583" s="33">
        <f t="shared" si="63"/>
        <v>45</v>
      </c>
      <c r="S583" s="132">
        <f t="shared" si="60"/>
        <v>5.625</v>
      </c>
      <c r="T583" s="132">
        <f t="shared" si="61"/>
        <v>5.625</v>
      </c>
      <c r="V583" s="131">
        <f t="shared" si="62"/>
        <v>4.6639676113360329</v>
      </c>
      <c r="W583" s="17">
        <v>24.7</v>
      </c>
      <c r="X583" s="8">
        <f>60*60*8/W583</f>
        <v>1165.9919028340082</v>
      </c>
      <c r="Y583" s="161">
        <v>45595</v>
      </c>
      <c r="Z583" s="7" t="s">
        <v>7</v>
      </c>
      <c r="AA583" s="117"/>
      <c r="AB583" s="117"/>
      <c r="AC583" s="117"/>
      <c r="CH583" s="2"/>
    </row>
    <row r="584" spans="1:86" x14ac:dyDescent="0.3">
      <c r="A584" s="2">
        <v>741</v>
      </c>
      <c r="B584" s="2" t="s">
        <v>0</v>
      </c>
      <c r="C584" s="2" t="s">
        <v>1</v>
      </c>
      <c r="D584" s="2" t="s">
        <v>1000</v>
      </c>
      <c r="E584" s="2">
        <v>750</v>
      </c>
      <c r="F584" s="2">
        <v>4.0099999999999997E-2</v>
      </c>
      <c r="G584" s="2">
        <v>3.3099999999999997E-2</v>
      </c>
      <c r="H584" s="4">
        <f t="shared" si="58"/>
        <v>0.1745635910224439</v>
      </c>
      <c r="I584" s="2" t="s">
        <v>98</v>
      </c>
      <c r="J584" s="2" t="s">
        <v>987</v>
      </c>
      <c r="K584" s="2" t="s">
        <v>413</v>
      </c>
      <c r="L584" s="2" t="s">
        <v>76</v>
      </c>
      <c r="M584" s="155"/>
      <c r="N584" s="155"/>
      <c r="O584" s="2">
        <v>3</v>
      </c>
      <c r="P584" s="6">
        <v>45</v>
      </c>
      <c r="Q584" s="131">
        <f t="shared" si="59"/>
        <v>2.56</v>
      </c>
      <c r="R584" s="33">
        <f t="shared" si="63"/>
        <v>45</v>
      </c>
      <c r="S584" s="132">
        <f t="shared" si="60"/>
        <v>5.625</v>
      </c>
      <c r="T584" s="132">
        <f t="shared" si="61"/>
        <v>5.625</v>
      </c>
      <c r="V584" s="131" t="str">
        <f t="shared" si="62"/>
        <v/>
      </c>
      <c r="W584" s="17"/>
      <c r="X584" s="7"/>
      <c r="Y584" s="161"/>
      <c r="Z584" s="7"/>
      <c r="AA584" s="117"/>
      <c r="AB584" s="117"/>
      <c r="AC584" s="117"/>
      <c r="CH584" s="2"/>
    </row>
    <row r="585" spans="1:86" x14ac:dyDescent="0.3">
      <c r="A585" s="23">
        <v>742</v>
      </c>
      <c r="B585" s="2" t="s">
        <v>0</v>
      </c>
      <c r="C585" s="2" t="s">
        <v>1</v>
      </c>
      <c r="D585" s="2" t="s">
        <v>1001</v>
      </c>
      <c r="E585" s="2">
        <v>750</v>
      </c>
      <c r="F585" s="2">
        <v>4.0099999999999997E-2</v>
      </c>
      <c r="G585" s="2">
        <v>3.3099999999999997E-2</v>
      </c>
      <c r="H585" s="4">
        <f t="shared" si="58"/>
        <v>0.1745635910224439</v>
      </c>
      <c r="I585" s="2" t="s">
        <v>98</v>
      </c>
      <c r="J585" s="2" t="s">
        <v>987</v>
      </c>
      <c r="K585" s="2" t="s">
        <v>413</v>
      </c>
      <c r="L585" s="2" t="s">
        <v>76</v>
      </c>
      <c r="M585" s="155"/>
      <c r="N585" s="155"/>
      <c r="O585" s="2">
        <v>3</v>
      </c>
      <c r="P585" s="6">
        <v>45</v>
      </c>
      <c r="Q585" s="131">
        <f t="shared" si="59"/>
        <v>2.56</v>
      </c>
      <c r="R585" s="33">
        <f t="shared" si="63"/>
        <v>45</v>
      </c>
      <c r="S585" s="132">
        <f t="shared" si="60"/>
        <v>5.625</v>
      </c>
      <c r="T585" s="132">
        <f t="shared" si="61"/>
        <v>5.625</v>
      </c>
      <c r="V585" s="131">
        <f t="shared" si="62"/>
        <v>4.6639676113360329</v>
      </c>
      <c r="W585" s="17">
        <v>24.7</v>
      </c>
      <c r="X585" s="8">
        <f>60*60*8/W585</f>
        <v>1165.9919028340082</v>
      </c>
      <c r="Y585" s="161">
        <v>45596</v>
      </c>
      <c r="Z585" s="7" t="s">
        <v>7</v>
      </c>
      <c r="AA585" s="117"/>
      <c r="AB585" s="117"/>
      <c r="AC585" s="117"/>
      <c r="CH585" s="2"/>
    </row>
    <row r="586" spans="1:86" x14ac:dyDescent="0.3">
      <c r="A586" s="2">
        <v>743</v>
      </c>
      <c r="B586" s="2" t="s">
        <v>0</v>
      </c>
      <c r="C586" s="2" t="s">
        <v>1</v>
      </c>
      <c r="D586" s="2" t="s">
        <v>1002</v>
      </c>
      <c r="E586" s="2">
        <v>1000</v>
      </c>
      <c r="F586" s="2">
        <v>6.6E-3</v>
      </c>
      <c r="G586" s="2">
        <v>4.1999999999999997E-3</v>
      </c>
      <c r="H586" s="4">
        <f t="shared" si="58"/>
        <v>0.36363636363636365</v>
      </c>
      <c r="I586" s="2" t="s">
        <v>98</v>
      </c>
      <c r="J586" s="2" t="s">
        <v>1003</v>
      </c>
      <c r="K586" s="2" t="s">
        <v>982</v>
      </c>
      <c r="L586" s="2" t="s">
        <v>983</v>
      </c>
      <c r="M586" s="155"/>
      <c r="N586" s="155"/>
      <c r="O586" s="2">
        <v>24</v>
      </c>
      <c r="P586" s="6">
        <v>40</v>
      </c>
      <c r="Q586" s="131">
        <f t="shared" si="59"/>
        <v>17.28</v>
      </c>
      <c r="R586" s="33">
        <f t="shared" si="63"/>
        <v>40</v>
      </c>
      <c r="S586" s="132">
        <f t="shared" si="60"/>
        <v>5</v>
      </c>
      <c r="T586" s="132">
        <f t="shared" si="61"/>
        <v>5</v>
      </c>
      <c r="V586" s="131" t="str">
        <f t="shared" si="62"/>
        <v/>
      </c>
      <c r="W586" s="17"/>
      <c r="X586" s="7"/>
      <c r="Y586" s="161"/>
      <c r="Z586" s="7"/>
      <c r="AA586" s="117"/>
      <c r="AB586" s="117"/>
      <c r="AC586" s="117"/>
      <c r="CH586" s="2"/>
    </row>
    <row r="587" spans="1:86" x14ac:dyDescent="0.3">
      <c r="A587" s="2">
        <v>744</v>
      </c>
      <c r="B587" s="2" t="s">
        <v>0</v>
      </c>
      <c r="C587" s="2" t="s">
        <v>1</v>
      </c>
      <c r="D587" s="2" t="s">
        <v>1004</v>
      </c>
      <c r="E587" s="2">
        <v>750</v>
      </c>
      <c r="F587" s="2">
        <v>4.0099999999999997E-2</v>
      </c>
      <c r="G587" s="2">
        <v>3.3099999999999997E-2</v>
      </c>
      <c r="H587" s="4">
        <f t="shared" si="58"/>
        <v>0.1745635910224439</v>
      </c>
      <c r="I587" s="2" t="s">
        <v>98</v>
      </c>
      <c r="J587" s="2" t="s">
        <v>495</v>
      </c>
      <c r="K587" s="2" t="s">
        <v>413</v>
      </c>
      <c r="L587" s="2" t="s">
        <v>76</v>
      </c>
      <c r="M587" s="155"/>
      <c r="N587" s="155"/>
      <c r="O587" s="2">
        <v>3</v>
      </c>
      <c r="P587" s="6">
        <v>45</v>
      </c>
      <c r="Q587" s="131">
        <f t="shared" si="59"/>
        <v>2.56</v>
      </c>
      <c r="R587" s="33">
        <f t="shared" si="63"/>
        <v>45</v>
      </c>
      <c r="S587" s="132">
        <f t="shared" si="60"/>
        <v>5.625</v>
      </c>
      <c r="T587" s="132">
        <f t="shared" si="61"/>
        <v>5.625</v>
      </c>
      <c r="V587" s="131" t="str">
        <f t="shared" si="62"/>
        <v/>
      </c>
      <c r="W587" s="17"/>
      <c r="X587" s="7"/>
      <c r="Y587" s="161"/>
      <c r="Z587" s="7"/>
      <c r="AA587" s="117"/>
      <c r="AB587" s="117"/>
      <c r="AC587" s="117"/>
      <c r="CH587" s="2"/>
    </row>
    <row r="588" spans="1:86" x14ac:dyDescent="0.3">
      <c r="A588" s="2">
        <v>745</v>
      </c>
      <c r="B588" s="2" t="s">
        <v>0</v>
      </c>
      <c r="C588" s="2" t="s">
        <v>1</v>
      </c>
      <c r="D588" s="2" t="s">
        <v>1005</v>
      </c>
      <c r="E588" s="2">
        <v>750</v>
      </c>
      <c r="F588" s="2">
        <v>4.0099999999999997E-2</v>
      </c>
      <c r="G588" s="2">
        <v>3.3099999999999997E-2</v>
      </c>
      <c r="H588" s="4">
        <f t="shared" si="58"/>
        <v>0.1745635910224439</v>
      </c>
      <c r="I588" s="2" t="s">
        <v>98</v>
      </c>
      <c r="J588" s="2" t="s">
        <v>987</v>
      </c>
      <c r="K588" s="2" t="s">
        <v>413</v>
      </c>
      <c r="L588" s="2" t="s">
        <v>76</v>
      </c>
      <c r="M588" s="155"/>
      <c r="N588" s="155"/>
      <c r="O588" s="2">
        <v>3</v>
      </c>
      <c r="P588" s="6">
        <v>45</v>
      </c>
      <c r="Q588" s="131">
        <f t="shared" si="59"/>
        <v>2.56</v>
      </c>
      <c r="R588" s="33">
        <f t="shared" si="63"/>
        <v>45</v>
      </c>
      <c r="S588" s="132">
        <f t="shared" si="60"/>
        <v>5.625</v>
      </c>
      <c r="T588" s="132">
        <f t="shared" si="61"/>
        <v>5.625</v>
      </c>
      <c r="V588" s="131" t="str">
        <f t="shared" si="62"/>
        <v/>
      </c>
      <c r="W588" s="17"/>
      <c r="X588" s="7"/>
      <c r="Y588" s="161"/>
      <c r="Z588" s="7"/>
      <c r="AA588" s="117"/>
      <c r="AB588" s="117"/>
      <c r="AC588" s="117"/>
      <c r="CH588" s="2"/>
    </row>
    <row r="589" spans="1:86" x14ac:dyDescent="0.3">
      <c r="A589" s="2">
        <v>746</v>
      </c>
      <c r="B589" s="2" t="s">
        <v>0</v>
      </c>
      <c r="C589" s="2" t="s">
        <v>1</v>
      </c>
      <c r="D589" s="2" t="s">
        <v>1006</v>
      </c>
      <c r="E589" s="2">
        <v>1000</v>
      </c>
      <c r="F589" s="2">
        <v>6.6E-3</v>
      </c>
      <c r="G589" s="2">
        <v>4.1999999999999997E-3</v>
      </c>
      <c r="H589" s="4">
        <f t="shared" si="58"/>
        <v>0.36363636363636365</v>
      </c>
      <c r="I589" s="2" t="s">
        <v>98</v>
      </c>
      <c r="J589" s="2" t="s">
        <v>1007</v>
      </c>
      <c r="K589" s="2" t="s">
        <v>982</v>
      </c>
      <c r="L589" s="2" t="s">
        <v>983</v>
      </c>
      <c r="M589" s="155"/>
      <c r="N589" s="155"/>
      <c r="O589" s="2">
        <v>24</v>
      </c>
      <c r="P589" s="6">
        <v>40</v>
      </c>
      <c r="Q589" s="131">
        <f t="shared" si="59"/>
        <v>17.28</v>
      </c>
      <c r="R589" s="33">
        <f t="shared" si="63"/>
        <v>40</v>
      </c>
      <c r="S589" s="132">
        <f t="shared" si="60"/>
        <v>5</v>
      </c>
      <c r="T589" s="132">
        <f t="shared" si="61"/>
        <v>5</v>
      </c>
      <c r="V589" s="131" t="str">
        <f t="shared" si="62"/>
        <v/>
      </c>
      <c r="W589" s="17"/>
      <c r="X589" s="7"/>
      <c r="Y589" s="161"/>
      <c r="Z589" s="7"/>
      <c r="AA589" s="117"/>
      <c r="AB589" s="117"/>
      <c r="AC589" s="117"/>
      <c r="CH589" s="2"/>
    </row>
    <row r="590" spans="1:86" x14ac:dyDescent="0.3">
      <c r="A590" s="2">
        <v>747</v>
      </c>
      <c r="B590" s="2" t="s">
        <v>0</v>
      </c>
      <c r="C590" s="2" t="s">
        <v>1</v>
      </c>
      <c r="D590" s="2" t="s">
        <v>1008</v>
      </c>
      <c r="E590" s="2">
        <v>1000</v>
      </c>
      <c r="F590" s="2">
        <v>6.6E-3</v>
      </c>
      <c r="G590" s="2">
        <v>4.1999999999999997E-3</v>
      </c>
      <c r="H590" s="4">
        <f t="shared" si="58"/>
        <v>0.36363636363636365</v>
      </c>
      <c r="I590" s="2" t="s">
        <v>98</v>
      </c>
      <c r="J590" s="2" t="s">
        <v>1009</v>
      </c>
      <c r="K590" s="2" t="s">
        <v>982</v>
      </c>
      <c r="L590" s="2" t="s">
        <v>983</v>
      </c>
      <c r="M590" s="164"/>
      <c r="N590" s="155"/>
      <c r="O590" s="2">
        <v>24</v>
      </c>
      <c r="P590" s="6">
        <v>40</v>
      </c>
      <c r="Q590" s="131">
        <f t="shared" si="59"/>
        <v>17.28</v>
      </c>
      <c r="R590" s="33">
        <f t="shared" si="63"/>
        <v>40</v>
      </c>
      <c r="S590" s="132">
        <f t="shared" si="60"/>
        <v>5</v>
      </c>
      <c r="T590" s="132">
        <f t="shared" si="61"/>
        <v>5</v>
      </c>
      <c r="V590" s="131" t="str">
        <f t="shared" si="62"/>
        <v/>
      </c>
      <c r="W590" s="17"/>
      <c r="X590" s="7"/>
      <c r="Y590" s="161"/>
      <c r="Z590" s="7"/>
      <c r="AA590" s="117"/>
      <c r="AB590" s="117"/>
      <c r="AC590" s="117"/>
      <c r="CH590" s="2"/>
    </row>
    <row r="591" spans="1:86" x14ac:dyDescent="0.3">
      <c r="A591" s="2">
        <v>748</v>
      </c>
      <c r="B591" s="2" t="s">
        <v>0</v>
      </c>
      <c r="C591" s="2" t="s">
        <v>1</v>
      </c>
      <c r="D591" s="2" t="s">
        <v>1010</v>
      </c>
      <c r="E591" s="2">
        <v>750</v>
      </c>
      <c r="F591" s="2">
        <v>4.0099999999999997E-2</v>
      </c>
      <c r="G591" s="2">
        <v>3.3099999999999997E-2</v>
      </c>
      <c r="H591" s="4">
        <f t="shared" si="58"/>
        <v>0.1745635910224439</v>
      </c>
      <c r="I591" s="2" t="s">
        <v>98</v>
      </c>
      <c r="J591" s="2" t="s">
        <v>495</v>
      </c>
      <c r="K591" s="2" t="s">
        <v>413</v>
      </c>
      <c r="L591" s="2" t="s">
        <v>76</v>
      </c>
      <c r="M591" s="155"/>
      <c r="N591" s="155"/>
      <c r="O591" s="2">
        <v>3</v>
      </c>
      <c r="P591" s="6">
        <v>45</v>
      </c>
      <c r="Q591" s="131">
        <f t="shared" si="59"/>
        <v>2.56</v>
      </c>
      <c r="R591" s="33">
        <f t="shared" si="63"/>
        <v>45</v>
      </c>
      <c r="S591" s="132">
        <f t="shared" si="60"/>
        <v>5.625</v>
      </c>
      <c r="T591" s="132">
        <f t="shared" si="61"/>
        <v>5.625</v>
      </c>
      <c r="V591" s="131" t="str">
        <f t="shared" si="62"/>
        <v/>
      </c>
      <c r="W591" s="17"/>
      <c r="X591" s="7"/>
      <c r="Y591" s="161"/>
      <c r="Z591" s="7"/>
      <c r="AA591" s="117"/>
      <c r="AB591" s="117"/>
      <c r="AC591" s="117"/>
      <c r="CH591" s="2"/>
    </row>
    <row r="592" spans="1:86" x14ac:dyDescent="0.3">
      <c r="A592" s="23">
        <v>751</v>
      </c>
      <c r="B592" s="2" t="s">
        <v>0</v>
      </c>
      <c r="C592" s="2" t="s">
        <v>1</v>
      </c>
      <c r="D592" s="2" t="s">
        <v>1011</v>
      </c>
      <c r="E592" s="2">
        <v>480</v>
      </c>
      <c r="F592" s="2">
        <v>6.4999999999999997E-3</v>
      </c>
      <c r="G592" s="2">
        <v>3.0000000000000001E-3</v>
      </c>
      <c r="H592" s="4">
        <f t="shared" si="58"/>
        <v>0.53846153846153844</v>
      </c>
      <c r="I592" s="2" t="s">
        <v>98</v>
      </c>
      <c r="J592" s="2" t="s">
        <v>596</v>
      </c>
      <c r="K592" s="2" t="s">
        <v>5</v>
      </c>
      <c r="L592" s="2" t="s">
        <v>6</v>
      </c>
      <c r="M592" s="155">
        <v>5</v>
      </c>
      <c r="N592" s="155">
        <v>96</v>
      </c>
      <c r="O592" s="2">
        <v>48</v>
      </c>
      <c r="P592" s="6">
        <v>25</v>
      </c>
      <c r="Q592" s="131">
        <f t="shared" si="59"/>
        <v>115.2</v>
      </c>
      <c r="R592" s="33">
        <f t="shared" si="63"/>
        <v>25</v>
      </c>
      <c r="S592" s="132">
        <f t="shared" si="60"/>
        <v>3.125</v>
      </c>
      <c r="T592" s="132">
        <f t="shared" si="61"/>
        <v>3.125</v>
      </c>
      <c r="V592" s="131">
        <f t="shared" si="62"/>
        <v>84.210526315789465</v>
      </c>
      <c r="W592" s="17">
        <v>34.200000000000003</v>
      </c>
      <c r="X592" s="8">
        <f>60*60*8/W592</f>
        <v>842.10526315789468</v>
      </c>
      <c r="Y592" s="161">
        <v>45504</v>
      </c>
      <c r="Z592" s="7" t="s">
        <v>7</v>
      </c>
      <c r="AA592" s="117"/>
      <c r="AB592" s="117"/>
      <c r="AC592" s="117"/>
      <c r="AD592" s="24">
        <v>45504</v>
      </c>
      <c r="AE592">
        <v>6</v>
      </c>
      <c r="AF592">
        <v>7.5</v>
      </c>
      <c r="AG592">
        <v>2</v>
      </c>
      <c r="AI592">
        <v>0.4</v>
      </c>
      <c r="AJ592">
        <v>0.3</v>
      </c>
      <c r="AK592">
        <v>7</v>
      </c>
      <c r="AL592">
        <v>6.5</v>
      </c>
      <c r="AN592">
        <v>11</v>
      </c>
      <c r="AO592">
        <v>0.6</v>
      </c>
      <c r="AS592">
        <v>34.200000000000003</v>
      </c>
      <c r="AT592">
        <v>9.5</v>
      </c>
      <c r="AU592">
        <v>16.5</v>
      </c>
      <c r="AV592">
        <v>89.5</v>
      </c>
      <c r="AW592">
        <v>100</v>
      </c>
      <c r="AX592">
        <v>18</v>
      </c>
      <c r="AY592">
        <v>41</v>
      </c>
      <c r="AZ592">
        <v>81</v>
      </c>
      <c r="BA592">
        <v>113</v>
      </c>
      <c r="BB592">
        <v>400</v>
      </c>
      <c r="CH592" s="2"/>
    </row>
    <row r="593" spans="1:86" x14ac:dyDescent="0.3">
      <c r="A593" s="23">
        <v>752</v>
      </c>
      <c r="B593" s="2" t="s">
        <v>0</v>
      </c>
      <c r="C593" s="2" t="s">
        <v>1</v>
      </c>
      <c r="D593" s="2" t="s">
        <v>1012</v>
      </c>
      <c r="E593" s="2">
        <v>480</v>
      </c>
      <c r="F593" s="2">
        <v>4.5999999999999999E-3</v>
      </c>
      <c r="G593" s="2">
        <v>2E-3</v>
      </c>
      <c r="H593" s="4">
        <f t="shared" si="58"/>
        <v>0.56521739130434778</v>
      </c>
      <c r="I593" s="2" t="s">
        <v>98</v>
      </c>
      <c r="J593" s="2" t="s">
        <v>596</v>
      </c>
      <c r="K593" s="2"/>
      <c r="L593" s="2"/>
      <c r="M593" s="155" t="s">
        <v>1013</v>
      </c>
      <c r="N593" s="155"/>
      <c r="O593" s="2">
        <v>70</v>
      </c>
      <c r="P593" s="6">
        <v>25</v>
      </c>
      <c r="Q593" s="131">
        <f t="shared" si="59"/>
        <v>168</v>
      </c>
      <c r="R593" s="33">
        <f t="shared" si="63"/>
        <v>25</v>
      </c>
      <c r="S593" s="132">
        <f t="shared" si="60"/>
        <v>3.125</v>
      </c>
      <c r="T593" s="132">
        <f t="shared" si="61"/>
        <v>3.125</v>
      </c>
      <c r="V593" s="131">
        <f t="shared" si="62"/>
        <v>122.80701754385964</v>
      </c>
      <c r="W593" s="17">
        <v>34.200000000000003</v>
      </c>
      <c r="X593" s="8">
        <f>60*60*8/W593</f>
        <v>842.10526315789468</v>
      </c>
      <c r="Y593" s="161">
        <v>45477</v>
      </c>
      <c r="Z593" s="7" t="s">
        <v>7</v>
      </c>
      <c r="AA593" s="117"/>
      <c r="AB593" s="117"/>
      <c r="AC593" s="117"/>
      <c r="AD593" s="24">
        <v>45509</v>
      </c>
      <c r="AE593">
        <v>6</v>
      </c>
      <c r="AF593">
        <v>7.4</v>
      </c>
      <c r="AG593">
        <v>2</v>
      </c>
      <c r="AI593">
        <v>0.3</v>
      </c>
      <c r="AJ593">
        <v>0.4</v>
      </c>
      <c r="AK593">
        <v>8</v>
      </c>
      <c r="AL593">
        <v>7.5</v>
      </c>
      <c r="AN593">
        <v>12</v>
      </c>
      <c r="AO593">
        <v>0.6</v>
      </c>
      <c r="AS593">
        <v>34.200000000000003</v>
      </c>
      <c r="AT593">
        <v>10</v>
      </c>
      <c r="AU593">
        <v>18</v>
      </c>
      <c r="AV593">
        <v>92.5</v>
      </c>
      <c r="AW593">
        <v>102.5</v>
      </c>
      <c r="AX593">
        <v>18</v>
      </c>
      <c r="AY593">
        <v>41</v>
      </c>
      <c r="AZ593">
        <v>81</v>
      </c>
      <c r="BA593">
        <v>112.5</v>
      </c>
      <c r="BB593">
        <v>400</v>
      </c>
      <c r="CH593" s="2"/>
    </row>
    <row r="594" spans="1:86" x14ac:dyDescent="0.3">
      <c r="A594" s="23">
        <v>753</v>
      </c>
      <c r="B594" s="2" t="s">
        <v>0</v>
      </c>
      <c r="C594" s="2" t="s">
        <v>1</v>
      </c>
      <c r="D594" s="2" t="s">
        <v>1014</v>
      </c>
      <c r="E594" s="2">
        <v>480</v>
      </c>
      <c r="F594" s="2">
        <v>6.4999999999999997E-3</v>
      </c>
      <c r="G594" s="2">
        <v>3.0000000000000001E-3</v>
      </c>
      <c r="H594" s="4">
        <f t="shared" si="58"/>
        <v>0.53846153846153844</v>
      </c>
      <c r="I594" s="2" t="s">
        <v>98</v>
      </c>
      <c r="J594" s="2" t="s">
        <v>596</v>
      </c>
      <c r="K594" s="2"/>
      <c r="L594" s="2"/>
      <c r="M594" s="155">
        <v>10</v>
      </c>
      <c r="N594" s="155">
        <v>48</v>
      </c>
      <c r="O594" s="2">
        <v>48</v>
      </c>
      <c r="P594" s="6">
        <v>20</v>
      </c>
      <c r="Q594" s="131">
        <f t="shared" si="59"/>
        <v>144</v>
      </c>
      <c r="R594" s="33">
        <f t="shared" si="63"/>
        <v>20</v>
      </c>
      <c r="S594" s="132">
        <f t="shared" si="60"/>
        <v>2.5</v>
      </c>
      <c r="T594" s="132">
        <f t="shared" si="61"/>
        <v>2.5</v>
      </c>
      <c r="V594" s="131">
        <f t="shared" si="62"/>
        <v>69.902912621359221</v>
      </c>
      <c r="W594" s="17">
        <v>41.2</v>
      </c>
      <c r="X594" s="8">
        <f>60*60*8/W594</f>
        <v>699.02912621359224</v>
      </c>
      <c r="Y594" s="161">
        <v>45477</v>
      </c>
      <c r="Z594" s="7" t="s">
        <v>7</v>
      </c>
      <c r="AA594" s="117"/>
      <c r="AB594" s="117"/>
      <c r="AC594" s="117"/>
      <c r="CH594" s="2"/>
    </row>
    <row r="595" spans="1:86" x14ac:dyDescent="0.3">
      <c r="A595" s="2">
        <v>758</v>
      </c>
      <c r="B595" s="2" t="s">
        <v>84</v>
      </c>
      <c r="C595" s="2" t="s">
        <v>1</v>
      </c>
      <c r="D595" s="2" t="s">
        <v>1015</v>
      </c>
      <c r="E595" s="2">
        <v>4</v>
      </c>
      <c r="F595" s="2">
        <v>3.9E-2</v>
      </c>
      <c r="G595" s="2">
        <v>3.9E-2</v>
      </c>
      <c r="H595" s="4">
        <f t="shared" si="58"/>
        <v>0</v>
      </c>
      <c r="I595" s="2" t="s">
        <v>82</v>
      </c>
      <c r="J595" s="2" t="s">
        <v>610</v>
      </c>
      <c r="K595" s="2"/>
      <c r="L595" s="2"/>
      <c r="M595" s="155"/>
      <c r="N595" s="155"/>
      <c r="O595" s="2">
        <v>4</v>
      </c>
      <c r="P595" s="6"/>
      <c r="Q595" s="131" t="str">
        <f t="shared" si="59"/>
        <v/>
      </c>
      <c r="R595" s="33" t="str">
        <f t="shared" si="63"/>
        <v/>
      </c>
      <c r="S595" s="132" t="str">
        <f t="shared" si="60"/>
        <v/>
      </c>
      <c r="T595" s="132" t="str">
        <f t="shared" si="61"/>
        <v/>
      </c>
      <c r="V595" s="131" t="str">
        <f t="shared" si="62"/>
        <v/>
      </c>
      <c r="W595" s="17"/>
      <c r="X595" s="7"/>
      <c r="Y595" s="161"/>
      <c r="Z595" s="7"/>
      <c r="AA595" s="117"/>
      <c r="AB595" s="117"/>
      <c r="AC595" s="117"/>
      <c r="CH595" s="2"/>
    </row>
    <row r="596" spans="1:86" x14ac:dyDescent="0.3">
      <c r="A596" s="2">
        <v>760</v>
      </c>
      <c r="B596" s="2" t="s">
        <v>84</v>
      </c>
      <c r="C596" s="2" t="s">
        <v>1</v>
      </c>
      <c r="D596" s="2" t="s">
        <v>1016</v>
      </c>
      <c r="E596" s="2">
        <v>3</v>
      </c>
      <c r="F596" s="2">
        <v>2.1600000000000001E-2</v>
      </c>
      <c r="G596" s="2">
        <v>2.1600000000000001E-2</v>
      </c>
      <c r="H596" s="4">
        <f t="shared" si="58"/>
        <v>0</v>
      </c>
      <c r="I596" s="2" t="s">
        <v>82</v>
      </c>
      <c r="J596" s="2" t="s">
        <v>1017</v>
      </c>
      <c r="K596" s="2"/>
      <c r="L596" s="2"/>
      <c r="M596" s="155"/>
      <c r="N596" s="155"/>
      <c r="O596" s="2">
        <v>3</v>
      </c>
      <c r="P596" s="6"/>
      <c r="Q596" s="131" t="str">
        <f t="shared" si="59"/>
        <v/>
      </c>
      <c r="R596" s="33" t="str">
        <f t="shared" si="63"/>
        <v/>
      </c>
      <c r="S596" s="132" t="str">
        <f t="shared" si="60"/>
        <v/>
      </c>
      <c r="T596" s="132" t="str">
        <f t="shared" si="61"/>
        <v/>
      </c>
      <c r="V596" s="131" t="str">
        <f t="shared" si="62"/>
        <v/>
      </c>
      <c r="W596" s="17"/>
      <c r="X596" s="7"/>
      <c r="Y596" s="161"/>
      <c r="Z596" s="7"/>
      <c r="AA596" s="117"/>
      <c r="AB596" s="117"/>
      <c r="AC596" s="117"/>
      <c r="CH596" s="2"/>
    </row>
    <row r="597" spans="1:86" x14ac:dyDescent="0.3">
      <c r="A597" s="2">
        <v>761</v>
      </c>
      <c r="B597" s="2" t="s">
        <v>84</v>
      </c>
      <c r="C597" s="2" t="s">
        <v>1</v>
      </c>
      <c r="D597" s="2" t="s">
        <v>1018</v>
      </c>
      <c r="E597" s="2">
        <v>300</v>
      </c>
      <c r="F597" s="2">
        <v>4.9799999999999997E-2</v>
      </c>
      <c r="G597" s="2">
        <v>3.5000000000000003E-2</v>
      </c>
      <c r="H597" s="4">
        <f t="shared" si="58"/>
        <v>0.29718875502008019</v>
      </c>
      <c r="I597" s="2" t="s">
        <v>82</v>
      </c>
      <c r="J597" s="2" t="s">
        <v>598</v>
      </c>
      <c r="K597" s="2" t="s">
        <v>105</v>
      </c>
      <c r="L597" s="2" t="s">
        <v>76</v>
      </c>
      <c r="M597" s="155"/>
      <c r="N597" s="155"/>
      <c r="O597" s="2">
        <v>4</v>
      </c>
      <c r="P597" s="6">
        <v>16</v>
      </c>
      <c r="Q597" s="131">
        <f t="shared" si="59"/>
        <v>24</v>
      </c>
      <c r="R597" s="33">
        <f t="shared" si="63"/>
        <v>16</v>
      </c>
      <c r="S597" s="132">
        <f t="shared" si="60"/>
        <v>2</v>
      </c>
      <c r="T597" s="132">
        <f t="shared" si="61"/>
        <v>2</v>
      </c>
      <c r="V597" s="131" t="str">
        <f t="shared" si="62"/>
        <v/>
      </c>
      <c r="W597" s="17"/>
      <c r="X597" s="7"/>
      <c r="Y597" s="161"/>
      <c r="Z597" s="7"/>
      <c r="AA597" s="117"/>
      <c r="AB597" s="117"/>
      <c r="AC597" s="117"/>
      <c r="CH597" s="2"/>
    </row>
    <row r="598" spans="1:86" x14ac:dyDescent="0.3">
      <c r="A598" s="2">
        <v>772</v>
      </c>
      <c r="B598" s="2" t="s">
        <v>0</v>
      </c>
      <c r="C598" s="2" t="s">
        <v>1</v>
      </c>
      <c r="D598" s="2" t="s">
        <v>1019</v>
      </c>
      <c r="E598" s="2">
        <v>1200</v>
      </c>
      <c r="F598" s="2">
        <v>9.5999999999999992E-3</v>
      </c>
      <c r="G598" s="2">
        <v>6.4000000000000003E-3</v>
      </c>
      <c r="H598" s="4">
        <f t="shared" si="58"/>
        <v>0.33333333333333326</v>
      </c>
      <c r="I598" s="2" t="s">
        <v>370</v>
      </c>
      <c r="J598" s="2" t="s">
        <v>1020</v>
      </c>
      <c r="K598" s="2" t="s">
        <v>5</v>
      </c>
      <c r="L598" s="2" t="s">
        <v>6</v>
      </c>
      <c r="M598" s="155"/>
      <c r="N598" s="155"/>
      <c r="O598" s="2">
        <v>12</v>
      </c>
      <c r="P598" s="6">
        <v>10</v>
      </c>
      <c r="Q598" s="131">
        <f t="shared" si="59"/>
        <v>28.8</v>
      </c>
      <c r="R598" s="33">
        <f t="shared" si="63"/>
        <v>10</v>
      </c>
      <c r="S598" s="132">
        <f t="shared" si="60"/>
        <v>1.25</v>
      </c>
      <c r="T598" s="132">
        <f t="shared" si="61"/>
        <v>1.25</v>
      </c>
      <c r="V598" s="131" t="str">
        <f t="shared" si="62"/>
        <v/>
      </c>
      <c r="W598" s="17"/>
      <c r="X598" s="7"/>
      <c r="Y598" s="161"/>
      <c r="Z598" s="7"/>
      <c r="AA598" s="117"/>
      <c r="AB598" s="117"/>
      <c r="AC598" s="117"/>
      <c r="CH598" s="2"/>
    </row>
    <row r="599" spans="1:86" x14ac:dyDescent="0.3">
      <c r="A599" s="23">
        <v>781</v>
      </c>
      <c r="B599" s="2" t="s">
        <v>0</v>
      </c>
      <c r="C599" s="2" t="s">
        <v>1</v>
      </c>
      <c r="D599" s="2" t="s">
        <v>1021</v>
      </c>
      <c r="E599" s="2">
        <v>1900</v>
      </c>
      <c r="F599" s="2">
        <v>3.3999999999999998E-3</v>
      </c>
      <c r="G599" s="2">
        <v>2.3999999999999998E-3</v>
      </c>
      <c r="H599" s="4">
        <f t="shared" si="58"/>
        <v>0.29411764705882354</v>
      </c>
      <c r="I599" s="2" t="s">
        <v>98</v>
      </c>
      <c r="J599" s="2" t="s">
        <v>1022</v>
      </c>
      <c r="K599" s="2" t="s">
        <v>163</v>
      </c>
      <c r="L599" s="2" t="s">
        <v>6</v>
      </c>
      <c r="M599" s="155"/>
      <c r="N599" s="155"/>
      <c r="O599" s="2">
        <v>48</v>
      </c>
      <c r="P599" s="6">
        <v>13</v>
      </c>
      <c r="Q599" s="131">
        <f t="shared" si="59"/>
        <v>55.967611336032391</v>
      </c>
      <c r="R599" s="33">
        <f t="shared" si="63"/>
        <v>13</v>
      </c>
      <c r="S599" s="132">
        <f t="shared" si="60"/>
        <v>1.625</v>
      </c>
      <c r="T599" s="132">
        <f t="shared" si="61"/>
        <v>1.625</v>
      </c>
      <c r="V599" s="131">
        <f t="shared" si="62"/>
        <v>26.36155606407323</v>
      </c>
      <c r="W599" s="17">
        <v>27.6</v>
      </c>
      <c r="X599" s="8">
        <f>60*60*8/W599</f>
        <v>1043.4782608695652</v>
      </c>
      <c r="Y599" s="161">
        <v>45532</v>
      </c>
      <c r="Z599" s="7" t="s">
        <v>7</v>
      </c>
      <c r="AA599" s="117"/>
      <c r="AB599" s="117"/>
      <c r="AC599" s="117"/>
      <c r="AD599" s="22">
        <v>45532</v>
      </c>
      <c r="AE599">
        <v>6</v>
      </c>
      <c r="AF599">
        <v>3.5</v>
      </c>
      <c r="AG599">
        <v>1.6</v>
      </c>
      <c r="AI599">
        <v>0.1</v>
      </c>
      <c r="AJ599">
        <v>0.2</v>
      </c>
      <c r="AK599">
        <v>6</v>
      </c>
      <c r="AL599">
        <v>5.5</v>
      </c>
      <c r="AN599">
        <v>9</v>
      </c>
      <c r="AO599">
        <v>0.2</v>
      </c>
      <c r="AS599">
        <v>27.6</v>
      </c>
      <c r="AT599">
        <v>9.5</v>
      </c>
      <c r="AU599">
        <v>17.5</v>
      </c>
      <c r="AV599">
        <v>106.5</v>
      </c>
      <c r="AW599">
        <v>117.5</v>
      </c>
      <c r="AX599">
        <v>18</v>
      </c>
      <c r="AY599">
        <v>41</v>
      </c>
      <c r="AZ599">
        <v>81</v>
      </c>
      <c r="BA599">
        <v>113</v>
      </c>
      <c r="BB599">
        <v>420</v>
      </c>
      <c r="CH599" s="2"/>
    </row>
    <row r="600" spans="1:86" x14ac:dyDescent="0.3">
      <c r="A600" s="2">
        <v>791</v>
      </c>
      <c r="B600" s="2" t="s">
        <v>0</v>
      </c>
      <c r="C600" s="2" t="s">
        <v>1</v>
      </c>
      <c r="D600" s="2" t="s">
        <v>1023</v>
      </c>
      <c r="E600" s="2">
        <v>1000</v>
      </c>
      <c r="F600" s="2">
        <v>6.6E-3</v>
      </c>
      <c r="G600" s="2">
        <v>4.1999999999999997E-3</v>
      </c>
      <c r="H600" s="4">
        <f t="shared" si="58"/>
        <v>0.36363636363636365</v>
      </c>
      <c r="I600" s="2" t="s">
        <v>98</v>
      </c>
      <c r="J600" s="2" t="s">
        <v>1024</v>
      </c>
      <c r="K600" s="2" t="s">
        <v>982</v>
      </c>
      <c r="L600" s="2" t="s">
        <v>983</v>
      </c>
      <c r="M600" s="155"/>
      <c r="N600" s="155"/>
      <c r="O600" s="2">
        <v>24</v>
      </c>
      <c r="P600" s="6">
        <v>40</v>
      </c>
      <c r="Q600" s="131">
        <f t="shared" si="59"/>
        <v>17.28</v>
      </c>
      <c r="R600" s="33">
        <f t="shared" si="63"/>
        <v>40</v>
      </c>
      <c r="S600" s="132">
        <f t="shared" si="60"/>
        <v>5</v>
      </c>
      <c r="T600" s="132">
        <f t="shared" si="61"/>
        <v>5</v>
      </c>
      <c r="V600" s="131" t="str">
        <f t="shared" si="62"/>
        <v/>
      </c>
      <c r="W600" s="17"/>
      <c r="X600" s="7"/>
      <c r="Y600" s="161"/>
      <c r="Z600" s="7"/>
      <c r="AA600" s="117"/>
      <c r="AB600" s="117"/>
      <c r="AC600" s="117"/>
      <c r="CH600" s="2"/>
    </row>
    <row r="601" spans="1:86" x14ac:dyDescent="0.3">
      <c r="A601" s="2">
        <v>800</v>
      </c>
      <c r="B601" s="2" t="s">
        <v>0</v>
      </c>
      <c r="C601" s="2" t="s">
        <v>1</v>
      </c>
      <c r="D601" s="2" t="s">
        <v>1025</v>
      </c>
      <c r="E601" s="2">
        <v>700</v>
      </c>
      <c r="F601" s="2">
        <v>1.6E-2</v>
      </c>
      <c r="G601" s="2">
        <v>1.32E-2</v>
      </c>
      <c r="H601" s="4">
        <f t="shared" si="58"/>
        <v>0.17500000000000002</v>
      </c>
      <c r="I601" s="2" t="s">
        <v>98</v>
      </c>
      <c r="J601" s="2" t="s">
        <v>912</v>
      </c>
      <c r="K601" s="2" t="s">
        <v>105</v>
      </c>
      <c r="L601" s="2" t="s">
        <v>76</v>
      </c>
      <c r="M601" s="155"/>
      <c r="N601" s="155"/>
      <c r="O601" s="2">
        <v>16</v>
      </c>
      <c r="P601" s="6">
        <v>40</v>
      </c>
      <c r="Q601" s="131">
        <f t="shared" si="59"/>
        <v>16.457142857142859</v>
      </c>
      <c r="R601" s="33">
        <f t="shared" si="63"/>
        <v>40</v>
      </c>
      <c r="S601" s="132">
        <f t="shared" si="60"/>
        <v>5</v>
      </c>
      <c r="T601" s="132">
        <f t="shared" si="61"/>
        <v>5</v>
      </c>
      <c r="V601" s="131" t="str">
        <f t="shared" si="62"/>
        <v/>
      </c>
      <c r="W601" s="17"/>
      <c r="X601" s="7"/>
      <c r="Y601" s="161"/>
      <c r="Z601" s="7"/>
      <c r="AA601" s="117"/>
      <c r="AB601" s="117"/>
      <c r="AC601" s="117"/>
      <c r="CH601" s="2"/>
    </row>
    <row r="602" spans="1:86" x14ac:dyDescent="0.3">
      <c r="A602" s="2">
        <v>803</v>
      </c>
      <c r="B602" s="2" t="s">
        <v>0</v>
      </c>
      <c r="C602" s="2" t="s">
        <v>1</v>
      </c>
      <c r="D602" s="2" t="s">
        <v>1026</v>
      </c>
      <c r="E602" s="2">
        <v>800</v>
      </c>
      <c r="F602" s="2">
        <v>1.72E-2</v>
      </c>
      <c r="G602" s="2">
        <v>1.18E-2</v>
      </c>
      <c r="H602" s="4">
        <f t="shared" si="58"/>
        <v>0.31395348837209303</v>
      </c>
      <c r="I602" s="2" t="s">
        <v>82</v>
      </c>
      <c r="J602" s="2" t="s">
        <v>598</v>
      </c>
      <c r="K602" s="2" t="s">
        <v>105</v>
      </c>
      <c r="L602" s="2" t="s">
        <v>76</v>
      </c>
      <c r="M602" s="155"/>
      <c r="N602" s="155"/>
      <c r="O602" s="2">
        <v>16</v>
      </c>
      <c r="P602" s="6">
        <v>10</v>
      </c>
      <c r="Q602" s="131">
        <f t="shared" si="59"/>
        <v>57.6</v>
      </c>
      <c r="R602" s="33">
        <f t="shared" si="63"/>
        <v>10</v>
      </c>
      <c r="S602" s="132">
        <f t="shared" si="60"/>
        <v>1.25</v>
      </c>
      <c r="T602" s="132">
        <f t="shared" si="61"/>
        <v>1.25</v>
      </c>
      <c r="V602" s="131" t="str">
        <f t="shared" si="62"/>
        <v/>
      </c>
      <c r="W602" s="17"/>
      <c r="X602" s="7"/>
      <c r="Y602" s="161"/>
      <c r="Z602" s="7"/>
      <c r="AA602" s="117"/>
      <c r="AB602" s="117"/>
      <c r="AC602" s="117"/>
      <c r="CH602" s="2"/>
    </row>
    <row r="603" spans="1:86" x14ac:dyDescent="0.3">
      <c r="A603" s="2">
        <v>804</v>
      </c>
      <c r="B603" s="2" t="s">
        <v>0</v>
      </c>
      <c r="C603" s="2" t="s">
        <v>1</v>
      </c>
      <c r="D603" s="2" t="s">
        <v>1027</v>
      </c>
      <c r="E603" s="2">
        <v>200</v>
      </c>
      <c r="F603" s="2">
        <v>3.61E-2</v>
      </c>
      <c r="G603" s="2">
        <v>2.8000000000000001E-2</v>
      </c>
      <c r="H603" s="4">
        <f t="shared" si="58"/>
        <v>0.22437673130193905</v>
      </c>
      <c r="I603" s="2" t="s">
        <v>82</v>
      </c>
      <c r="J603" s="2" t="s">
        <v>626</v>
      </c>
      <c r="K603" s="2" t="s">
        <v>90</v>
      </c>
      <c r="L603" s="2" t="s">
        <v>6</v>
      </c>
      <c r="M603" s="155"/>
      <c r="N603" s="155"/>
      <c r="O603" s="2">
        <v>8</v>
      </c>
      <c r="P603" s="6">
        <v>45</v>
      </c>
      <c r="Q603" s="131">
        <f t="shared" si="59"/>
        <v>25.6</v>
      </c>
      <c r="R603" s="33">
        <f t="shared" si="63"/>
        <v>45</v>
      </c>
      <c r="S603" s="132">
        <f t="shared" si="60"/>
        <v>5.625</v>
      </c>
      <c r="T603" s="132">
        <f t="shared" si="61"/>
        <v>5.625</v>
      </c>
      <c r="V603" s="131" t="str">
        <f t="shared" si="62"/>
        <v/>
      </c>
      <c r="W603" s="17"/>
      <c r="X603" s="7"/>
      <c r="Y603" s="161"/>
      <c r="Z603" s="7"/>
      <c r="AA603" s="117"/>
      <c r="AB603" s="117"/>
      <c r="AC603" s="117"/>
      <c r="CH603" s="2"/>
    </row>
    <row r="604" spans="1:86" x14ac:dyDescent="0.3">
      <c r="A604" s="2">
        <v>806</v>
      </c>
      <c r="B604" s="2" t="s">
        <v>0</v>
      </c>
      <c r="C604" s="2" t="s">
        <v>1</v>
      </c>
      <c r="D604" s="2" t="s">
        <v>1028</v>
      </c>
      <c r="E604" s="2">
        <v>440</v>
      </c>
      <c r="F604" s="2">
        <v>4.9099999999999998E-2</v>
      </c>
      <c r="G604" s="2">
        <v>3.6299999999999999E-2</v>
      </c>
      <c r="H604" s="4">
        <f t="shared" si="58"/>
        <v>0.26069246435845211</v>
      </c>
      <c r="I604" s="2" t="s">
        <v>82</v>
      </c>
      <c r="J604" s="2" t="s">
        <v>598</v>
      </c>
      <c r="K604" s="2" t="s">
        <v>105</v>
      </c>
      <c r="L604" s="2" t="s">
        <v>76</v>
      </c>
      <c r="M604" s="155"/>
      <c r="N604" s="155"/>
      <c r="O604" s="2">
        <v>6</v>
      </c>
      <c r="P604" s="6">
        <v>15</v>
      </c>
      <c r="Q604" s="131">
        <f t="shared" si="59"/>
        <v>26.181818181818183</v>
      </c>
      <c r="R604" s="33">
        <f t="shared" si="63"/>
        <v>15</v>
      </c>
      <c r="S604" s="132">
        <f t="shared" si="60"/>
        <v>1.875</v>
      </c>
      <c r="T604" s="132">
        <f t="shared" si="61"/>
        <v>1.875</v>
      </c>
      <c r="V604" s="131" t="str">
        <f t="shared" si="62"/>
        <v/>
      </c>
      <c r="W604" s="17"/>
      <c r="X604" s="7"/>
      <c r="Y604" s="161"/>
      <c r="Z604" s="7"/>
      <c r="AA604" s="117"/>
      <c r="AB604" s="117"/>
      <c r="AC604" s="117"/>
      <c r="CH604" s="2"/>
    </row>
    <row r="605" spans="1:86" x14ac:dyDescent="0.3">
      <c r="A605" s="2">
        <v>807</v>
      </c>
      <c r="B605" s="2" t="s">
        <v>0</v>
      </c>
      <c r="C605" s="2" t="s">
        <v>1</v>
      </c>
      <c r="D605" s="2" t="s">
        <v>1029</v>
      </c>
      <c r="E605" s="2">
        <v>230</v>
      </c>
      <c r="F605" s="2">
        <v>8.7499999999999994E-2</v>
      </c>
      <c r="G605" s="2">
        <v>6.3E-2</v>
      </c>
      <c r="H605" s="4">
        <f t="shared" si="58"/>
        <v>0.27999999999999997</v>
      </c>
      <c r="I605" s="2" t="s">
        <v>82</v>
      </c>
      <c r="J605" s="2" t="s">
        <v>1030</v>
      </c>
      <c r="K605" s="2" t="s">
        <v>230</v>
      </c>
      <c r="L605" s="2" t="s">
        <v>76</v>
      </c>
      <c r="M605" s="155"/>
      <c r="N605" s="155"/>
      <c r="O605" s="2">
        <v>3</v>
      </c>
      <c r="P605" s="6">
        <v>12</v>
      </c>
      <c r="Q605" s="131">
        <f t="shared" si="59"/>
        <v>31.304347826086957</v>
      </c>
      <c r="R605" s="33">
        <f t="shared" si="63"/>
        <v>12</v>
      </c>
      <c r="S605" s="132">
        <f t="shared" si="60"/>
        <v>1.5</v>
      </c>
      <c r="T605" s="132">
        <f t="shared" si="61"/>
        <v>1.5</v>
      </c>
      <c r="V605" s="131" t="str">
        <f t="shared" si="62"/>
        <v/>
      </c>
      <c r="W605" s="17"/>
      <c r="X605" s="7"/>
      <c r="Y605" s="161"/>
      <c r="Z605" s="7"/>
      <c r="AA605" s="117"/>
      <c r="AB605" s="117"/>
      <c r="AC605" s="117"/>
      <c r="CH605" s="2"/>
    </row>
    <row r="606" spans="1:86" x14ac:dyDescent="0.3">
      <c r="A606" s="23">
        <v>820</v>
      </c>
      <c r="B606" s="2" t="s">
        <v>0</v>
      </c>
      <c r="C606" s="2" t="s">
        <v>1</v>
      </c>
      <c r="D606" s="2" t="s">
        <v>1031</v>
      </c>
      <c r="E606" s="2">
        <v>180</v>
      </c>
      <c r="F606" s="2">
        <v>6.4199999999999993E-2</v>
      </c>
      <c r="G606" s="2">
        <v>5.3600000000000002E-2</v>
      </c>
      <c r="H606" s="4">
        <f t="shared" si="58"/>
        <v>0.16510903426791265</v>
      </c>
      <c r="I606" s="2" t="s">
        <v>82</v>
      </c>
      <c r="J606" s="2" t="s">
        <v>1032</v>
      </c>
      <c r="K606" s="2" t="s">
        <v>222</v>
      </c>
      <c r="L606" s="2" t="s">
        <v>76</v>
      </c>
      <c r="M606" s="155"/>
      <c r="N606" s="155"/>
      <c r="O606" s="2">
        <v>6</v>
      </c>
      <c r="P606" s="6">
        <v>17</v>
      </c>
      <c r="Q606" s="131">
        <f t="shared" si="59"/>
        <v>56.470588235294116</v>
      </c>
      <c r="R606" s="33">
        <f t="shared" si="63"/>
        <v>17</v>
      </c>
      <c r="S606" s="132">
        <f t="shared" si="60"/>
        <v>2.125</v>
      </c>
      <c r="T606" s="132">
        <f t="shared" si="61"/>
        <v>2.125</v>
      </c>
      <c r="V606" s="131">
        <f t="shared" si="62"/>
        <v>24.742268041237114</v>
      </c>
      <c r="W606" s="17">
        <v>38.799999999999997</v>
      </c>
      <c r="X606" s="8">
        <f>60*60*8/W606</f>
        <v>742.26804123711349</v>
      </c>
      <c r="Y606" s="161">
        <v>45385</v>
      </c>
      <c r="Z606" s="7" t="s">
        <v>7</v>
      </c>
      <c r="AA606" s="117"/>
      <c r="AB606" s="117"/>
      <c r="AC606" s="117"/>
      <c r="CH606" s="2"/>
    </row>
    <row r="607" spans="1:86" x14ac:dyDescent="0.3">
      <c r="A607" s="2">
        <v>821</v>
      </c>
      <c r="B607" s="2" t="s">
        <v>0</v>
      </c>
      <c r="C607" s="2" t="s">
        <v>1</v>
      </c>
      <c r="D607" s="2" t="s">
        <v>1033</v>
      </c>
      <c r="E607" s="2">
        <v>120</v>
      </c>
      <c r="F607" s="2">
        <v>5.1499999999999997E-2</v>
      </c>
      <c r="G607" s="2">
        <v>3.95E-2</v>
      </c>
      <c r="H607" s="4">
        <f t="shared" si="58"/>
        <v>0.23300970873786403</v>
      </c>
      <c r="I607" s="2" t="s">
        <v>82</v>
      </c>
      <c r="J607" s="2" t="s">
        <v>610</v>
      </c>
      <c r="K607" s="2" t="s">
        <v>5</v>
      </c>
      <c r="L607" s="2" t="s">
        <v>6</v>
      </c>
      <c r="M607" s="155">
        <v>1</v>
      </c>
      <c r="N607" s="155">
        <v>120</v>
      </c>
      <c r="O607" s="2">
        <v>6</v>
      </c>
      <c r="P607" s="6">
        <v>32</v>
      </c>
      <c r="Q607" s="131">
        <f t="shared" si="59"/>
        <v>45</v>
      </c>
      <c r="R607" s="33">
        <f t="shared" si="63"/>
        <v>32</v>
      </c>
      <c r="S607" s="132">
        <f t="shared" si="60"/>
        <v>4</v>
      </c>
      <c r="T607" s="132">
        <f t="shared" si="61"/>
        <v>4</v>
      </c>
      <c r="V607" s="131" t="str">
        <f t="shared" si="62"/>
        <v/>
      </c>
      <c r="W607" s="17"/>
      <c r="X607" s="7"/>
      <c r="Y607" s="161"/>
      <c r="Z607" s="7"/>
      <c r="AA607" s="117"/>
      <c r="AB607" s="117"/>
      <c r="AC607" s="117"/>
      <c r="CH607" s="2"/>
    </row>
    <row r="608" spans="1:86" x14ac:dyDescent="0.3">
      <c r="A608" s="23">
        <v>822</v>
      </c>
      <c r="B608" s="2" t="s">
        <v>0</v>
      </c>
      <c r="C608" s="2" t="s">
        <v>1</v>
      </c>
      <c r="D608" s="2" t="s">
        <v>1034</v>
      </c>
      <c r="E608" s="2">
        <v>720</v>
      </c>
      <c r="F608" s="2">
        <v>1.06E-2</v>
      </c>
      <c r="G608" s="2">
        <v>7.1999999999999998E-3</v>
      </c>
      <c r="H608" s="4">
        <f t="shared" si="58"/>
        <v>0.32075471698113212</v>
      </c>
      <c r="I608" s="2" t="s">
        <v>82</v>
      </c>
      <c r="J608" s="2" t="s">
        <v>645</v>
      </c>
      <c r="K608" s="2" t="s">
        <v>5</v>
      </c>
      <c r="L608" s="2" t="s">
        <v>6</v>
      </c>
      <c r="M608" s="155">
        <v>5</v>
      </c>
      <c r="N608" s="155">
        <v>144</v>
      </c>
      <c r="O608" s="2">
        <v>16</v>
      </c>
      <c r="P608" s="6">
        <v>17</v>
      </c>
      <c r="Q608" s="131">
        <f t="shared" si="59"/>
        <v>37.647058823529413</v>
      </c>
      <c r="R608" s="33">
        <f t="shared" si="63"/>
        <v>17</v>
      </c>
      <c r="S608" s="132">
        <f t="shared" si="60"/>
        <v>2.125</v>
      </c>
      <c r="T608" s="132">
        <f t="shared" si="61"/>
        <v>2.125</v>
      </c>
      <c r="V608" s="131">
        <f t="shared" si="62"/>
        <v>17.728531855955676</v>
      </c>
      <c r="W608" s="17">
        <v>36.1</v>
      </c>
      <c r="X608" s="8">
        <f t="shared" ref="X608:X615" si="64">60*60*8/W608</f>
        <v>797.78393351800548</v>
      </c>
      <c r="Y608" s="161">
        <v>45523</v>
      </c>
      <c r="Z608" s="7" t="s">
        <v>7</v>
      </c>
      <c r="AA608" s="117"/>
      <c r="AB608" s="117"/>
      <c r="AC608" s="117"/>
      <c r="AD608" s="24">
        <v>45523</v>
      </c>
      <c r="AE608">
        <v>1</v>
      </c>
      <c r="AF608">
        <v>5.2</v>
      </c>
      <c r="AG608">
        <v>1.8</v>
      </c>
      <c r="AI608">
        <v>0.6</v>
      </c>
      <c r="AJ608">
        <v>0.1</v>
      </c>
      <c r="AK608">
        <v>8</v>
      </c>
      <c r="AL608">
        <v>7.5</v>
      </c>
      <c r="AN608">
        <v>12</v>
      </c>
      <c r="AS608">
        <v>36.1</v>
      </c>
      <c r="AT608">
        <v>7.5</v>
      </c>
      <c r="AU608">
        <v>19.5</v>
      </c>
      <c r="AV608">
        <v>111</v>
      </c>
      <c r="AW608">
        <v>122</v>
      </c>
      <c r="AX608">
        <v>9</v>
      </c>
      <c r="AY608">
        <v>42</v>
      </c>
      <c r="AZ608">
        <v>91</v>
      </c>
      <c r="BA608">
        <v>108</v>
      </c>
      <c r="BB608">
        <v>420</v>
      </c>
      <c r="CH608" s="2"/>
    </row>
    <row r="609" spans="1:86" x14ac:dyDescent="0.3">
      <c r="A609" s="23">
        <v>823</v>
      </c>
      <c r="B609" s="2" t="s">
        <v>0</v>
      </c>
      <c r="C609" s="2" t="s">
        <v>1</v>
      </c>
      <c r="D609" s="2" t="s">
        <v>1035</v>
      </c>
      <c r="E609" s="2">
        <v>720</v>
      </c>
      <c r="F609" s="2">
        <v>1.67E-2</v>
      </c>
      <c r="G609" s="2">
        <v>1.26E-2</v>
      </c>
      <c r="H609" s="4">
        <f t="shared" si="58"/>
        <v>0.24550898203592811</v>
      </c>
      <c r="I609" s="2" t="s">
        <v>82</v>
      </c>
      <c r="J609" s="2" t="s">
        <v>598</v>
      </c>
      <c r="K609" s="2" t="s">
        <v>105</v>
      </c>
      <c r="L609" s="2" t="s">
        <v>76</v>
      </c>
      <c r="M609" s="155">
        <v>6</v>
      </c>
      <c r="N609" s="155">
        <v>120</v>
      </c>
      <c r="O609" s="2">
        <v>8</v>
      </c>
      <c r="P609" s="6">
        <v>17</v>
      </c>
      <c r="Q609" s="131">
        <f t="shared" si="59"/>
        <v>18.823529411764707</v>
      </c>
      <c r="R609" s="33">
        <f t="shared" si="63"/>
        <v>17</v>
      </c>
      <c r="S609" s="132">
        <f t="shared" si="60"/>
        <v>2.125</v>
      </c>
      <c r="T609" s="132">
        <f t="shared" si="61"/>
        <v>2.125</v>
      </c>
      <c r="V609" s="131">
        <f t="shared" si="62"/>
        <v>8.6486486486486474</v>
      </c>
      <c r="W609" s="17">
        <v>37</v>
      </c>
      <c r="X609" s="8">
        <f t="shared" si="64"/>
        <v>778.37837837837833</v>
      </c>
      <c r="Y609" s="161">
        <v>45385</v>
      </c>
      <c r="Z609" s="7" t="s">
        <v>7</v>
      </c>
      <c r="AA609" s="117"/>
      <c r="AB609" s="117"/>
      <c r="AC609" s="117"/>
      <c r="AD609" s="24">
        <v>45520</v>
      </c>
      <c r="AE609">
        <v>6</v>
      </c>
      <c r="AF609">
        <v>8.6</v>
      </c>
      <c r="AH609">
        <v>3</v>
      </c>
      <c r="AI609">
        <v>0.6</v>
      </c>
      <c r="AJ609">
        <v>0.8</v>
      </c>
      <c r="AK609">
        <v>8</v>
      </c>
      <c r="AL609">
        <v>7.5</v>
      </c>
      <c r="AN609">
        <v>12</v>
      </c>
      <c r="AO609">
        <v>0.1</v>
      </c>
      <c r="AS609">
        <v>37.5</v>
      </c>
      <c r="AT609">
        <v>9.5</v>
      </c>
      <c r="AU609">
        <v>17</v>
      </c>
      <c r="AV609">
        <v>66.5</v>
      </c>
      <c r="AW609">
        <v>77</v>
      </c>
      <c r="AX609">
        <v>18</v>
      </c>
      <c r="AY609">
        <v>41</v>
      </c>
      <c r="AZ609">
        <v>81</v>
      </c>
      <c r="BA609">
        <v>111.3</v>
      </c>
      <c r="BB609">
        <v>410</v>
      </c>
      <c r="CH609" s="2"/>
    </row>
    <row r="610" spans="1:86" x14ac:dyDescent="0.3">
      <c r="A610" s="23">
        <v>824</v>
      </c>
      <c r="B610" s="2" t="s">
        <v>0</v>
      </c>
      <c r="C610" s="2" t="s">
        <v>1</v>
      </c>
      <c r="D610" s="2" t="s">
        <v>1036</v>
      </c>
      <c r="E610" s="2">
        <v>720</v>
      </c>
      <c r="F610" s="2">
        <v>1.67E-2</v>
      </c>
      <c r="G610" s="2">
        <v>1.26E-2</v>
      </c>
      <c r="H610" s="4">
        <f t="shared" si="58"/>
        <v>0.24550898203592811</v>
      </c>
      <c r="I610" s="2" t="s">
        <v>82</v>
      </c>
      <c r="J610" s="2" t="s">
        <v>598</v>
      </c>
      <c r="K610" s="2" t="s">
        <v>5</v>
      </c>
      <c r="L610" s="2" t="s">
        <v>6</v>
      </c>
      <c r="M610" s="155"/>
      <c r="N610" s="155"/>
      <c r="O610" s="2">
        <v>8</v>
      </c>
      <c r="P610" s="6">
        <v>17</v>
      </c>
      <c r="Q610" s="131">
        <f t="shared" si="59"/>
        <v>18.823529411764707</v>
      </c>
      <c r="R610" s="33">
        <f t="shared" si="63"/>
        <v>17</v>
      </c>
      <c r="S610" s="132">
        <f t="shared" si="60"/>
        <v>2.125</v>
      </c>
      <c r="T610" s="132">
        <f t="shared" si="61"/>
        <v>2.125</v>
      </c>
      <c r="V610" s="131">
        <f t="shared" si="62"/>
        <v>8.6486486486486474</v>
      </c>
      <c r="W610" s="17">
        <v>37</v>
      </c>
      <c r="X610" s="8">
        <f t="shared" si="64"/>
        <v>778.37837837837833</v>
      </c>
      <c r="Y610" s="161">
        <v>45385</v>
      </c>
      <c r="Z610" s="7" t="s">
        <v>7</v>
      </c>
      <c r="AA610" s="117"/>
      <c r="AB610" s="117"/>
      <c r="AC610" s="117"/>
      <c r="AD610" s="24">
        <v>45520</v>
      </c>
      <c r="AE610">
        <v>6</v>
      </c>
      <c r="AF610">
        <v>8.6</v>
      </c>
      <c r="AH610">
        <v>3</v>
      </c>
      <c r="AI610">
        <v>0.6</v>
      </c>
      <c r="AJ610">
        <v>0.8</v>
      </c>
      <c r="AK610">
        <v>8</v>
      </c>
      <c r="AL610">
        <v>7.5</v>
      </c>
      <c r="AN610">
        <v>12</v>
      </c>
      <c r="AO610">
        <v>0.1</v>
      </c>
      <c r="AS610">
        <v>37.299999999999997</v>
      </c>
      <c r="AT610">
        <v>9.5</v>
      </c>
      <c r="AU610">
        <v>17</v>
      </c>
      <c r="AV610">
        <v>66.5</v>
      </c>
      <c r="AW610">
        <v>77</v>
      </c>
      <c r="AX610">
        <v>18</v>
      </c>
      <c r="AY610">
        <v>41</v>
      </c>
      <c r="AZ610">
        <v>81</v>
      </c>
      <c r="BA610">
        <v>111.3</v>
      </c>
      <c r="BB610">
        <v>410</v>
      </c>
      <c r="CH610" s="2"/>
    </row>
    <row r="611" spans="1:86" x14ac:dyDescent="0.3">
      <c r="A611" s="23">
        <v>825</v>
      </c>
      <c r="B611" s="2" t="s">
        <v>0</v>
      </c>
      <c r="C611" s="2" t="s">
        <v>1</v>
      </c>
      <c r="D611" s="2" t="s">
        <v>1037</v>
      </c>
      <c r="E611" s="2">
        <v>720</v>
      </c>
      <c r="F611" s="2">
        <v>1.3899999999999999E-2</v>
      </c>
      <c r="G611" s="2">
        <v>1.04E-2</v>
      </c>
      <c r="H611" s="4">
        <f t="shared" si="58"/>
        <v>0.25179856115107913</v>
      </c>
      <c r="I611" s="2" t="s">
        <v>82</v>
      </c>
      <c r="J611" s="2" t="s">
        <v>600</v>
      </c>
      <c r="K611" s="2" t="s">
        <v>5</v>
      </c>
      <c r="L611" s="2" t="s">
        <v>6</v>
      </c>
      <c r="M611" s="155">
        <v>5</v>
      </c>
      <c r="N611" s="155">
        <v>144</v>
      </c>
      <c r="O611" s="2">
        <v>8</v>
      </c>
      <c r="P611" s="6">
        <v>17</v>
      </c>
      <c r="Q611" s="131">
        <f t="shared" si="59"/>
        <v>18.823529411764707</v>
      </c>
      <c r="R611" s="33">
        <f t="shared" si="63"/>
        <v>17</v>
      </c>
      <c r="S611" s="132">
        <f t="shared" si="60"/>
        <v>2.125</v>
      </c>
      <c r="T611" s="132">
        <f t="shared" si="61"/>
        <v>2.125</v>
      </c>
      <c r="V611" s="131">
        <f t="shared" si="62"/>
        <v>8.7984602694528462</v>
      </c>
      <c r="W611" s="17">
        <v>36.369999999999997</v>
      </c>
      <c r="X611" s="8">
        <f t="shared" si="64"/>
        <v>791.86142425075616</v>
      </c>
      <c r="Y611" s="161">
        <v>45379</v>
      </c>
      <c r="Z611" s="7" t="s">
        <v>7</v>
      </c>
      <c r="AA611" s="117"/>
      <c r="AB611" s="117"/>
      <c r="AC611" s="117"/>
      <c r="CH611" s="2"/>
    </row>
    <row r="612" spans="1:86" x14ac:dyDescent="0.3">
      <c r="A612" s="23">
        <v>826</v>
      </c>
      <c r="B612" s="2" t="s">
        <v>0</v>
      </c>
      <c r="C612" s="2" t="s">
        <v>1</v>
      </c>
      <c r="D612" s="2" t="s">
        <v>1038</v>
      </c>
      <c r="E612" s="2">
        <v>720</v>
      </c>
      <c r="F612" s="2">
        <v>1.3899999999999999E-2</v>
      </c>
      <c r="G612" s="2">
        <v>1.04E-2</v>
      </c>
      <c r="H612" s="4">
        <f t="shared" si="58"/>
        <v>0.25179856115107913</v>
      </c>
      <c r="I612" s="2" t="s">
        <v>82</v>
      </c>
      <c r="J612" s="2" t="s">
        <v>600</v>
      </c>
      <c r="K612" s="2" t="s">
        <v>90</v>
      </c>
      <c r="L612" s="2" t="s">
        <v>6</v>
      </c>
      <c r="M612" s="155"/>
      <c r="N612" s="155"/>
      <c r="O612" s="2">
        <v>8</v>
      </c>
      <c r="P612" s="6">
        <v>17</v>
      </c>
      <c r="Q612" s="131">
        <f t="shared" si="59"/>
        <v>18.823529411764707</v>
      </c>
      <c r="R612" s="33">
        <f t="shared" si="63"/>
        <v>17</v>
      </c>
      <c r="S612" s="132">
        <f t="shared" si="60"/>
        <v>2.125</v>
      </c>
      <c r="T612" s="132">
        <f t="shared" si="61"/>
        <v>2.125</v>
      </c>
      <c r="V612" s="131">
        <f t="shared" si="62"/>
        <v>8.7984602694528462</v>
      </c>
      <c r="W612" s="17">
        <v>36.369999999999997</v>
      </c>
      <c r="X612" s="8">
        <f t="shared" si="64"/>
        <v>791.86142425075616</v>
      </c>
      <c r="Y612" s="161">
        <v>45385</v>
      </c>
      <c r="Z612" s="7" t="s">
        <v>7</v>
      </c>
      <c r="AA612" s="117"/>
      <c r="AB612" s="117"/>
      <c r="AC612" s="117"/>
      <c r="CH612" s="2"/>
    </row>
    <row r="613" spans="1:86" x14ac:dyDescent="0.3">
      <c r="A613" s="23">
        <v>827</v>
      </c>
      <c r="B613" s="2" t="s">
        <v>0</v>
      </c>
      <c r="C613" s="2" t="s">
        <v>1</v>
      </c>
      <c r="D613" s="2" t="s">
        <v>1039</v>
      </c>
      <c r="E613" s="2">
        <v>180</v>
      </c>
      <c r="F613" s="2">
        <v>6.3200000000000006E-2</v>
      </c>
      <c r="G613" s="2">
        <v>5.1200000000000002E-2</v>
      </c>
      <c r="H613" s="4">
        <f t="shared" si="58"/>
        <v>0.18987341772151903</v>
      </c>
      <c r="I613" s="2" t="s">
        <v>82</v>
      </c>
      <c r="J613" s="2" t="s">
        <v>1032</v>
      </c>
      <c r="K613" s="2" t="s">
        <v>5</v>
      </c>
      <c r="L613" s="2" t="s">
        <v>6</v>
      </c>
      <c r="M613" s="155"/>
      <c r="N613" s="155"/>
      <c r="O613" s="2">
        <v>6</v>
      </c>
      <c r="P613" s="6">
        <v>12</v>
      </c>
      <c r="Q613" s="131">
        <f t="shared" si="59"/>
        <v>80</v>
      </c>
      <c r="R613" s="33">
        <f t="shared" si="63"/>
        <v>12</v>
      </c>
      <c r="S613" s="132">
        <f t="shared" si="60"/>
        <v>1.5</v>
      </c>
      <c r="T613" s="132">
        <f t="shared" si="61"/>
        <v>1.5</v>
      </c>
      <c r="V613" s="131">
        <f t="shared" si="62"/>
        <v>25.065274151436032</v>
      </c>
      <c r="W613" s="17">
        <v>38.299999999999997</v>
      </c>
      <c r="X613" s="8">
        <f t="shared" si="64"/>
        <v>751.95822454308097</v>
      </c>
      <c r="Y613" s="161">
        <v>45385</v>
      </c>
      <c r="Z613" s="7" t="s">
        <v>7</v>
      </c>
      <c r="AA613" s="117"/>
      <c r="AB613" s="117"/>
      <c r="AC613" s="117"/>
      <c r="AD613" s="24">
        <v>45520</v>
      </c>
      <c r="AE613">
        <v>8</v>
      </c>
      <c r="AF613">
        <v>6.2</v>
      </c>
      <c r="AG613">
        <v>1.8</v>
      </c>
      <c r="AI613">
        <v>0.1</v>
      </c>
      <c r="AJ613">
        <v>0.2</v>
      </c>
      <c r="AK613">
        <v>7</v>
      </c>
      <c r="AL613">
        <v>6.5</v>
      </c>
      <c r="AN613">
        <v>13</v>
      </c>
      <c r="AO613">
        <v>0.7</v>
      </c>
      <c r="AP613">
        <v>0.2</v>
      </c>
      <c r="AS613">
        <v>38</v>
      </c>
      <c r="AT613">
        <v>6.5</v>
      </c>
      <c r="AU613">
        <v>16</v>
      </c>
      <c r="AV613">
        <v>129</v>
      </c>
      <c r="AW613">
        <v>140</v>
      </c>
      <c r="AX613">
        <v>12</v>
      </c>
      <c r="AY613">
        <v>24</v>
      </c>
      <c r="AZ613">
        <v>101</v>
      </c>
      <c r="BA613">
        <v>111.2</v>
      </c>
      <c r="BB613">
        <v>420</v>
      </c>
      <c r="CH613" s="2"/>
    </row>
    <row r="614" spans="1:86" x14ac:dyDescent="0.3">
      <c r="A614" s="23">
        <v>828</v>
      </c>
      <c r="B614" s="2" t="s">
        <v>0</v>
      </c>
      <c r="C614" s="2" t="s">
        <v>1</v>
      </c>
      <c r="D614" s="2" t="s">
        <v>1040</v>
      </c>
      <c r="E614" s="2">
        <v>450</v>
      </c>
      <c r="F614" s="2">
        <v>3.04E-2</v>
      </c>
      <c r="G614" s="2">
        <v>2.3300000000000001E-2</v>
      </c>
      <c r="H614" s="4">
        <f t="shared" si="58"/>
        <v>0.23355263157894732</v>
      </c>
      <c r="I614" s="2" t="s">
        <v>82</v>
      </c>
      <c r="J614" s="2" t="s">
        <v>610</v>
      </c>
      <c r="K614" s="2" t="s">
        <v>5</v>
      </c>
      <c r="L614" s="2" t="s">
        <v>6</v>
      </c>
      <c r="M614" s="155"/>
      <c r="N614" s="155"/>
      <c r="O614" s="2">
        <v>12</v>
      </c>
      <c r="P614" s="6">
        <v>12</v>
      </c>
      <c r="Q614" s="131">
        <f t="shared" si="59"/>
        <v>64</v>
      </c>
      <c r="R614" s="33">
        <f t="shared" si="63"/>
        <v>12</v>
      </c>
      <c r="S614" s="132">
        <f t="shared" si="60"/>
        <v>1.5</v>
      </c>
      <c r="T614" s="132">
        <f t="shared" si="61"/>
        <v>1.5</v>
      </c>
      <c r="V614" s="131">
        <f t="shared" si="62"/>
        <v>19.74293059125964</v>
      </c>
      <c r="W614" s="17">
        <v>38.9</v>
      </c>
      <c r="X614" s="8">
        <f t="shared" si="64"/>
        <v>740.35989717223651</v>
      </c>
      <c r="Y614" s="161">
        <v>45385</v>
      </c>
      <c r="Z614" s="7" t="s">
        <v>7</v>
      </c>
      <c r="AA614" s="117"/>
      <c r="AB614" s="117"/>
      <c r="AC614" s="117"/>
      <c r="CH614" s="2"/>
    </row>
    <row r="615" spans="1:86" x14ac:dyDescent="0.3">
      <c r="A615" s="23">
        <v>829</v>
      </c>
      <c r="B615" s="2" t="s">
        <v>0</v>
      </c>
      <c r="C615" s="2" t="s">
        <v>1</v>
      </c>
      <c r="D615" s="2" t="s">
        <v>1041</v>
      </c>
      <c r="E615" s="2">
        <v>720</v>
      </c>
      <c r="F615" s="2">
        <v>1.3899999999999999E-2</v>
      </c>
      <c r="G615" s="2">
        <v>1.04E-2</v>
      </c>
      <c r="H615" s="4">
        <f t="shared" si="58"/>
        <v>0.25179856115107913</v>
      </c>
      <c r="I615" s="2" t="s">
        <v>82</v>
      </c>
      <c r="J615" s="2" t="s">
        <v>600</v>
      </c>
      <c r="K615" s="2" t="s">
        <v>5</v>
      </c>
      <c r="L615" s="2" t="s">
        <v>6</v>
      </c>
      <c r="M615" s="155"/>
      <c r="N615" s="155"/>
      <c r="O615" s="2">
        <v>8</v>
      </c>
      <c r="P615" s="6">
        <v>17</v>
      </c>
      <c r="Q615" s="131">
        <f t="shared" si="59"/>
        <v>18.823529411764707</v>
      </c>
      <c r="R615" s="33">
        <f t="shared" si="63"/>
        <v>17</v>
      </c>
      <c r="S615" s="132">
        <f t="shared" si="60"/>
        <v>2.125</v>
      </c>
      <c r="T615" s="132">
        <f t="shared" si="61"/>
        <v>2.125</v>
      </c>
      <c r="V615" s="131">
        <f t="shared" si="62"/>
        <v>8.5790884718498663</v>
      </c>
      <c r="W615" s="17">
        <v>37.299999999999997</v>
      </c>
      <c r="X615" s="8">
        <f t="shared" si="64"/>
        <v>772.11796246648794</v>
      </c>
      <c r="Y615" s="161">
        <v>45573</v>
      </c>
      <c r="Z615" s="7" t="s">
        <v>7</v>
      </c>
      <c r="AA615" s="117"/>
      <c r="AB615" s="117"/>
      <c r="AC615" s="117"/>
      <c r="CH615" s="2"/>
    </row>
    <row r="616" spans="1:86" x14ac:dyDescent="0.3">
      <c r="A616" s="2">
        <v>830</v>
      </c>
      <c r="B616" s="2" t="s">
        <v>0</v>
      </c>
      <c r="C616" s="2" t="s">
        <v>1</v>
      </c>
      <c r="D616" s="2" t="s">
        <v>1042</v>
      </c>
      <c r="E616" s="2">
        <v>720</v>
      </c>
      <c r="F616" s="2">
        <v>1.3899999999999999E-2</v>
      </c>
      <c r="G616" s="2">
        <v>1.04E-2</v>
      </c>
      <c r="H616" s="4">
        <f t="shared" si="58"/>
        <v>0.25179856115107913</v>
      </c>
      <c r="I616" s="2" t="s">
        <v>82</v>
      </c>
      <c r="J616" s="2" t="s">
        <v>600</v>
      </c>
      <c r="K616" s="2" t="s">
        <v>90</v>
      </c>
      <c r="L616" s="2" t="s">
        <v>6</v>
      </c>
      <c r="M616" s="155"/>
      <c r="N616" s="155"/>
      <c r="O616" s="2">
        <v>8</v>
      </c>
      <c r="P616" s="6">
        <v>17</v>
      </c>
      <c r="Q616" s="131">
        <f t="shared" si="59"/>
        <v>18.823529411764707</v>
      </c>
      <c r="R616" s="33">
        <f t="shared" si="63"/>
        <v>17</v>
      </c>
      <c r="S616" s="132">
        <f t="shared" si="60"/>
        <v>2.125</v>
      </c>
      <c r="T616" s="132">
        <f t="shared" si="61"/>
        <v>2.125</v>
      </c>
      <c r="V616" s="131" t="str">
        <f t="shared" si="62"/>
        <v/>
      </c>
      <c r="W616" s="17"/>
      <c r="X616" s="7"/>
      <c r="Y616" s="161"/>
      <c r="Z616" s="7"/>
      <c r="AA616" s="117"/>
      <c r="AB616" s="117"/>
      <c r="AC616" s="117"/>
      <c r="CH616" s="2"/>
    </row>
    <row r="617" spans="1:86" x14ac:dyDescent="0.3">
      <c r="A617" s="23">
        <v>831</v>
      </c>
      <c r="B617" s="2" t="s">
        <v>0</v>
      </c>
      <c r="C617" s="2" t="s">
        <v>1</v>
      </c>
      <c r="D617" s="2" t="s">
        <v>1043</v>
      </c>
      <c r="E617" s="2">
        <v>720</v>
      </c>
      <c r="F617" s="2">
        <v>1.67E-2</v>
      </c>
      <c r="G617" s="2">
        <v>1.26E-2</v>
      </c>
      <c r="H617" s="4">
        <f t="shared" si="58"/>
        <v>0.24550898203592811</v>
      </c>
      <c r="I617" s="2" t="s">
        <v>82</v>
      </c>
      <c r="J617" s="2" t="s">
        <v>598</v>
      </c>
      <c r="K617" s="2" t="s">
        <v>105</v>
      </c>
      <c r="L617" s="2" t="s">
        <v>76</v>
      </c>
      <c r="M617" s="155">
        <v>6</v>
      </c>
      <c r="N617" s="155">
        <v>120</v>
      </c>
      <c r="O617" s="2">
        <v>8</v>
      </c>
      <c r="P617" s="6">
        <v>17</v>
      </c>
      <c r="Q617" s="131">
        <f t="shared" si="59"/>
        <v>18.823529411764707</v>
      </c>
      <c r="R617" s="33">
        <f t="shared" si="63"/>
        <v>17</v>
      </c>
      <c r="S617" s="132">
        <f t="shared" si="60"/>
        <v>2.125</v>
      </c>
      <c r="T617" s="132">
        <f t="shared" si="61"/>
        <v>2.125</v>
      </c>
      <c r="V617" s="131">
        <f t="shared" si="62"/>
        <v>8.5790884718498663</v>
      </c>
      <c r="W617" s="17">
        <v>37.299999999999997</v>
      </c>
      <c r="X617" s="8">
        <f>60*60*8/W617</f>
        <v>772.11796246648794</v>
      </c>
      <c r="Y617" s="161">
        <v>45523</v>
      </c>
      <c r="Z617" s="7" t="s">
        <v>7</v>
      </c>
      <c r="AA617" s="117"/>
      <c r="AB617" s="117"/>
      <c r="AC617" s="117"/>
      <c r="CH617" s="2"/>
    </row>
    <row r="618" spans="1:86" x14ac:dyDescent="0.3">
      <c r="A618" s="2">
        <v>832</v>
      </c>
      <c r="B618" s="23" t="s">
        <v>0</v>
      </c>
      <c r="C618" s="2" t="s">
        <v>1</v>
      </c>
      <c r="D618" s="2" t="s">
        <v>1044</v>
      </c>
      <c r="E618" s="2">
        <v>720</v>
      </c>
      <c r="F618" s="2">
        <v>1.67E-2</v>
      </c>
      <c r="G618" s="2">
        <v>1.26E-2</v>
      </c>
      <c r="H618" s="4">
        <f t="shared" si="58"/>
        <v>0.24550898203592811</v>
      </c>
      <c r="I618" s="2" t="s">
        <v>82</v>
      </c>
      <c r="J618" s="2" t="s">
        <v>598</v>
      </c>
      <c r="K618" s="2" t="s">
        <v>5</v>
      </c>
      <c r="L618" s="2" t="s">
        <v>6</v>
      </c>
      <c r="M618" s="155"/>
      <c r="N618" s="155"/>
      <c r="O618" s="2">
        <v>8</v>
      </c>
      <c r="P618" s="6">
        <v>17</v>
      </c>
      <c r="Q618" s="131">
        <f t="shared" si="59"/>
        <v>18.823529411764707</v>
      </c>
      <c r="R618" s="33">
        <f t="shared" si="63"/>
        <v>17</v>
      </c>
      <c r="S618" s="132">
        <f t="shared" si="60"/>
        <v>2.125</v>
      </c>
      <c r="T618" s="132">
        <f t="shared" si="61"/>
        <v>2.125</v>
      </c>
      <c r="V618" s="131" t="str">
        <f t="shared" si="62"/>
        <v/>
      </c>
      <c r="W618" s="17"/>
      <c r="X618" s="7"/>
      <c r="Y618" s="161"/>
      <c r="Z618" s="7"/>
      <c r="AA618" s="117"/>
      <c r="AB618" s="117"/>
      <c r="AC618" s="117"/>
      <c r="CH618" s="2"/>
    </row>
    <row r="619" spans="1:86" x14ac:dyDescent="0.3">
      <c r="A619" s="23">
        <v>833</v>
      </c>
      <c r="B619" s="2" t="s">
        <v>0</v>
      </c>
      <c r="C619" s="2" t="s">
        <v>1</v>
      </c>
      <c r="D619" s="2" t="s">
        <v>1045</v>
      </c>
      <c r="E619" s="2">
        <v>360</v>
      </c>
      <c r="F619" s="2">
        <v>4.53E-2</v>
      </c>
      <c r="G619" s="2">
        <v>4.0399999999999998E-2</v>
      </c>
      <c r="H619" s="4">
        <f t="shared" si="58"/>
        <v>0.10816777041942609</v>
      </c>
      <c r="I619" s="2" t="s">
        <v>98</v>
      </c>
      <c r="J619" s="2" t="s">
        <v>229</v>
      </c>
      <c r="K619" s="2" t="s">
        <v>413</v>
      </c>
      <c r="L619" s="2"/>
      <c r="M619" s="155"/>
      <c r="N619" s="155"/>
      <c r="O619" s="2">
        <v>6</v>
      </c>
      <c r="P619" s="6">
        <v>70</v>
      </c>
      <c r="Q619" s="131">
        <f t="shared" si="59"/>
        <v>6.8571428571428568</v>
      </c>
      <c r="R619" s="33">
        <f t="shared" si="63"/>
        <v>70</v>
      </c>
      <c r="S619" s="132">
        <f t="shared" si="60"/>
        <v>8.75</v>
      </c>
      <c r="T619" s="132">
        <f t="shared" si="61"/>
        <v>8.75</v>
      </c>
      <c r="V619" s="131">
        <f t="shared" si="62"/>
        <v>14.436090225563911</v>
      </c>
      <c r="W619" s="17">
        <v>33.25</v>
      </c>
      <c r="X619" s="8">
        <f>60*60*8/W619</f>
        <v>866.16541353383457</v>
      </c>
      <c r="Y619" s="161">
        <v>45476</v>
      </c>
      <c r="Z619" s="7" t="s">
        <v>7</v>
      </c>
      <c r="AA619" s="117"/>
      <c r="AB619" s="117"/>
      <c r="AC619" s="117"/>
      <c r="CH619" s="2"/>
    </row>
    <row r="620" spans="1:86" x14ac:dyDescent="0.3">
      <c r="A620" s="2">
        <v>836</v>
      </c>
      <c r="B620" s="2" t="s">
        <v>0</v>
      </c>
      <c r="C620" s="2" t="s">
        <v>1</v>
      </c>
      <c r="D620" s="2" t="s">
        <v>1046</v>
      </c>
      <c r="E620" s="2">
        <v>1000</v>
      </c>
      <c r="F620" s="2">
        <v>6.6E-3</v>
      </c>
      <c r="G620" s="2">
        <v>4.1999999999999997E-3</v>
      </c>
      <c r="H620" s="4">
        <f t="shared" si="58"/>
        <v>0.36363636363636365</v>
      </c>
      <c r="I620" s="2" t="s">
        <v>98</v>
      </c>
      <c r="J620" s="2" t="s">
        <v>1047</v>
      </c>
      <c r="K620" s="2" t="s">
        <v>982</v>
      </c>
      <c r="L620" s="2" t="s">
        <v>983</v>
      </c>
      <c r="M620" s="155"/>
      <c r="N620" s="155"/>
      <c r="O620" s="2">
        <v>24</v>
      </c>
      <c r="P620" s="6">
        <v>40</v>
      </c>
      <c r="Q620" s="131">
        <f t="shared" si="59"/>
        <v>17.28</v>
      </c>
      <c r="R620" s="33">
        <f t="shared" si="63"/>
        <v>40</v>
      </c>
      <c r="S620" s="132">
        <f t="shared" si="60"/>
        <v>5</v>
      </c>
      <c r="T620" s="132">
        <f t="shared" si="61"/>
        <v>5</v>
      </c>
      <c r="V620" s="131" t="str">
        <f t="shared" si="62"/>
        <v/>
      </c>
      <c r="W620" s="17"/>
      <c r="X620" s="7"/>
      <c r="Y620" s="161"/>
      <c r="Z620" s="7"/>
      <c r="AA620" s="117"/>
      <c r="AB620" s="117"/>
      <c r="AC620" s="117"/>
      <c r="CH620" s="2"/>
    </row>
    <row r="621" spans="1:86" x14ac:dyDescent="0.3">
      <c r="A621" s="23">
        <v>837</v>
      </c>
      <c r="B621" s="2" t="s">
        <v>0</v>
      </c>
      <c r="C621" s="2" t="s">
        <v>1</v>
      </c>
      <c r="D621" s="2" t="s">
        <v>1048</v>
      </c>
      <c r="E621" s="2">
        <v>1000</v>
      </c>
      <c r="F621" s="2">
        <v>6.6E-3</v>
      </c>
      <c r="G621" s="2">
        <v>4.1999999999999997E-3</v>
      </c>
      <c r="H621" s="4">
        <f t="shared" si="58"/>
        <v>0.36363636363636365</v>
      </c>
      <c r="I621" s="2" t="s">
        <v>98</v>
      </c>
      <c r="J621" s="2" t="s">
        <v>1049</v>
      </c>
      <c r="K621" s="2" t="s">
        <v>982</v>
      </c>
      <c r="L621" s="2" t="s">
        <v>983</v>
      </c>
      <c r="M621" s="155"/>
      <c r="N621" s="155"/>
      <c r="O621" s="2">
        <v>24</v>
      </c>
      <c r="P621" s="6">
        <v>40</v>
      </c>
      <c r="Q621" s="131">
        <f t="shared" si="59"/>
        <v>17.28</v>
      </c>
      <c r="R621" s="33">
        <f t="shared" si="63"/>
        <v>40</v>
      </c>
      <c r="S621" s="132">
        <f t="shared" si="60"/>
        <v>5</v>
      </c>
      <c r="T621" s="132">
        <f t="shared" si="61"/>
        <v>5</v>
      </c>
      <c r="V621" s="131">
        <f t="shared" si="62"/>
        <v>29.589041095890412</v>
      </c>
      <c r="W621" s="17">
        <v>23.36</v>
      </c>
      <c r="X621" s="8">
        <f>60*60*8/W621</f>
        <v>1232.8767123287671</v>
      </c>
      <c r="Y621" s="161">
        <v>45348</v>
      </c>
      <c r="Z621" s="7" t="s">
        <v>7</v>
      </c>
      <c r="AA621" s="117"/>
      <c r="AB621" s="117"/>
      <c r="AC621" s="117"/>
      <c r="AD621" s="24">
        <v>45553</v>
      </c>
      <c r="AE621">
        <v>4</v>
      </c>
      <c r="AF621">
        <v>2.2999999999999998</v>
      </c>
      <c r="AG621">
        <v>1.4</v>
      </c>
      <c r="AJ621">
        <v>0.1</v>
      </c>
      <c r="AK621">
        <v>7</v>
      </c>
      <c r="AL621">
        <v>6.5</v>
      </c>
      <c r="AN621">
        <v>6</v>
      </c>
      <c r="AS621">
        <v>24.4</v>
      </c>
      <c r="AT621">
        <v>6</v>
      </c>
      <c r="AU621">
        <v>18</v>
      </c>
      <c r="AV621">
        <v>127</v>
      </c>
      <c r="AW621">
        <v>138</v>
      </c>
      <c r="AX621">
        <v>15.5</v>
      </c>
      <c r="AY621">
        <v>31.5</v>
      </c>
      <c r="AZ621">
        <v>95</v>
      </c>
      <c r="BA621">
        <v>110</v>
      </c>
      <c r="BB621">
        <v>420</v>
      </c>
      <c r="CH621" s="2"/>
    </row>
    <row r="622" spans="1:86" x14ac:dyDescent="0.3">
      <c r="A622" s="2">
        <v>838</v>
      </c>
      <c r="B622" s="2" t="s">
        <v>1050</v>
      </c>
      <c r="C622" s="2" t="s">
        <v>1</v>
      </c>
      <c r="D622" s="2" t="s">
        <v>1051</v>
      </c>
      <c r="E622" s="2">
        <v>1000</v>
      </c>
      <c r="F622" s="2">
        <v>6.6E-3</v>
      </c>
      <c r="G622" s="2">
        <v>4.1999999999999997E-3</v>
      </c>
      <c r="H622" s="4">
        <f t="shared" si="58"/>
        <v>0.36363636363636365</v>
      </c>
      <c r="I622" s="2" t="s">
        <v>98</v>
      </c>
      <c r="J622" s="2" t="s">
        <v>1052</v>
      </c>
      <c r="K622" s="2" t="s">
        <v>982</v>
      </c>
      <c r="L622" s="2" t="s">
        <v>983</v>
      </c>
      <c r="M622" s="155"/>
      <c r="N622" s="155"/>
      <c r="O622" s="2">
        <v>24</v>
      </c>
      <c r="P622" s="6">
        <v>40</v>
      </c>
      <c r="Q622" s="131">
        <f t="shared" si="59"/>
        <v>17.28</v>
      </c>
      <c r="R622" s="33">
        <f t="shared" si="63"/>
        <v>40</v>
      </c>
      <c r="S622" s="132">
        <f t="shared" si="60"/>
        <v>5</v>
      </c>
      <c r="T622" s="132">
        <f t="shared" si="61"/>
        <v>5</v>
      </c>
      <c r="V622" s="131" t="str">
        <f t="shared" si="62"/>
        <v/>
      </c>
      <c r="W622" s="17"/>
      <c r="X622" s="7"/>
      <c r="Y622" s="161"/>
      <c r="Z622" s="7"/>
      <c r="AA622" s="117"/>
      <c r="AB622" s="117"/>
      <c r="AC622" s="117"/>
      <c r="CH622" s="2"/>
    </row>
    <row r="623" spans="1:86" x14ac:dyDescent="0.3">
      <c r="A623" s="2">
        <v>839</v>
      </c>
      <c r="B623" s="2" t="s">
        <v>0</v>
      </c>
      <c r="C623" s="2" t="s">
        <v>1</v>
      </c>
      <c r="D623" s="2" t="s">
        <v>1053</v>
      </c>
      <c r="E623" s="2">
        <v>1000</v>
      </c>
      <c r="F623" s="2">
        <v>6.6E-3</v>
      </c>
      <c r="G623" s="2">
        <v>4.1999999999999997E-3</v>
      </c>
      <c r="H623" s="4">
        <f t="shared" si="58"/>
        <v>0.36363636363636365</v>
      </c>
      <c r="I623" s="2" t="s">
        <v>98</v>
      </c>
      <c r="J623" s="2" t="s">
        <v>1054</v>
      </c>
      <c r="K623" s="2" t="s">
        <v>982</v>
      </c>
      <c r="L623" s="2" t="s">
        <v>983</v>
      </c>
      <c r="M623" s="155"/>
      <c r="N623" s="155"/>
      <c r="O623" s="2">
        <v>24</v>
      </c>
      <c r="P623" s="6">
        <v>40</v>
      </c>
      <c r="Q623" s="131">
        <f t="shared" si="59"/>
        <v>17.28</v>
      </c>
      <c r="R623" s="33">
        <f t="shared" si="63"/>
        <v>40</v>
      </c>
      <c r="S623" s="132">
        <f t="shared" si="60"/>
        <v>5</v>
      </c>
      <c r="T623" s="132">
        <f t="shared" si="61"/>
        <v>5</v>
      </c>
      <c r="V623" s="131" t="str">
        <f t="shared" si="62"/>
        <v/>
      </c>
      <c r="W623" s="17"/>
      <c r="X623" s="7"/>
      <c r="Y623" s="161"/>
      <c r="Z623" s="7"/>
      <c r="AA623" s="117"/>
      <c r="AB623" s="117"/>
      <c r="AC623" s="117"/>
      <c r="CH623" s="2"/>
    </row>
    <row r="624" spans="1:86" x14ac:dyDescent="0.3">
      <c r="A624" s="23">
        <v>841</v>
      </c>
      <c r="B624" s="2" t="s">
        <v>0</v>
      </c>
      <c r="C624" s="2" t="s">
        <v>1</v>
      </c>
      <c r="D624" s="2" t="s">
        <v>1055</v>
      </c>
      <c r="E624" s="2">
        <v>1000</v>
      </c>
      <c r="F624" s="2">
        <v>1.0800000000000001E-2</v>
      </c>
      <c r="G624" s="2">
        <v>6.7000000000000002E-3</v>
      </c>
      <c r="H624" s="4">
        <f t="shared" si="58"/>
        <v>0.37962962962962965</v>
      </c>
      <c r="I624" s="2" t="s">
        <v>98</v>
      </c>
      <c r="J624" s="2" t="s">
        <v>1056</v>
      </c>
      <c r="K624" s="2" t="s">
        <v>435</v>
      </c>
      <c r="L624" s="2" t="s">
        <v>1057</v>
      </c>
      <c r="M624" s="155"/>
      <c r="N624" s="155"/>
      <c r="O624" s="2">
        <v>15</v>
      </c>
      <c r="P624" s="6">
        <v>28</v>
      </c>
      <c r="Q624" s="131">
        <f t="shared" si="59"/>
        <v>15.428571428571429</v>
      </c>
      <c r="R624" s="33">
        <f t="shared" si="63"/>
        <v>28</v>
      </c>
      <c r="S624" s="132">
        <f t="shared" si="60"/>
        <v>3.5</v>
      </c>
      <c r="T624" s="132">
        <f t="shared" si="61"/>
        <v>3.5</v>
      </c>
      <c r="V624" s="131">
        <f t="shared" si="62"/>
        <v>14.545454545454547</v>
      </c>
      <c r="W624" s="17">
        <v>29.7</v>
      </c>
      <c r="X624" s="8">
        <f>60*60*8/W624</f>
        <v>969.69696969696975</v>
      </c>
      <c r="Y624" s="161">
        <v>45553</v>
      </c>
      <c r="Z624" s="7" t="s">
        <v>7</v>
      </c>
      <c r="AA624" s="117"/>
      <c r="AB624" s="117"/>
      <c r="AC624" s="117"/>
      <c r="AD624" s="24">
        <v>45553</v>
      </c>
      <c r="AE624">
        <v>1</v>
      </c>
      <c r="AF624">
        <v>2.2999999999999998</v>
      </c>
      <c r="AG624">
        <v>2.5</v>
      </c>
      <c r="AJ624">
        <v>0.1</v>
      </c>
      <c r="AK624">
        <v>7</v>
      </c>
      <c r="AL624">
        <v>6.5</v>
      </c>
      <c r="AN624">
        <v>10</v>
      </c>
      <c r="AO624">
        <v>0.3</v>
      </c>
      <c r="AS624">
        <v>29.7</v>
      </c>
      <c r="AT624">
        <v>9</v>
      </c>
      <c r="AU624">
        <v>18</v>
      </c>
      <c r="AV624">
        <v>127</v>
      </c>
      <c r="AW624">
        <v>138</v>
      </c>
      <c r="AX624">
        <v>12</v>
      </c>
      <c r="AY624">
        <v>47</v>
      </c>
      <c r="AZ624">
        <v>95</v>
      </c>
      <c r="BA624">
        <v>102</v>
      </c>
      <c r="BB624">
        <v>420</v>
      </c>
      <c r="CH624" s="2"/>
    </row>
    <row r="625" spans="1:86" x14ac:dyDescent="0.3">
      <c r="A625" s="23">
        <v>842</v>
      </c>
      <c r="B625" s="2" t="s">
        <v>0</v>
      </c>
      <c r="C625" s="2" t="s">
        <v>1</v>
      </c>
      <c r="D625" s="2" t="s">
        <v>1058</v>
      </c>
      <c r="E625" s="2">
        <v>450</v>
      </c>
      <c r="F625" s="2">
        <v>3.9199999999999999E-2</v>
      </c>
      <c r="G625" s="2">
        <v>2.9700000000000001E-2</v>
      </c>
      <c r="H625" s="4">
        <f t="shared" si="58"/>
        <v>0.24234693877551017</v>
      </c>
      <c r="I625" s="2" t="s">
        <v>73</v>
      </c>
      <c r="J625" s="2" t="s">
        <v>666</v>
      </c>
      <c r="K625" s="2" t="s">
        <v>105</v>
      </c>
      <c r="L625" s="2" t="s">
        <v>76</v>
      </c>
      <c r="M625" s="155"/>
      <c r="N625" s="155"/>
      <c r="O625" s="2">
        <v>12</v>
      </c>
      <c r="P625" s="6">
        <v>20</v>
      </c>
      <c r="Q625" s="131">
        <f t="shared" si="59"/>
        <v>38.4</v>
      </c>
      <c r="R625" s="33">
        <f t="shared" si="63"/>
        <v>20</v>
      </c>
      <c r="S625" s="132">
        <f t="shared" si="60"/>
        <v>2.5</v>
      </c>
      <c r="T625" s="132">
        <f t="shared" si="61"/>
        <v>2.5</v>
      </c>
      <c r="V625" s="131">
        <f t="shared" si="62"/>
        <v>18.506024096385541</v>
      </c>
      <c r="W625" s="17">
        <v>41.5</v>
      </c>
      <c r="X625" s="8">
        <f>60*60*8/W625</f>
        <v>693.97590361445782</v>
      </c>
      <c r="Y625" s="161">
        <v>45308</v>
      </c>
      <c r="Z625" s="7" t="s">
        <v>704</v>
      </c>
      <c r="AA625" s="117"/>
      <c r="AB625" s="117"/>
      <c r="AC625" s="117"/>
      <c r="CH625" s="2"/>
    </row>
    <row r="626" spans="1:86" x14ac:dyDescent="0.3">
      <c r="A626" s="2">
        <v>843</v>
      </c>
      <c r="B626" s="2" t="s">
        <v>0</v>
      </c>
      <c r="C626" s="2" t="s">
        <v>1</v>
      </c>
      <c r="D626" s="2" t="s">
        <v>667</v>
      </c>
      <c r="E626" s="2">
        <v>400</v>
      </c>
      <c r="F626" s="2">
        <v>4.2700000000000002E-2</v>
      </c>
      <c r="G626" s="2">
        <v>3.2300000000000002E-2</v>
      </c>
      <c r="H626" s="4">
        <f t="shared" si="58"/>
        <v>0.243559718969555</v>
      </c>
      <c r="I626" s="2" t="s">
        <v>73</v>
      </c>
      <c r="J626" s="2" t="s">
        <v>668</v>
      </c>
      <c r="K626" s="2" t="s">
        <v>105</v>
      </c>
      <c r="L626" s="2" t="s">
        <v>76</v>
      </c>
      <c r="M626" s="155"/>
      <c r="N626" s="155"/>
      <c r="O626" s="2">
        <v>12</v>
      </c>
      <c r="P626" s="6">
        <v>22</v>
      </c>
      <c r="Q626" s="131">
        <f t="shared" si="59"/>
        <v>39.272727272727273</v>
      </c>
      <c r="R626" s="33">
        <f t="shared" si="63"/>
        <v>22</v>
      </c>
      <c r="S626" s="132">
        <f t="shared" si="60"/>
        <v>2.75</v>
      </c>
      <c r="T626" s="132">
        <f t="shared" si="61"/>
        <v>2.75</v>
      </c>
      <c r="V626" s="131" t="str">
        <f t="shared" si="62"/>
        <v/>
      </c>
      <c r="W626" s="17"/>
      <c r="X626" s="7"/>
      <c r="Y626" s="161"/>
      <c r="Z626" s="7"/>
      <c r="AA626" s="117"/>
      <c r="AB626" s="117"/>
      <c r="AC626" s="117"/>
      <c r="CH626" s="2"/>
    </row>
    <row r="627" spans="1:86" x14ac:dyDescent="0.3">
      <c r="A627" s="23">
        <v>844</v>
      </c>
      <c r="B627" s="2" t="s">
        <v>0</v>
      </c>
      <c r="C627" s="2" t="s">
        <v>1</v>
      </c>
      <c r="D627" s="2" t="s">
        <v>1059</v>
      </c>
      <c r="E627" s="2">
        <v>400</v>
      </c>
      <c r="F627" s="2">
        <v>3.7900000000000003E-2</v>
      </c>
      <c r="G627" s="2">
        <v>2.9000000000000001E-2</v>
      </c>
      <c r="H627" s="4">
        <f t="shared" si="58"/>
        <v>0.23482849604221639</v>
      </c>
      <c r="I627" s="2" t="s">
        <v>73</v>
      </c>
      <c r="J627" s="2" t="s">
        <v>652</v>
      </c>
      <c r="K627" s="2" t="s">
        <v>105</v>
      </c>
      <c r="L627" s="2" t="s">
        <v>76</v>
      </c>
      <c r="M627" s="155"/>
      <c r="N627" s="155"/>
      <c r="O627" s="2">
        <v>12</v>
      </c>
      <c r="P627" s="6">
        <v>23</v>
      </c>
      <c r="Q627" s="131">
        <f t="shared" si="59"/>
        <v>37.565217391304351</v>
      </c>
      <c r="R627" s="33">
        <f t="shared" si="63"/>
        <v>22.999999999999996</v>
      </c>
      <c r="S627" s="132">
        <f t="shared" si="60"/>
        <v>2.8749999999999996</v>
      </c>
      <c r="T627" s="132">
        <f t="shared" si="61"/>
        <v>2.8749999999999996</v>
      </c>
      <c r="V627" s="131">
        <f t="shared" si="62"/>
        <v>24.420576596947427</v>
      </c>
      <c r="W627" s="17">
        <v>35.380000000000003</v>
      </c>
      <c r="X627" s="8">
        <f>60*60*8/W627</f>
        <v>814.01921989824757</v>
      </c>
      <c r="Y627" s="161">
        <v>45308</v>
      </c>
      <c r="Z627" s="7" t="s">
        <v>704</v>
      </c>
      <c r="AA627" s="117"/>
      <c r="AB627" s="117"/>
      <c r="AC627" s="117"/>
      <c r="AD627" s="24">
        <v>45610</v>
      </c>
      <c r="AE627">
        <v>6</v>
      </c>
      <c r="AF627">
        <v>6.1</v>
      </c>
      <c r="AG627">
        <v>1.8</v>
      </c>
      <c r="AI627">
        <v>0.4</v>
      </c>
      <c r="AJ627">
        <v>0.4</v>
      </c>
      <c r="AK627">
        <v>8</v>
      </c>
      <c r="AL627">
        <v>7.5</v>
      </c>
      <c r="AM627">
        <v>0</v>
      </c>
      <c r="AN627">
        <v>12</v>
      </c>
      <c r="AS627">
        <v>35.700000000000003</v>
      </c>
      <c r="AT627">
        <v>9</v>
      </c>
      <c r="AU627">
        <v>16</v>
      </c>
      <c r="AV627">
        <v>122.2</v>
      </c>
      <c r="AW627">
        <v>133</v>
      </c>
      <c r="AX627">
        <v>18</v>
      </c>
      <c r="AY627">
        <v>41</v>
      </c>
      <c r="AZ627">
        <v>81</v>
      </c>
      <c r="BA627">
        <v>112</v>
      </c>
      <c r="BB627">
        <v>420</v>
      </c>
      <c r="CH627" s="2"/>
    </row>
    <row r="628" spans="1:86" x14ac:dyDescent="0.3">
      <c r="A628" s="23">
        <v>845</v>
      </c>
      <c r="B628" s="2" t="s">
        <v>0</v>
      </c>
      <c r="C628" s="2" t="s">
        <v>1</v>
      </c>
      <c r="D628" s="2" t="s">
        <v>1060</v>
      </c>
      <c r="E628" s="2">
        <v>360</v>
      </c>
      <c r="F628" s="2">
        <v>4.2099999999999999E-2</v>
      </c>
      <c r="G628" s="2">
        <v>3.1800000000000002E-2</v>
      </c>
      <c r="H628" s="4">
        <f t="shared" si="58"/>
        <v>0.24465558194774339</v>
      </c>
      <c r="I628" s="2" t="s">
        <v>73</v>
      </c>
      <c r="J628" s="2" t="s">
        <v>654</v>
      </c>
      <c r="K628" s="2" t="s">
        <v>105</v>
      </c>
      <c r="L628" s="2" t="s">
        <v>76</v>
      </c>
      <c r="M628" s="155"/>
      <c r="N628" s="155"/>
      <c r="O628" s="2">
        <v>12</v>
      </c>
      <c r="P628" s="6">
        <v>26</v>
      </c>
      <c r="Q628" s="131">
        <f t="shared" si="59"/>
        <v>36.92307692307692</v>
      </c>
      <c r="R628" s="33">
        <f t="shared" si="63"/>
        <v>26.000000000000004</v>
      </c>
      <c r="S628" s="132">
        <f t="shared" si="60"/>
        <v>3.2500000000000004</v>
      </c>
      <c r="T628" s="132">
        <f t="shared" si="61"/>
        <v>3.2500000000000004</v>
      </c>
      <c r="V628" s="131">
        <f t="shared" si="62"/>
        <v>24</v>
      </c>
      <c r="W628" s="17">
        <v>40</v>
      </c>
      <c r="X628" s="8">
        <f>60*60*8/W628</f>
        <v>720</v>
      </c>
      <c r="Y628" s="161">
        <v>45309</v>
      </c>
      <c r="Z628" s="7" t="s">
        <v>704</v>
      </c>
      <c r="AA628" s="117"/>
      <c r="AB628" s="117"/>
      <c r="AC628" s="117"/>
      <c r="CH628" s="2"/>
    </row>
    <row r="629" spans="1:86" x14ac:dyDescent="0.3">
      <c r="A629" s="2">
        <v>846</v>
      </c>
      <c r="B629" s="2" t="s">
        <v>0</v>
      </c>
      <c r="C629" s="2" t="s">
        <v>1</v>
      </c>
      <c r="D629" s="2" t="s">
        <v>1061</v>
      </c>
      <c r="E629" s="2">
        <v>450</v>
      </c>
      <c r="F629" s="2">
        <v>2.23E-2</v>
      </c>
      <c r="G629" s="2">
        <v>1.41E-2</v>
      </c>
      <c r="H629" s="4">
        <f t="shared" si="58"/>
        <v>0.36771300448430494</v>
      </c>
      <c r="I629" s="2" t="s">
        <v>98</v>
      </c>
      <c r="J629" s="2" t="s">
        <v>912</v>
      </c>
      <c r="K629" s="2" t="s">
        <v>163</v>
      </c>
      <c r="L629" s="2" t="s">
        <v>6</v>
      </c>
      <c r="M629" s="155"/>
      <c r="N629" s="155"/>
      <c r="O629" s="2">
        <v>12</v>
      </c>
      <c r="P629" s="6">
        <v>30</v>
      </c>
      <c r="Q629" s="131">
        <f t="shared" si="59"/>
        <v>25.6</v>
      </c>
      <c r="R629" s="33">
        <f t="shared" si="63"/>
        <v>30</v>
      </c>
      <c r="S629" s="132">
        <f t="shared" si="60"/>
        <v>3.75</v>
      </c>
      <c r="T629" s="132">
        <f t="shared" si="61"/>
        <v>3.75</v>
      </c>
      <c r="V629" s="131" t="str">
        <f t="shared" si="62"/>
        <v/>
      </c>
      <c r="W629" s="17"/>
      <c r="X629" s="7"/>
      <c r="Y629" s="161"/>
      <c r="Z629" s="7"/>
      <c r="AA629" s="117"/>
      <c r="AB629" s="117"/>
      <c r="AC629" s="117"/>
      <c r="CH629" s="2"/>
    </row>
    <row r="630" spans="1:86" x14ac:dyDescent="0.3">
      <c r="A630" s="2">
        <v>847</v>
      </c>
      <c r="B630" s="2" t="s">
        <v>0</v>
      </c>
      <c r="C630" s="2" t="s">
        <v>1</v>
      </c>
      <c r="D630" s="2" t="s">
        <v>1062</v>
      </c>
      <c r="E630" s="2">
        <v>700</v>
      </c>
      <c r="F630" s="2">
        <v>1.89E-2</v>
      </c>
      <c r="G630" s="2">
        <v>1.4E-2</v>
      </c>
      <c r="H630" s="4">
        <f t="shared" si="58"/>
        <v>0.25925925925925924</v>
      </c>
      <c r="I630" s="2" t="s">
        <v>73</v>
      </c>
      <c r="J630" s="2" t="s">
        <v>1063</v>
      </c>
      <c r="K630" s="2" t="s">
        <v>105</v>
      </c>
      <c r="L630" s="2" t="s">
        <v>76</v>
      </c>
      <c r="M630" s="155"/>
      <c r="N630" s="155"/>
      <c r="O630" s="2">
        <v>24</v>
      </c>
      <c r="P630" s="6">
        <v>14</v>
      </c>
      <c r="Q630" s="131">
        <f t="shared" si="59"/>
        <v>70.530612244897966</v>
      </c>
      <c r="R630" s="33">
        <f t="shared" si="63"/>
        <v>13.999999999999998</v>
      </c>
      <c r="S630" s="132">
        <f t="shared" si="60"/>
        <v>1.7499999999999998</v>
      </c>
      <c r="T630" s="132">
        <f t="shared" si="61"/>
        <v>1.7499999999999998</v>
      </c>
      <c r="V630" s="131" t="str">
        <f t="shared" si="62"/>
        <v/>
      </c>
      <c r="W630" s="17"/>
      <c r="X630" s="7"/>
      <c r="Y630" s="161"/>
      <c r="Z630" s="7"/>
      <c r="AA630" s="117"/>
      <c r="AB630" s="117"/>
      <c r="AC630" s="117"/>
      <c r="CH630" s="2"/>
    </row>
    <row r="631" spans="1:86" x14ac:dyDescent="0.3">
      <c r="A631" s="2">
        <v>848</v>
      </c>
      <c r="B631" s="2" t="s">
        <v>0</v>
      </c>
      <c r="C631" s="2" t="s">
        <v>1</v>
      </c>
      <c r="D631" s="2" t="s">
        <v>1064</v>
      </c>
      <c r="E631" s="2">
        <v>900</v>
      </c>
      <c r="F631" s="2">
        <v>1.7899999999999999E-2</v>
      </c>
      <c r="G631" s="2">
        <v>1.0200000000000001E-2</v>
      </c>
      <c r="H631" s="4">
        <f t="shared" si="58"/>
        <v>0.43016759776536306</v>
      </c>
      <c r="I631" s="2" t="s">
        <v>98</v>
      </c>
      <c r="J631" s="2" t="s">
        <v>393</v>
      </c>
      <c r="K631" s="2" t="s">
        <v>90</v>
      </c>
      <c r="L631" s="2" t="s">
        <v>6</v>
      </c>
      <c r="M631" s="155"/>
      <c r="N631" s="155"/>
      <c r="O631" s="2">
        <v>8</v>
      </c>
      <c r="P631" s="6">
        <v>20</v>
      </c>
      <c r="Q631" s="131">
        <f t="shared" si="59"/>
        <v>12.8</v>
      </c>
      <c r="R631" s="33">
        <f t="shared" si="63"/>
        <v>20</v>
      </c>
      <c r="S631" s="132">
        <f t="shared" si="60"/>
        <v>2.5</v>
      </c>
      <c r="T631" s="132">
        <f t="shared" si="61"/>
        <v>2.5</v>
      </c>
      <c r="V631" s="131" t="str">
        <f t="shared" si="62"/>
        <v/>
      </c>
      <c r="W631" s="17"/>
      <c r="X631" s="7"/>
      <c r="Y631" s="161"/>
      <c r="Z631" s="7"/>
      <c r="AA631" s="117"/>
      <c r="AB631" s="117"/>
      <c r="AC631" s="117"/>
      <c r="CH631" s="2"/>
    </row>
    <row r="632" spans="1:86" x14ac:dyDescent="0.3">
      <c r="A632" s="2">
        <v>852</v>
      </c>
      <c r="B632" s="2" t="s">
        <v>0</v>
      </c>
      <c r="C632" s="2" t="s">
        <v>1</v>
      </c>
      <c r="D632" s="2" t="s">
        <v>1065</v>
      </c>
      <c r="E632" s="2">
        <v>1450</v>
      </c>
      <c r="F632" s="2">
        <v>2.0400000000000001E-2</v>
      </c>
      <c r="G632" s="2">
        <v>1.49E-2</v>
      </c>
      <c r="H632" s="4">
        <f t="shared" si="58"/>
        <v>0.26960784313725494</v>
      </c>
      <c r="I632" s="2" t="s">
        <v>98</v>
      </c>
      <c r="J632" s="2" t="s">
        <v>1066</v>
      </c>
      <c r="K632" s="2" t="s">
        <v>105</v>
      </c>
      <c r="L632" s="2" t="s">
        <v>76</v>
      </c>
      <c r="M632" s="155"/>
      <c r="N632" s="155"/>
      <c r="O632" s="2">
        <v>15</v>
      </c>
      <c r="P632" s="6">
        <v>20</v>
      </c>
      <c r="Q632" s="131">
        <f t="shared" si="59"/>
        <v>14.896551724137931</v>
      </c>
      <c r="R632" s="33">
        <f t="shared" si="63"/>
        <v>20</v>
      </c>
      <c r="S632" s="132">
        <f t="shared" si="60"/>
        <v>2.5</v>
      </c>
      <c r="T632" s="132">
        <f t="shared" si="61"/>
        <v>2.5</v>
      </c>
      <c r="V632" s="131" t="str">
        <f t="shared" si="62"/>
        <v/>
      </c>
      <c r="W632" s="17"/>
      <c r="X632" s="7"/>
      <c r="Y632" s="161"/>
      <c r="Z632" s="7"/>
      <c r="AA632" s="117"/>
      <c r="AB632" s="117"/>
      <c r="AC632" s="117"/>
      <c r="CH632" s="2"/>
    </row>
    <row r="633" spans="1:86" x14ac:dyDescent="0.3">
      <c r="A633" s="2">
        <v>854</v>
      </c>
      <c r="B633" s="2" t="s">
        <v>84</v>
      </c>
      <c r="C633" s="2" t="s">
        <v>1</v>
      </c>
      <c r="D633" s="2" t="s">
        <v>1067</v>
      </c>
      <c r="E633" s="2">
        <v>3000</v>
      </c>
      <c r="F633" s="2">
        <v>2.8999999999999998E-3</v>
      </c>
      <c r="G633" s="2">
        <v>2.0999999999999999E-3</v>
      </c>
      <c r="H633" s="4">
        <f t="shared" si="58"/>
        <v>0.27586206896551724</v>
      </c>
      <c r="I633" s="2" t="s">
        <v>82</v>
      </c>
      <c r="J633" s="2" t="s">
        <v>645</v>
      </c>
      <c r="K633" s="2" t="s">
        <v>357</v>
      </c>
      <c r="L633" s="2" t="s">
        <v>6</v>
      </c>
      <c r="M633" s="155"/>
      <c r="N633" s="155"/>
      <c r="O633" s="2">
        <v>40</v>
      </c>
      <c r="P633" s="6">
        <v>13</v>
      </c>
      <c r="Q633" s="131">
        <f t="shared" si="59"/>
        <v>29.53846153846154</v>
      </c>
      <c r="R633" s="33">
        <f t="shared" si="63"/>
        <v>13</v>
      </c>
      <c r="S633" s="132">
        <f t="shared" si="60"/>
        <v>1.625</v>
      </c>
      <c r="T633" s="132">
        <f t="shared" si="61"/>
        <v>1.625</v>
      </c>
      <c r="V633" s="131" t="str">
        <f t="shared" si="62"/>
        <v/>
      </c>
      <c r="W633" s="17"/>
      <c r="X633" s="7"/>
      <c r="Y633" s="161"/>
      <c r="Z633" s="7"/>
      <c r="AA633" s="117"/>
      <c r="AB633" s="117"/>
      <c r="AC633" s="117"/>
      <c r="CH633" s="2"/>
    </row>
    <row r="634" spans="1:86" x14ac:dyDescent="0.3">
      <c r="A634" s="2">
        <v>855</v>
      </c>
      <c r="B634" s="2" t="s">
        <v>84</v>
      </c>
      <c r="C634" s="2" t="s">
        <v>1</v>
      </c>
      <c r="D634" s="2" t="s">
        <v>1068</v>
      </c>
      <c r="E634" s="2">
        <v>4000</v>
      </c>
      <c r="F634" s="2">
        <v>4.8999999999999998E-3</v>
      </c>
      <c r="G634" s="2">
        <v>3.3E-3</v>
      </c>
      <c r="H634" s="4">
        <f t="shared" si="58"/>
        <v>0.32653061224489793</v>
      </c>
      <c r="I634" s="2" t="s">
        <v>82</v>
      </c>
      <c r="J634" s="2" t="s">
        <v>645</v>
      </c>
      <c r="K634" s="2" t="s">
        <v>90</v>
      </c>
      <c r="L634" s="2" t="s">
        <v>6</v>
      </c>
      <c r="M634" s="155"/>
      <c r="N634" s="155"/>
      <c r="O634" s="2">
        <v>24</v>
      </c>
      <c r="P634" s="6">
        <v>10</v>
      </c>
      <c r="Q634" s="131">
        <f t="shared" si="59"/>
        <v>17.28</v>
      </c>
      <c r="R634" s="33">
        <f t="shared" si="63"/>
        <v>10</v>
      </c>
      <c r="S634" s="132">
        <f t="shared" si="60"/>
        <v>1.25</v>
      </c>
      <c r="T634" s="132">
        <f t="shared" si="61"/>
        <v>1.25</v>
      </c>
      <c r="V634" s="131" t="str">
        <f t="shared" si="62"/>
        <v/>
      </c>
      <c r="W634" s="17"/>
      <c r="X634" s="7"/>
      <c r="Y634" s="161"/>
      <c r="Z634" s="7"/>
      <c r="AA634" s="117"/>
      <c r="AB634" s="117"/>
      <c r="AC634" s="117"/>
      <c r="CH634" s="2"/>
    </row>
    <row r="635" spans="1:86" x14ac:dyDescent="0.3">
      <c r="A635" s="2">
        <v>857</v>
      </c>
      <c r="B635" s="2" t="s">
        <v>0</v>
      </c>
      <c r="C635" s="2" t="s">
        <v>1</v>
      </c>
      <c r="D635" s="2" t="s">
        <v>655</v>
      </c>
      <c r="E635" s="2">
        <v>700</v>
      </c>
      <c r="F635" s="2">
        <v>2.3599999999999999E-2</v>
      </c>
      <c r="G635" s="2">
        <v>1.7999999999999999E-2</v>
      </c>
      <c r="H635" s="4">
        <f t="shared" ref="H635:H698" si="65">(F635-G635)/F635</f>
        <v>0.23728813559322037</v>
      </c>
      <c r="I635" s="2" t="s">
        <v>73</v>
      </c>
      <c r="J635" s="2" t="s">
        <v>656</v>
      </c>
      <c r="K635" s="2" t="s">
        <v>105</v>
      </c>
      <c r="L635" s="2" t="s">
        <v>76</v>
      </c>
      <c r="M635" s="155"/>
      <c r="N635" s="155"/>
      <c r="O635" s="2">
        <v>24</v>
      </c>
      <c r="P635" s="6">
        <v>14</v>
      </c>
      <c r="Q635" s="131">
        <f t="shared" ref="Q635:Q698" si="66">IFERROR(60*60*8*O635/E635/P635,"")</f>
        <v>70.530612244897966</v>
      </c>
      <c r="R635" s="33">
        <f t="shared" si="63"/>
        <v>13.999999999999998</v>
      </c>
      <c r="S635" s="132">
        <f t="shared" ref="S635:S698" si="67">IFERROR(R635/8,"")</f>
        <v>1.7499999999999998</v>
      </c>
      <c r="T635" s="132">
        <f t="shared" ref="T635:T698" si="68">IFERROR(IF(R635&gt;2,S635,""),"")</f>
        <v>1.7499999999999998</v>
      </c>
      <c r="V635" s="131" t="str">
        <f t="shared" ref="V635:V698" si="69">IF(X635&gt;10,X635*O635/E635,"")</f>
        <v/>
      </c>
      <c r="W635" s="17"/>
      <c r="X635" s="7"/>
      <c r="Y635" s="161"/>
      <c r="Z635" s="7"/>
      <c r="AA635" s="117"/>
      <c r="AB635" s="117"/>
      <c r="AC635" s="117"/>
      <c r="CH635" s="2"/>
    </row>
    <row r="636" spans="1:86" x14ac:dyDescent="0.3">
      <c r="A636" s="23">
        <v>859</v>
      </c>
      <c r="B636" s="2" t="s">
        <v>0</v>
      </c>
      <c r="C636" s="2" t="s">
        <v>1</v>
      </c>
      <c r="D636" s="2" t="s">
        <v>1069</v>
      </c>
      <c r="E636" s="2">
        <v>350</v>
      </c>
      <c r="F636" s="2">
        <v>3.04E-2</v>
      </c>
      <c r="G636" s="2">
        <v>2.5999999999999999E-2</v>
      </c>
      <c r="H636" s="4">
        <f t="shared" si="65"/>
        <v>0.14473684210526319</v>
      </c>
      <c r="I636" s="2" t="s">
        <v>98</v>
      </c>
      <c r="J636" s="2" t="s">
        <v>1070</v>
      </c>
      <c r="K636" s="2" t="s">
        <v>90</v>
      </c>
      <c r="L636" s="2" t="s">
        <v>6</v>
      </c>
      <c r="M636" s="155"/>
      <c r="N636" s="155"/>
      <c r="O636" s="2">
        <v>9</v>
      </c>
      <c r="P636" s="6">
        <v>20</v>
      </c>
      <c r="Q636" s="131">
        <f t="shared" si="66"/>
        <v>37.028571428571425</v>
      </c>
      <c r="R636" s="33">
        <f t="shared" si="63"/>
        <v>20</v>
      </c>
      <c r="S636" s="132">
        <f t="shared" si="67"/>
        <v>2.5</v>
      </c>
      <c r="T636" s="132">
        <f t="shared" si="68"/>
        <v>2.5</v>
      </c>
      <c r="V636" s="131">
        <f t="shared" si="69"/>
        <v>19.907834101382488</v>
      </c>
      <c r="W636" s="17">
        <v>37.200000000000003</v>
      </c>
      <c r="X636" s="8">
        <f>60*60*8/W636</f>
        <v>774.19354838709671</v>
      </c>
      <c r="Y636" s="161">
        <v>45429</v>
      </c>
      <c r="Z636" s="7" t="s">
        <v>7</v>
      </c>
      <c r="AA636" s="117">
        <v>44.25</v>
      </c>
      <c r="AB636" s="118">
        <v>45523</v>
      </c>
      <c r="AC636" s="119" t="s">
        <v>7</v>
      </c>
      <c r="AD636" s="24">
        <v>45523</v>
      </c>
      <c r="AE636">
        <v>8</v>
      </c>
      <c r="AF636">
        <v>9.4</v>
      </c>
      <c r="AG636">
        <v>2</v>
      </c>
      <c r="AI636">
        <v>0.1</v>
      </c>
      <c r="AJ636">
        <v>0.2</v>
      </c>
      <c r="AK636">
        <v>12</v>
      </c>
      <c r="AL636">
        <v>11.5</v>
      </c>
      <c r="AN636">
        <v>14</v>
      </c>
      <c r="AO636">
        <v>1</v>
      </c>
      <c r="AP636">
        <v>0.6</v>
      </c>
      <c r="AS636" t="s">
        <v>1071</v>
      </c>
      <c r="AT636">
        <v>6.5</v>
      </c>
      <c r="AU636">
        <v>11</v>
      </c>
      <c r="AV636">
        <v>93</v>
      </c>
      <c r="AW636">
        <v>104</v>
      </c>
      <c r="AX636">
        <v>12</v>
      </c>
      <c r="AY636">
        <v>24</v>
      </c>
      <c r="AZ636">
        <v>101</v>
      </c>
      <c r="BA636">
        <v>112</v>
      </c>
      <c r="BB636">
        <v>420</v>
      </c>
      <c r="CH636" s="2"/>
    </row>
    <row r="637" spans="1:86" x14ac:dyDescent="0.3">
      <c r="A637" s="2">
        <v>860</v>
      </c>
      <c r="B637" s="2" t="s">
        <v>0</v>
      </c>
      <c r="C637" s="2" t="s">
        <v>1</v>
      </c>
      <c r="D637" s="2" t="s">
        <v>1072</v>
      </c>
      <c r="E637" s="2">
        <v>50</v>
      </c>
      <c r="F637" s="2">
        <v>0.60719999999999996</v>
      </c>
      <c r="G637" s="2">
        <v>0.15</v>
      </c>
      <c r="H637" s="4">
        <f t="shared" si="65"/>
        <v>0.75296442687747034</v>
      </c>
      <c r="I637" s="2" t="s">
        <v>98</v>
      </c>
      <c r="J637" s="2" t="s">
        <v>1073</v>
      </c>
      <c r="K637" s="2" t="s">
        <v>230</v>
      </c>
      <c r="L637" s="2" t="s">
        <v>76</v>
      </c>
      <c r="M637" s="155"/>
      <c r="N637" s="155"/>
      <c r="O637" s="2">
        <v>1</v>
      </c>
      <c r="P637" s="6">
        <v>20</v>
      </c>
      <c r="Q637" s="131">
        <f t="shared" si="66"/>
        <v>28.8</v>
      </c>
      <c r="R637" s="33">
        <f t="shared" si="63"/>
        <v>20</v>
      </c>
      <c r="S637" s="132">
        <f t="shared" si="67"/>
        <v>2.5</v>
      </c>
      <c r="T637" s="132">
        <f t="shared" si="68"/>
        <v>2.5</v>
      </c>
      <c r="V637" s="131" t="str">
        <f t="shared" si="69"/>
        <v/>
      </c>
      <c r="W637" s="17"/>
      <c r="X637" s="7"/>
      <c r="Y637" s="161"/>
      <c r="Z637" s="7"/>
      <c r="AA637" s="117"/>
      <c r="AB637" s="117"/>
      <c r="AC637" s="117"/>
      <c r="CH637" s="2"/>
    </row>
    <row r="638" spans="1:86" x14ac:dyDescent="0.3">
      <c r="A638" s="2">
        <v>868</v>
      </c>
      <c r="B638" s="2" t="s">
        <v>84</v>
      </c>
      <c r="C638" s="2" t="s">
        <v>1</v>
      </c>
      <c r="D638" s="2" t="s">
        <v>1074</v>
      </c>
      <c r="E638" s="2">
        <v>720</v>
      </c>
      <c r="F638" s="2">
        <v>9.9000000000000008E-3</v>
      </c>
      <c r="G638" s="2">
        <v>7.1999999999999998E-3</v>
      </c>
      <c r="H638" s="4">
        <f t="shared" si="65"/>
        <v>0.27272727272727282</v>
      </c>
      <c r="I638" s="2" t="s">
        <v>82</v>
      </c>
      <c r="J638" s="2" t="s">
        <v>581</v>
      </c>
      <c r="K638" s="2"/>
      <c r="L638" s="2"/>
      <c r="M638" s="155"/>
      <c r="N638" s="155"/>
      <c r="O638" s="2">
        <v>24</v>
      </c>
      <c r="P638" s="6"/>
      <c r="Q638" s="131" t="str">
        <f t="shared" si="66"/>
        <v/>
      </c>
      <c r="R638" s="33" t="str">
        <f t="shared" si="63"/>
        <v/>
      </c>
      <c r="S638" s="132" t="str">
        <f t="shared" si="67"/>
        <v/>
      </c>
      <c r="T638" s="132" t="str">
        <f t="shared" si="68"/>
        <v/>
      </c>
      <c r="V638" s="131" t="str">
        <f t="shared" si="69"/>
        <v/>
      </c>
      <c r="W638" s="17"/>
      <c r="X638" s="7"/>
      <c r="Y638" s="161"/>
      <c r="Z638" s="7"/>
      <c r="AA638" s="117"/>
      <c r="AB638" s="117"/>
      <c r="AC638" s="117"/>
      <c r="CH638" s="2"/>
    </row>
    <row r="639" spans="1:86" x14ac:dyDescent="0.3">
      <c r="A639" s="2">
        <v>875</v>
      </c>
      <c r="B639" s="2" t="s">
        <v>84</v>
      </c>
      <c r="C639" s="2" t="s">
        <v>1</v>
      </c>
      <c r="D639" s="2" t="s">
        <v>1075</v>
      </c>
      <c r="E639" s="2">
        <v>4600</v>
      </c>
      <c r="F639" s="2">
        <v>2.3999999999999998E-3</v>
      </c>
      <c r="G639" s="2">
        <v>1.8E-3</v>
      </c>
      <c r="H639" s="4">
        <f t="shared" si="65"/>
        <v>0.24999999999999994</v>
      </c>
      <c r="I639" s="2" t="s">
        <v>98</v>
      </c>
      <c r="J639" s="2" t="s">
        <v>575</v>
      </c>
      <c r="K639" s="2" t="s">
        <v>5</v>
      </c>
      <c r="L639" s="2" t="s">
        <v>6</v>
      </c>
      <c r="M639" s="155"/>
      <c r="N639" s="155"/>
      <c r="O639" s="2">
        <v>64</v>
      </c>
      <c r="P639" s="6">
        <v>10</v>
      </c>
      <c r="Q639" s="131">
        <f t="shared" si="66"/>
        <v>40.069565217391307</v>
      </c>
      <c r="R639" s="33">
        <f t="shared" si="63"/>
        <v>10</v>
      </c>
      <c r="S639" s="132">
        <f t="shared" si="67"/>
        <v>1.25</v>
      </c>
      <c r="T639" s="132">
        <f t="shared" si="68"/>
        <v>1.25</v>
      </c>
      <c r="V639" s="131" t="str">
        <f t="shared" si="69"/>
        <v/>
      </c>
      <c r="W639" s="17"/>
      <c r="X639" s="7"/>
      <c r="Y639" s="161"/>
      <c r="Z639" s="7"/>
      <c r="AA639" s="117"/>
      <c r="AB639" s="117"/>
      <c r="AC639" s="117"/>
      <c r="CH639" s="2"/>
    </row>
    <row r="640" spans="1:86" x14ac:dyDescent="0.3">
      <c r="A640" s="2">
        <v>876</v>
      </c>
      <c r="B640" s="2" t="s">
        <v>0</v>
      </c>
      <c r="C640" s="2" t="s">
        <v>1</v>
      </c>
      <c r="D640" s="2" t="s">
        <v>1076</v>
      </c>
      <c r="E640" s="2">
        <v>2250</v>
      </c>
      <c r="F640" s="2">
        <v>6.4999999999999997E-3</v>
      </c>
      <c r="G640" s="2">
        <v>5.1000000000000004E-3</v>
      </c>
      <c r="H640" s="4">
        <f t="shared" si="65"/>
        <v>0.21538461538461529</v>
      </c>
      <c r="I640" s="2" t="s">
        <v>98</v>
      </c>
      <c r="J640" s="2" t="s">
        <v>418</v>
      </c>
      <c r="K640" s="2" t="s">
        <v>5</v>
      </c>
      <c r="L640" s="2" t="s">
        <v>6</v>
      </c>
      <c r="M640" s="155"/>
      <c r="N640" s="155"/>
      <c r="O640" s="2">
        <v>35</v>
      </c>
      <c r="P640" s="6">
        <v>16</v>
      </c>
      <c r="Q640" s="131">
        <f t="shared" si="66"/>
        <v>28</v>
      </c>
      <c r="R640" s="33">
        <f t="shared" si="63"/>
        <v>16</v>
      </c>
      <c r="S640" s="132">
        <f t="shared" si="67"/>
        <v>2</v>
      </c>
      <c r="T640" s="132">
        <f t="shared" si="68"/>
        <v>2</v>
      </c>
      <c r="V640" s="131" t="str">
        <f t="shared" si="69"/>
        <v/>
      </c>
      <c r="W640" s="17"/>
      <c r="X640" s="7"/>
      <c r="Y640" s="161"/>
      <c r="Z640" s="7"/>
      <c r="AA640" s="117"/>
      <c r="AB640" s="117"/>
      <c r="AC640" s="117"/>
      <c r="CH640" s="2"/>
    </row>
    <row r="641" spans="1:86" x14ac:dyDescent="0.3">
      <c r="A641" s="2">
        <v>877</v>
      </c>
      <c r="B641" s="2" t="s">
        <v>0</v>
      </c>
      <c r="C641" s="2" t="s">
        <v>1</v>
      </c>
      <c r="D641" s="2" t="s">
        <v>1077</v>
      </c>
      <c r="E641" s="2">
        <v>480</v>
      </c>
      <c r="F641" s="2">
        <v>1.7600000000000001E-2</v>
      </c>
      <c r="G641" s="2">
        <v>8.0000000000000002E-3</v>
      </c>
      <c r="H641" s="4">
        <f t="shared" si="65"/>
        <v>0.54545454545454553</v>
      </c>
      <c r="I641" s="2" t="s">
        <v>98</v>
      </c>
      <c r="J641" s="2" t="s">
        <v>596</v>
      </c>
      <c r="K641" s="2"/>
      <c r="L641" s="2"/>
      <c r="M641" s="155"/>
      <c r="N641" s="155"/>
      <c r="O641" s="2">
        <v>1</v>
      </c>
      <c r="P641" s="6">
        <v>20</v>
      </c>
      <c r="Q641" s="131">
        <f t="shared" si="66"/>
        <v>3</v>
      </c>
      <c r="R641" s="33">
        <f t="shared" si="63"/>
        <v>20</v>
      </c>
      <c r="S641" s="132">
        <f t="shared" si="67"/>
        <v>2.5</v>
      </c>
      <c r="T641" s="132">
        <f t="shared" si="68"/>
        <v>2.5</v>
      </c>
      <c r="V641" s="131" t="str">
        <f t="shared" si="69"/>
        <v/>
      </c>
      <c r="W641" s="17"/>
      <c r="X641" s="7"/>
      <c r="Y641" s="161"/>
      <c r="Z641" s="7"/>
      <c r="AA641" s="117"/>
      <c r="AB641" s="117"/>
      <c r="AC641" s="117"/>
      <c r="CH641" s="2"/>
    </row>
    <row r="642" spans="1:86" x14ac:dyDescent="0.3">
      <c r="A642" s="2">
        <v>879</v>
      </c>
      <c r="B642" s="2" t="s">
        <v>0</v>
      </c>
      <c r="C642" s="2" t="s">
        <v>1</v>
      </c>
      <c r="D642" s="2" t="s">
        <v>1078</v>
      </c>
      <c r="E642" s="2">
        <v>900</v>
      </c>
      <c r="F642" s="2">
        <v>1.03E-2</v>
      </c>
      <c r="G642" s="2">
        <v>8.0000000000000002E-3</v>
      </c>
      <c r="H642" s="4">
        <f t="shared" si="65"/>
        <v>0.22330097087378639</v>
      </c>
      <c r="I642" s="2" t="s">
        <v>98</v>
      </c>
      <c r="J642" s="2" t="s">
        <v>418</v>
      </c>
      <c r="K642" s="2" t="s">
        <v>5</v>
      </c>
      <c r="L642" s="2" t="s">
        <v>6</v>
      </c>
      <c r="M642" s="155"/>
      <c r="N642" s="155"/>
      <c r="O642" s="2">
        <v>20</v>
      </c>
      <c r="P642" s="6">
        <v>16</v>
      </c>
      <c r="Q642" s="131">
        <f t="shared" si="66"/>
        <v>40</v>
      </c>
      <c r="R642" s="33">
        <f t="shared" ref="R642:R705" si="70">IFERROR(60*60*8*O642/E642/Q642,"")</f>
        <v>16</v>
      </c>
      <c r="S642" s="132">
        <f t="shared" si="67"/>
        <v>2</v>
      </c>
      <c r="T642" s="132">
        <f t="shared" si="68"/>
        <v>2</v>
      </c>
      <c r="V642" s="131" t="str">
        <f t="shared" si="69"/>
        <v/>
      </c>
      <c r="W642" s="17"/>
      <c r="X642" s="7"/>
      <c r="Y642" s="161"/>
      <c r="Z642" s="7"/>
      <c r="AA642" s="117"/>
      <c r="AB642" s="117"/>
      <c r="AC642" s="117"/>
      <c r="CH642" s="2"/>
    </row>
    <row r="643" spans="1:86" x14ac:dyDescent="0.3">
      <c r="A643" s="2">
        <v>880</v>
      </c>
      <c r="B643" s="2" t="s">
        <v>84</v>
      </c>
      <c r="C643" s="2" t="s">
        <v>1</v>
      </c>
      <c r="D643" s="2" t="s">
        <v>1079</v>
      </c>
      <c r="E643" s="2">
        <v>440</v>
      </c>
      <c r="F643" s="2">
        <v>2.4899999999999999E-2</v>
      </c>
      <c r="G643" s="2"/>
      <c r="H643" s="4">
        <f t="shared" si="65"/>
        <v>1</v>
      </c>
      <c r="I643" s="2" t="s">
        <v>98</v>
      </c>
      <c r="J643" s="2" t="s">
        <v>1080</v>
      </c>
      <c r="K643" s="2" t="s">
        <v>413</v>
      </c>
      <c r="L643" s="2" t="s">
        <v>76</v>
      </c>
      <c r="M643" s="155"/>
      <c r="N643" s="155"/>
      <c r="O643" s="2">
        <v>20</v>
      </c>
      <c r="P643" s="6">
        <v>9</v>
      </c>
      <c r="Q643" s="131">
        <f t="shared" si="66"/>
        <v>145.45454545454544</v>
      </c>
      <c r="R643" s="33">
        <f t="shared" si="70"/>
        <v>9</v>
      </c>
      <c r="S643" s="132">
        <f t="shared" si="67"/>
        <v>1.125</v>
      </c>
      <c r="T643" s="132">
        <f t="shared" si="68"/>
        <v>1.125</v>
      </c>
      <c r="V643" s="131" t="str">
        <f t="shared" si="69"/>
        <v/>
      </c>
      <c r="W643" s="17"/>
      <c r="X643" s="7"/>
      <c r="Y643" s="161"/>
      <c r="Z643" s="7"/>
      <c r="AA643" s="117"/>
      <c r="AB643" s="117"/>
      <c r="AC643" s="117"/>
      <c r="CH643" s="2"/>
    </row>
    <row r="644" spans="1:86" x14ac:dyDescent="0.3">
      <c r="A644" s="2">
        <v>881</v>
      </c>
      <c r="B644" s="2" t="s">
        <v>84</v>
      </c>
      <c r="C644" s="2" t="s">
        <v>1</v>
      </c>
      <c r="D644" s="2" t="s">
        <v>1081</v>
      </c>
      <c r="E644" s="2">
        <v>440</v>
      </c>
      <c r="F644" s="2">
        <v>2.4899999999999999E-2</v>
      </c>
      <c r="G644" s="2"/>
      <c r="H644" s="4">
        <f t="shared" si="65"/>
        <v>1</v>
      </c>
      <c r="I644" s="2" t="s">
        <v>98</v>
      </c>
      <c r="J644" s="2" t="s">
        <v>1082</v>
      </c>
      <c r="K644" s="2" t="s">
        <v>413</v>
      </c>
      <c r="L644" s="2" t="s">
        <v>76</v>
      </c>
      <c r="M644" s="155"/>
      <c r="N644" s="155"/>
      <c r="O644" s="2">
        <v>20</v>
      </c>
      <c r="P644" s="6">
        <v>9</v>
      </c>
      <c r="Q644" s="131">
        <f t="shared" si="66"/>
        <v>145.45454545454544</v>
      </c>
      <c r="R644" s="33">
        <f t="shared" si="70"/>
        <v>9</v>
      </c>
      <c r="S644" s="132">
        <f t="shared" si="67"/>
        <v>1.125</v>
      </c>
      <c r="T644" s="132">
        <f t="shared" si="68"/>
        <v>1.125</v>
      </c>
      <c r="V644" s="131" t="str">
        <f t="shared" si="69"/>
        <v/>
      </c>
      <c r="W644" s="17"/>
      <c r="X644" s="7"/>
      <c r="Y644" s="161"/>
      <c r="Z644" s="7"/>
      <c r="AA644" s="117"/>
      <c r="AB644" s="117"/>
      <c r="AC644" s="117"/>
      <c r="CH644" s="2"/>
    </row>
    <row r="645" spans="1:86" x14ac:dyDescent="0.3">
      <c r="A645" s="23">
        <v>883</v>
      </c>
      <c r="B645" s="23" t="s">
        <v>0</v>
      </c>
      <c r="C645" s="2" t="s">
        <v>1</v>
      </c>
      <c r="D645" s="2" t="s">
        <v>1083</v>
      </c>
      <c r="E645" s="2">
        <v>4100</v>
      </c>
      <c r="F645" s="2">
        <v>3.3999999999999998E-3</v>
      </c>
      <c r="G645" s="2">
        <v>2.5999999999999999E-3</v>
      </c>
      <c r="H645" s="4">
        <f t="shared" si="65"/>
        <v>0.23529411764705882</v>
      </c>
      <c r="I645" s="2" t="s">
        <v>98</v>
      </c>
      <c r="J645" s="2" t="s">
        <v>1022</v>
      </c>
      <c r="K645" s="2" t="s">
        <v>5</v>
      </c>
      <c r="L645" s="2" t="s">
        <v>6</v>
      </c>
      <c r="M645" s="155" t="s">
        <v>1084</v>
      </c>
      <c r="N645" s="155"/>
      <c r="O645" s="2">
        <v>60</v>
      </c>
      <c r="P645" s="6">
        <v>16</v>
      </c>
      <c r="Q645" s="131">
        <f t="shared" si="66"/>
        <v>26.341463414634145</v>
      </c>
      <c r="R645" s="33">
        <f t="shared" si="70"/>
        <v>16</v>
      </c>
      <c r="S645" s="132">
        <f t="shared" si="67"/>
        <v>2</v>
      </c>
      <c r="T645" s="132">
        <f t="shared" si="68"/>
        <v>2</v>
      </c>
      <c r="V645" s="131">
        <f t="shared" si="69"/>
        <v>15.171469209292525</v>
      </c>
      <c r="W645" s="17">
        <v>27.78</v>
      </c>
      <c r="X645" s="8">
        <f>60*60*8/W645</f>
        <v>1036.7170626349891</v>
      </c>
      <c r="Y645" s="161">
        <v>45628</v>
      </c>
      <c r="Z645" s="7" t="s">
        <v>7</v>
      </c>
      <c r="AA645" s="117"/>
      <c r="AB645" s="117"/>
      <c r="AC645" s="117"/>
      <c r="CH645" s="2"/>
    </row>
    <row r="646" spans="1:86" x14ac:dyDescent="0.3">
      <c r="A646" s="23">
        <v>884</v>
      </c>
      <c r="B646" s="2" t="s">
        <v>0</v>
      </c>
      <c r="C646" s="2" t="s">
        <v>1</v>
      </c>
      <c r="D646" s="2" t="s">
        <v>1085</v>
      </c>
      <c r="E646" s="2">
        <v>4600</v>
      </c>
      <c r="F646" s="2">
        <v>3.0000000000000001E-3</v>
      </c>
      <c r="G646" s="2">
        <v>2.0999999999999999E-3</v>
      </c>
      <c r="H646" s="4">
        <f t="shared" si="65"/>
        <v>0.30000000000000004</v>
      </c>
      <c r="I646" s="2" t="s">
        <v>98</v>
      </c>
      <c r="J646" s="2" t="s">
        <v>672</v>
      </c>
      <c r="K646" s="2" t="s">
        <v>5</v>
      </c>
      <c r="L646" s="2" t="s">
        <v>6</v>
      </c>
      <c r="M646" s="155"/>
      <c r="N646" s="155"/>
      <c r="O646" s="2">
        <v>64</v>
      </c>
      <c r="P646" s="6">
        <v>10</v>
      </c>
      <c r="Q646" s="131">
        <f t="shared" si="66"/>
        <v>40.069565217391307</v>
      </c>
      <c r="R646" s="33">
        <f t="shared" si="70"/>
        <v>10</v>
      </c>
      <c r="S646" s="132">
        <f t="shared" si="67"/>
        <v>1.25</v>
      </c>
      <c r="T646" s="132">
        <f t="shared" si="68"/>
        <v>1.25</v>
      </c>
      <c r="V646" s="131">
        <f t="shared" si="69"/>
        <v>14.731457800511508</v>
      </c>
      <c r="W646" s="17">
        <v>27.2</v>
      </c>
      <c r="X646" s="8">
        <f>60*60*8/W646</f>
        <v>1058.8235294117646</v>
      </c>
      <c r="Y646" s="161">
        <v>45532</v>
      </c>
      <c r="Z646" s="7" t="s">
        <v>7</v>
      </c>
      <c r="AA646" s="117"/>
      <c r="AB646" s="118"/>
      <c r="AC646" s="117"/>
      <c r="AD646" s="22">
        <v>45532</v>
      </c>
      <c r="AE646">
        <v>3</v>
      </c>
      <c r="AF646">
        <v>3.2</v>
      </c>
      <c r="AG646">
        <v>1.8</v>
      </c>
      <c r="AK646">
        <v>6</v>
      </c>
      <c r="AL646">
        <v>5.5</v>
      </c>
      <c r="AN646">
        <v>10</v>
      </c>
      <c r="AO646">
        <v>0.6</v>
      </c>
      <c r="AS646">
        <v>27.2</v>
      </c>
      <c r="AT646">
        <v>7</v>
      </c>
      <c r="AU646">
        <v>17.5</v>
      </c>
      <c r="AV646">
        <v>120</v>
      </c>
      <c r="AW646">
        <v>132</v>
      </c>
      <c r="AX646">
        <v>20</v>
      </c>
      <c r="AY646">
        <v>52</v>
      </c>
      <c r="AZ646">
        <v>94</v>
      </c>
      <c r="BA646">
        <v>105</v>
      </c>
      <c r="BB646">
        <v>430</v>
      </c>
      <c r="CH646" s="2"/>
    </row>
    <row r="647" spans="1:86" x14ac:dyDescent="0.3">
      <c r="A647" s="2">
        <v>887</v>
      </c>
      <c r="B647" s="2" t="s">
        <v>0</v>
      </c>
      <c r="C647" s="2" t="s">
        <v>1</v>
      </c>
      <c r="D647" s="2" t="s">
        <v>1086</v>
      </c>
      <c r="E647" s="2">
        <v>3000</v>
      </c>
      <c r="F647" s="2">
        <v>1.0699999999999999E-2</v>
      </c>
      <c r="G647" s="2">
        <v>6.1999999999999998E-3</v>
      </c>
      <c r="H647" s="4">
        <f t="shared" si="65"/>
        <v>0.42056074766355139</v>
      </c>
      <c r="I647" s="2" t="s">
        <v>98</v>
      </c>
      <c r="J647" s="2" t="s">
        <v>938</v>
      </c>
      <c r="K647" s="2" t="s">
        <v>105</v>
      </c>
      <c r="L647" s="2" t="s">
        <v>76</v>
      </c>
      <c r="M647" s="155"/>
      <c r="N647" s="155"/>
      <c r="O647" s="2">
        <v>40</v>
      </c>
      <c r="P647" s="6">
        <v>20</v>
      </c>
      <c r="Q647" s="131">
        <f t="shared" si="66"/>
        <v>19.2</v>
      </c>
      <c r="R647" s="33">
        <f t="shared" si="70"/>
        <v>20</v>
      </c>
      <c r="S647" s="132">
        <f t="shared" si="67"/>
        <v>2.5</v>
      </c>
      <c r="T647" s="132">
        <f t="shared" si="68"/>
        <v>2.5</v>
      </c>
      <c r="V647" s="131" t="str">
        <f t="shared" si="69"/>
        <v/>
      </c>
      <c r="W647" s="17"/>
      <c r="X647" s="7"/>
      <c r="Y647" s="161"/>
      <c r="Z647" s="7"/>
      <c r="AA647" s="117"/>
      <c r="AB647" s="117"/>
      <c r="AC647" s="117"/>
      <c r="CH647" s="2"/>
    </row>
    <row r="648" spans="1:86" x14ac:dyDescent="0.3">
      <c r="A648" s="2">
        <v>888</v>
      </c>
      <c r="B648" s="2" t="s">
        <v>0</v>
      </c>
      <c r="C648" s="2" t="s">
        <v>1</v>
      </c>
      <c r="D648" s="2" t="s">
        <v>1087</v>
      </c>
      <c r="E648" s="2">
        <v>3000</v>
      </c>
      <c r="F648" s="2">
        <v>5.4000000000000003E-3</v>
      </c>
      <c r="G648" s="2">
        <v>3.2000000000000002E-3</v>
      </c>
      <c r="H648" s="4">
        <f t="shared" si="65"/>
        <v>0.40740740740740738</v>
      </c>
      <c r="I648" s="2" t="s">
        <v>98</v>
      </c>
      <c r="J648" s="2" t="s">
        <v>985</v>
      </c>
      <c r="K648" s="2" t="s">
        <v>105</v>
      </c>
      <c r="L648" s="2" t="s">
        <v>76</v>
      </c>
      <c r="M648" s="155"/>
      <c r="N648" s="155"/>
      <c r="O648" s="2">
        <v>40</v>
      </c>
      <c r="P648" s="6">
        <v>20</v>
      </c>
      <c r="Q648" s="131">
        <f t="shared" si="66"/>
        <v>19.2</v>
      </c>
      <c r="R648" s="33">
        <f t="shared" si="70"/>
        <v>20</v>
      </c>
      <c r="S648" s="132">
        <f t="shared" si="67"/>
        <v>2.5</v>
      </c>
      <c r="T648" s="132">
        <f t="shared" si="68"/>
        <v>2.5</v>
      </c>
      <c r="V648" s="131" t="str">
        <f t="shared" si="69"/>
        <v/>
      </c>
      <c r="W648" s="17"/>
      <c r="X648" s="7"/>
      <c r="Y648" s="161"/>
      <c r="Z648" s="7"/>
      <c r="AA648" s="117"/>
      <c r="AB648" s="117"/>
      <c r="AC648" s="117"/>
      <c r="CH648" s="2"/>
    </row>
    <row r="649" spans="1:86" x14ac:dyDescent="0.3">
      <c r="A649" s="2">
        <v>889</v>
      </c>
      <c r="B649" s="2" t="s">
        <v>0</v>
      </c>
      <c r="C649" s="2" t="s">
        <v>1</v>
      </c>
      <c r="D649" s="2" t="s">
        <v>1088</v>
      </c>
      <c r="E649" s="2">
        <v>4500</v>
      </c>
      <c r="F649" s="2">
        <v>2.8999999999999998E-3</v>
      </c>
      <c r="G649" s="2">
        <v>1.9E-3</v>
      </c>
      <c r="H649" s="4">
        <f t="shared" si="65"/>
        <v>0.34482758620689652</v>
      </c>
      <c r="I649" s="2" t="s">
        <v>98</v>
      </c>
      <c r="J649" s="2" t="s">
        <v>1089</v>
      </c>
      <c r="K649" s="2" t="s">
        <v>357</v>
      </c>
      <c r="L649" s="2" t="s">
        <v>6</v>
      </c>
      <c r="M649" s="155"/>
      <c r="N649" s="155"/>
      <c r="O649" s="2">
        <v>30</v>
      </c>
      <c r="P649" s="6">
        <v>12</v>
      </c>
      <c r="Q649" s="131">
        <f t="shared" si="66"/>
        <v>16</v>
      </c>
      <c r="R649" s="33">
        <f t="shared" si="70"/>
        <v>12</v>
      </c>
      <c r="S649" s="132">
        <f t="shared" si="67"/>
        <v>1.5</v>
      </c>
      <c r="T649" s="132">
        <f t="shared" si="68"/>
        <v>1.5</v>
      </c>
      <c r="V649" s="131" t="str">
        <f t="shared" si="69"/>
        <v/>
      </c>
      <c r="W649" s="17"/>
      <c r="X649" s="7"/>
      <c r="Y649" s="161"/>
      <c r="Z649" s="7"/>
      <c r="AA649" s="117"/>
      <c r="AB649" s="117"/>
      <c r="AC649" s="117"/>
      <c r="CH649" s="2"/>
    </row>
    <row r="650" spans="1:86" x14ac:dyDescent="0.3">
      <c r="A650" s="23">
        <v>890</v>
      </c>
      <c r="B650" s="2" t="s">
        <v>0</v>
      </c>
      <c r="C650" s="2" t="s">
        <v>1</v>
      </c>
      <c r="D650" s="2" t="s">
        <v>1090</v>
      </c>
      <c r="E650" s="2">
        <v>700</v>
      </c>
      <c r="F650" s="2">
        <v>2.81E-2</v>
      </c>
      <c r="G650" s="2">
        <v>2.3599999999999999E-2</v>
      </c>
      <c r="H650" s="4">
        <f t="shared" si="65"/>
        <v>0.16014234875444841</v>
      </c>
      <c r="I650" s="2" t="s">
        <v>82</v>
      </c>
      <c r="J650" s="2" t="s">
        <v>1091</v>
      </c>
      <c r="K650" s="2" t="s">
        <v>105</v>
      </c>
      <c r="L650" s="2" t="s">
        <v>76</v>
      </c>
      <c r="M650" s="155"/>
      <c r="N650" s="155"/>
      <c r="O650" s="2">
        <v>16</v>
      </c>
      <c r="P650" s="6">
        <v>13</v>
      </c>
      <c r="Q650" s="131">
        <f t="shared" si="66"/>
        <v>50.637362637362642</v>
      </c>
      <c r="R650" s="33">
        <f t="shared" si="70"/>
        <v>13</v>
      </c>
      <c r="S650" s="132">
        <f t="shared" si="67"/>
        <v>1.625</v>
      </c>
      <c r="T650" s="132">
        <f t="shared" si="68"/>
        <v>1.625</v>
      </c>
      <c r="V650" s="131">
        <f t="shared" si="69"/>
        <v>18.862054850593534</v>
      </c>
      <c r="W650" s="17">
        <v>34.9</v>
      </c>
      <c r="X650" s="8">
        <f>60*60*8/W650</f>
        <v>825.21489971346705</v>
      </c>
      <c r="Y650" s="161">
        <v>45517</v>
      </c>
      <c r="Z650" s="7" t="s">
        <v>7</v>
      </c>
      <c r="AA650" s="117">
        <v>35.4</v>
      </c>
      <c r="AB650" s="118">
        <v>45425</v>
      </c>
      <c r="AC650" s="119">
        <f>W650/AA650-1</f>
        <v>-1.4124293785310771E-2</v>
      </c>
      <c r="AD650" s="24">
        <v>45517</v>
      </c>
      <c r="AE650">
        <v>4</v>
      </c>
      <c r="AF650">
        <v>8.6999999999999993</v>
      </c>
      <c r="AG650">
        <v>1.8</v>
      </c>
      <c r="AJ650">
        <v>0.1</v>
      </c>
      <c r="AK650">
        <v>7</v>
      </c>
      <c r="AL650">
        <v>6.5</v>
      </c>
      <c r="AN650">
        <v>11</v>
      </c>
      <c r="AO650">
        <v>0.3</v>
      </c>
      <c r="AS650">
        <v>34.9</v>
      </c>
      <c r="AT650">
        <v>6</v>
      </c>
      <c r="AU650">
        <v>19</v>
      </c>
      <c r="AV650">
        <v>110.5</v>
      </c>
      <c r="AW650">
        <v>120.5</v>
      </c>
      <c r="AX650">
        <v>16</v>
      </c>
      <c r="AY650">
        <v>32</v>
      </c>
      <c r="AZ650">
        <v>94.5</v>
      </c>
      <c r="BA650">
        <v>109.5</v>
      </c>
      <c r="BB650">
        <v>420</v>
      </c>
      <c r="CH650" s="2"/>
    </row>
    <row r="651" spans="1:86" x14ac:dyDescent="0.3">
      <c r="A651" s="23">
        <v>891</v>
      </c>
      <c r="B651" s="2" t="s">
        <v>0</v>
      </c>
      <c r="C651" s="2" t="s">
        <v>1</v>
      </c>
      <c r="D651" s="2" t="s">
        <v>1092</v>
      </c>
      <c r="E651" s="2">
        <v>1000</v>
      </c>
      <c r="F651" s="2">
        <v>6.6E-3</v>
      </c>
      <c r="G651" s="2">
        <v>4.1999999999999997E-3</v>
      </c>
      <c r="H651" s="4">
        <f t="shared" si="65"/>
        <v>0.36363636363636365</v>
      </c>
      <c r="I651" s="2" t="s">
        <v>98</v>
      </c>
      <c r="J651" s="2" t="s">
        <v>1093</v>
      </c>
      <c r="K651" s="2" t="s">
        <v>982</v>
      </c>
      <c r="L651" s="2" t="s">
        <v>983</v>
      </c>
      <c r="M651" s="155"/>
      <c r="N651" s="155"/>
      <c r="O651" s="2">
        <v>24</v>
      </c>
      <c r="P651" s="6">
        <v>40</v>
      </c>
      <c r="Q651" s="131">
        <f t="shared" si="66"/>
        <v>17.28</v>
      </c>
      <c r="R651" s="33">
        <f t="shared" si="70"/>
        <v>40</v>
      </c>
      <c r="S651" s="132">
        <f t="shared" si="67"/>
        <v>5</v>
      </c>
      <c r="T651" s="132">
        <f t="shared" si="68"/>
        <v>5</v>
      </c>
      <c r="U651" t="s">
        <v>969</v>
      </c>
      <c r="V651" s="131">
        <f t="shared" si="69"/>
        <v>28.327868852459019</v>
      </c>
      <c r="W651" s="17">
        <v>24.4</v>
      </c>
      <c r="X651" s="8">
        <f>60*60*8/W651</f>
        <v>1180.327868852459</v>
      </c>
      <c r="Y651" s="161">
        <v>45689</v>
      </c>
      <c r="Z651" s="7" t="s">
        <v>7</v>
      </c>
      <c r="AA651" s="117"/>
      <c r="AB651" s="117"/>
      <c r="AC651" s="117"/>
      <c r="CH651" s="2"/>
    </row>
    <row r="652" spans="1:86" x14ac:dyDescent="0.3">
      <c r="A652" s="2">
        <v>894</v>
      </c>
      <c r="B652" s="2" t="s">
        <v>0</v>
      </c>
      <c r="C652" s="2" t="s">
        <v>1</v>
      </c>
      <c r="D652" s="2" t="s">
        <v>1094</v>
      </c>
      <c r="E652" s="2">
        <v>6400</v>
      </c>
      <c r="F652" s="2">
        <v>3.3999999999999998E-3</v>
      </c>
      <c r="G652" s="2">
        <v>2.3999999999999998E-3</v>
      </c>
      <c r="H652" s="4">
        <f t="shared" si="65"/>
        <v>0.29411764705882354</v>
      </c>
      <c r="I652" s="2" t="s">
        <v>98</v>
      </c>
      <c r="J652" s="2" t="s">
        <v>393</v>
      </c>
      <c r="K652" s="2" t="s">
        <v>105</v>
      </c>
      <c r="L652" s="2" t="s">
        <v>76</v>
      </c>
      <c r="M652" s="155"/>
      <c r="N652" s="155"/>
      <c r="O652" s="2">
        <v>40</v>
      </c>
      <c r="P652" s="6">
        <v>20</v>
      </c>
      <c r="Q652" s="131">
        <f t="shared" si="66"/>
        <v>9</v>
      </c>
      <c r="R652" s="33">
        <f t="shared" si="70"/>
        <v>20</v>
      </c>
      <c r="S652" s="132">
        <f t="shared" si="67"/>
        <v>2.5</v>
      </c>
      <c r="T652" s="132">
        <f t="shared" si="68"/>
        <v>2.5</v>
      </c>
      <c r="V652" s="131" t="str">
        <f t="shared" si="69"/>
        <v/>
      </c>
      <c r="W652" s="17"/>
      <c r="X652" s="7"/>
      <c r="Y652" s="161"/>
      <c r="Z652" s="7"/>
      <c r="AA652" s="117"/>
      <c r="AB652" s="117"/>
      <c r="AC652" s="117"/>
      <c r="CH652" s="2"/>
    </row>
    <row r="653" spans="1:86" x14ac:dyDescent="0.3">
      <c r="A653" s="2">
        <v>899</v>
      </c>
      <c r="B653" s="2" t="s">
        <v>0</v>
      </c>
      <c r="C653" s="2" t="s">
        <v>1</v>
      </c>
      <c r="D653" s="2" t="s">
        <v>1095</v>
      </c>
      <c r="E653" s="2">
        <v>100</v>
      </c>
      <c r="F653" s="2">
        <v>0.14649999999999999</v>
      </c>
      <c r="G653" s="2">
        <v>9.5200000000000007E-2</v>
      </c>
      <c r="H653" s="4">
        <f t="shared" si="65"/>
        <v>0.35017064846416374</v>
      </c>
      <c r="I653" s="2" t="s">
        <v>98</v>
      </c>
      <c r="J653" s="2" t="s">
        <v>1096</v>
      </c>
      <c r="K653" s="2" t="s">
        <v>222</v>
      </c>
      <c r="L653" s="2" t="s">
        <v>76</v>
      </c>
      <c r="M653" s="155"/>
      <c r="N653" s="155"/>
      <c r="O653" s="2">
        <v>4</v>
      </c>
      <c r="P653" s="6">
        <v>20</v>
      </c>
      <c r="Q653" s="131">
        <f t="shared" si="66"/>
        <v>57.6</v>
      </c>
      <c r="R653" s="33">
        <f t="shared" si="70"/>
        <v>20</v>
      </c>
      <c r="S653" s="132">
        <f t="shared" si="67"/>
        <v>2.5</v>
      </c>
      <c r="T653" s="132">
        <f t="shared" si="68"/>
        <v>2.5</v>
      </c>
      <c r="V653" s="131" t="str">
        <f t="shared" si="69"/>
        <v/>
      </c>
      <c r="W653" s="17"/>
      <c r="X653" s="7"/>
      <c r="Y653" s="161"/>
      <c r="Z653" s="7"/>
      <c r="AA653" s="117"/>
      <c r="AB653" s="117"/>
      <c r="AC653" s="117"/>
      <c r="CH653" s="2"/>
    </row>
    <row r="654" spans="1:86" x14ac:dyDescent="0.3">
      <c r="A654" s="23">
        <v>904</v>
      </c>
      <c r="B654" s="2" t="s">
        <v>0</v>
      </c>
      <c r="C654" s="2" t="s">
        <v>1</v>
      </c>
      <c r="D654" s="2" t="s">
        <v>1097</v>
      </c>
      <c r="E654" s="2">
        <v>2700</v>
      </c>
      <c r="F654" s="2">
        <v>9.4000000000000004E-3</v>
      </c>
      <c r="G654" s="2">
        <v>8.2000000000000007E-3</v>
      </c>
      <c r="H654" s="4">
        <f t="shared" si="65"/>
        <v>0.12765957446808507</v>
      </c>
      <c r="I654" s="2" t="s">
        <v>82</v>
      </c>
      <c r="J654" s="2" t="s">
        <v>645</v>
      </c>
      <c r="K654" s="2" t="s">
        <v>105</v>
      </c>
      <c r="L654" s="2" t="s">
        <v>76</v>
      </c>
      <c r="M654" s="155">
        <v>20</v>
      </c>
      <c r="N654" s="155">
        <v>135</v>
      </c>
      <c r="O654" s="2">
        <v>18</v>
      </c>
      <c r="P654" s="6">
        <v>8</v>
      </c>
      <c r="Q654" s="131">
        <f t="shared" si="66"/>
        <v>24</v>
      </c>
      <c r="R654" s="33">
        <f t="shared" si="70"/>
        <v>8</v>
      </c>
      <c r="S654" s="132">
        <f t="shared" si="67"/>
        <v>1</v>
      </c>
      <c r="T654" s="132">
        <f t="shared" si="68"/>
        <v>1</v>
      </c>
      <c r="V654" s="131">
        <f t="shared" si="69"/>
        <v>4.3735763097949887</v>
      </c>
      <c r="W654" s="17">
        <v>43.9</v>
      </c>
      <c r="X654" s="8">
        <f>60*60*8/W654</f>
        <v>656.03644646924829</v>
      </c>
      <c r="Y654" s="161">
        <v>45575</v>
      </c>
      <c r="Z654" s="7" t="s">
        <v>7</v>
      </c>
      <c r="AA654" s="117"/>
      <c r="AB654" s="117"/>
      <c r="AC654" s="117"/>
      <c r="AD654" s="24">
        <v>45575</v>
      </c>
      <c r="AE654">
        <v>6</v>
      </c>
      <c r="AF654">
        <v>8.1999999999999993</v>
      </c>
      <c r="AH654">
        <v>3</v>
      </c>
      <c r="AI654">
        <v>0.4</v>
      </c>
      <c r="AJ654">
        <v>0.2</v>
      </c>
      <c r="AK654">
        <v>8</v>
      </c>
      <c r="AL654">
        <v>7.5</v>
      </c>
      <c r="AN654">
        <v>14</v>
      </c>
      <c r="AO654">
        <v>1</v>
      </c>
      <c r="AS654">
        <v>43.9</v>
      </c>
      <c r="AT654">
        <v>10</v>
      </c>
      <c r="AU654">
        <v>15.5</v>
      </c>
      <c r="AV654">
        <v>111</v>
      </c>
      <c r="AW654">
        <v>123</v>
      </c>
      <c r="AX654">
        <v>18</v>
      </c>
      <c r="AY654">
        <v>41</v>
      </c>
      <c r="AZ654">
        <v>81</v>
      </c>
      <c r="BA654">
        <v>112</v>
      </c>
      <c r="BB654">
        <v>430</v>
      </c>
      <c r="CH654" s="2"/>
    </row>
    <row r="655" spans="1:86" x14ac:dyDescent="0.3">
      <c r="A655" s="2">
        <v>905</v>
      </c>
      <c r="B655" s="2" t="s">
        <v>0</v>
      </c>
      <c r="C655" s="2" t="s">
        <v>1</v>
      </c>
      <c r="D655" s="2" t="s">
        <v>1098</v>
      </c>
      <c r="E655" s="2">
        <v>700</v>
      </c>
      <c r="F655" s="2">
        <v>2.1299999999999999E-2</v>
      </c>
      <c r="G655" s="2">
        <v>1.5699999999999999E-2</v>
      </c>
      <c r="H655" s="4">
        <f t="shared" si="65"/>
        <v>0.26291079812206575</v>
      </c>
      <c r="I655" s="2" t="s">
        <v>73</v>
      </c>
      <c r="J655" s="2" t="s">
        <v>1099</v>
      </c>
      <c r="K655" s="2" t="s">
        <v>105</v>
      </c>
      <c r="L655" s="2" t="s">
        <v>76</v>
      </c>
      <c r="M655" s="155"/>
      <c r="N655" s="155"/>
      <c r="O655" s="2">
        <v>24</v>
      </c>
      <c r="P655" s="6">
        <v>14</v>
      </c>
      <c r="Q655" s="131">
        <f t="shared" si="66"/>
        <v>70.530612244897966</v>
      </c>
      <c r="R655" s="33">
        <f t="shared" si="70"/>
        <v>13.999999999999998</v>
      </c>
      <c r="S655" s="132">
        <f t="shared" si="67"/>
        <v>1.7499999999999998</v>
      </c>
      <c r="T655" s="132">
        <f t="shared" si="68"/>
        <v>1.7499999999999998</v>
      </c>
      <c r="V655" s="131" t="str">
        <f t="shared" si="69"/>
        <v/>
      </c>
      <c r="W655" s="17"/>
      <c r="X655" s="7"/>
      <c r="Y655" s="161"/>
      <c r="Z655" s="7"/>
      <c r="AA655" s="117"/>
      <c r="AB655" s="117"/>
      <c r="AC655" s="117"/>
      <c r="CH655" s="2"/>
    </row>
    <row r="656" spans="1:86" x14ac:dyDescent="0.3">
      <c r="A656" s="2">
        <v>908</v>
      </c>
      <c r="B656" s="2" t="s">
        <v>0</v>
      </c>
      <c r="C656" s="2" t="s">
        <v>1</v>
      </c>
      <c r="D656" s="2" t="s">
        <v>1100</v>
      </c>
      <c r="E656" s="2">
        <v>120</v>
      </c>
      <c r="F656" s="2">
        <v>0.18479999999999999</v>
      </c>
      <c r="G656" s="2">
        <v>0.155</v>
      </c>
      <c r="H656" s="4">
        <f t="shared" si="65"/>
        <v>0.16125541125541124</v>
      </c>
      <c r="I656" s="2" t="s">
        <v>98</v>
      </c>
      <c r="J656" s="2" t="s">
        <v>1101</v>
      </c>
      <c r="K656" s="2" t="s">
        <v>230</v>
      </c>
      <c r="L656" s="2" t="s">
        <v>76</v>
      </c>
      <c r="M656" s="155"/>
      <c r="N656" s="155"/>
      <c r="O656" s="2">
        <v>2</v>
      </c>
      <c r="P656" s="6">
        <v>20</v>
      </c>
      <c r="Q656" s="131">
        <f t="shared" si="66"/>
        <v>24</v>
      </c>
      <c r="R656" s="33">
        <f t="shared" si="70"/>
        <v>20</v>
      </c>
      <c r="S656" s="132">
        <f t="shared" si="67"/>
        <v>2.5</v>
      </c>
      <c r="T656" s="132">
        <f t="shared" si="68"/>
        <v>2.5</v>
      </c>
      <c r="V656" s="131" t="str">
        <f t="shared" si="69"/>
        <v/>
      </c>
      <c r="W656" s="17"/>
      <c r="X656" s="7"/>
      <c r="Y656" s="161"/>
      <c r="Z656" s="7"/>
      <c r="AA656" s="117"/>
      <c r="AB656" s="117"/>
      <c r="AC656" s="117"/>
      <c r="CH656" s="2"/>
    </row>
    <row r="657" spans="1:86" x14ac:dyDescent="0.3">
      <c r="A657" s="2">
        <v>914</v>
      </c>
      <c r="B657" s="2" t="s">
        <v>84</v>
      </c>
      <c r="C657" s="2" t="s">
        <v>1</v>
      </c>
      <c r="D657" s="2" t="s">
        <v>1102</v>
      </c>
      <c r="E657" s="2">
        <v>650</v>
      </c>
      <c r="F657" s="2">
        <v>2.1499999999999998E-2</v>
      </c>
      <c r="G657" s="2">
        <v>1.3899999999999999E-2</v>
      </c>
      <c r="H657" s="4">
        <f t="shared" si="65"/>
        <v>0.35348837209302325</v>
      </c>
      <c r="I657" s="2" t="s">
        <v>82</v>
      </c>
      <c r="J657" s="2" t="s">
        <v>579</v>
      </c>
      <c r="K657" s="2" t="s">
        <v>105</v>
      </c>
      <c r="L657" s="2" t="s">
        <v>76</v>
      </c>
      <c r="M657" s="155"/>
      <c r="N657" s="155"/>
      <c r="O657" s="2">
        <v>18</v>
      </c>
      <c r="P657" s="6">
        <v>12</v>
      </c>
      <c r="Q657" s="131">
        <f t="shared" si="66"/>
        <v>66.461538461538467</v>
      </c>
      <c r="R657" s="33">
        <f t="shared" si="70"/>
        <v>12</v>
      </c>
      <c r="S657" s="132">
        <f t="shared" si="67"/>
        <v>1.5</v>
      </c>
      <c r="T657" s="132">
        <f t="shared" si="68"/>
        <v>1.5</v>
      </c>
      <c r="V657" s="131" t="str">
        <f t="shared" si="69"/>
        <v/>
      </c>
      <c r="W657" s="17"/>
      <c r="X657" s="7"/>
      <c r="Y657" s="161"/>
      <c r="Z657" s="7"/>
      <c r="AA657" s="117"/>
      <c r="AB657" s="117"/>
      <c r="AC657" s="117"/>
      <c r="CH657" s="2"/>
    </row>
    <row r="658" spans="1:86" x14ac:dyDescent="0.3">
      <c r="A658" s="2">
        <v>931</v>
      </c>
      <c r="B658" s="2" t="s">
        <v>0</v>
      </c>
      <c r="C658" s="2" t="s">
        <v>1</v>
      </c>
      <c r="D658" s="2" t="s">
        <v>1103</v>
      </c>
      <c r="E658" s="2">
        <v>1400</v>
      </c>
      <c r="F658" s="2">
        <v>6.7999999999999996E-3</v>
      </c>
      <c r="G658" s="2">
        <v>5.4999999999999997E-3</v>
      </c>
      <c r="H658" s="4">
        <f t="shared" si="65"/>
        <v>0.19117647058823531</v>
      </c>
      <c r="I658" s="2" t="s">
        <v>82</v>
      </c>
      <c r="J658" s="2" t="s">
        <v>600</v>
      </c>
      <c r="K658" s="2" t="s">
        <v>5</v>
      </c>
      <c r="L658" s="2" t="s">
        <v>6</v>
      </c>
      <c r="M658" s="155"/>
      <c r="N658" s="155"/>
      <c r="O658" s="2">
        <v>35</v>
      </c>
      <c r="P658" s="6">
        <v>15</v>
      </c>
      <c r="Q658" s="131">
        <f t="shared" si="66"/>
        <v>48</v>
      </c>
      <c r="R658" s="33">
        <f t="shared" si="70"/>
        <v>15</v>
      </c>
      <c r="S658" s="132">
        <f t="shared" si="67"/>
        <v>1.875</v>
      </c>
      <c r="T658" s="132">
        <f t="shared" si="68"/>
        <v>1.875</v>
      </c>
      <c r="V658" s="131" t="str">
        <f t="shared" si="69"/>
        <v/>
      </c>
      <c r="W658" s="17"/>
      <c r="X658" s="7"/>
      <c r="Y658" s="161"/>
      <c r="Z658" s="7"/>
      <c r="AA658" s="117"/>
      <c r="AB658" s="117"/>
      <c r="AC658" s="117"/>
      <c r="CH658" s="2"/>
    </row>
    <row r="659" spans="1:86" x14ac:dyDescent="0.3">
      <c r="A659" s="2">
        <v>937</v>
      </c>
      <c r="B659" s="2" t="s">
        <v>0</v>
      </c>
      <c r="C659" s="2" t="s">
        <v>1</v>
      </c>
      <c r="D659" s="2" t="s">
        <v>1104</v>
      </c>
      <c r="E659" s="2">
        <v>450</v>
      </c>
      <c r="F659" s="2">
        <v>4.02E-2</v>
      </c>
      <c r="G659" s="2">
        <v>3.4099999999999998E-2</v>
      </c>
      <c r="H659" s="4">
        <f t="shared" si="65"/>
        <v>0.15174129353233834</v>
      </c>
      <c r="I659" s="2" t="s">
        <v>82</v>
      </c>
      <c r="J659" s="2" t="s">
        <v>610</v>
      </c>
      <c r="K659" s="2" t="s">
        <v>105</v>
      </c>
      <c r="L659" s="2" t="s">
        <v>76</v>
      </c>
      <c r="M659" s="155"/>
      <c r="N659" s="155"/>
      <c r="O659" s="2">
        <v>9</v>
      </c>
      <c r="P659" s="6">
        <v>20</v>
      </c>
      <c r="Q659" s="131">
        <f t="shared" si="66"/>
        <v>28.8</v>
      </c>
      <c r="R659" s="33">
        <f t="shared" si="70"/>
        <v>20</v>
      </c>
      <c r="S659" s="132">
        <f t="shared" si="67"/>
        <v>2.5</v>
      </c>
      <c r="T659" s="132">
        <f t="shared" si="68"/>
        <v>2.5</v>
      </c>
      <c r="V659" s="131" t="str">
        <f t="shared" si="69"/>
        <v/>
      </c>
      <c r="W659" s="17"/>
      <c r="X659" s="7"/>
      <c r="Y659" s="161"/>
      <c r="Z659" s="7"/>
      <c r="AA659" s="117"/>
      <c r="AB659" s="117"/>
      <c r="AC659" s="117"/>
      <c r="CH659" s="2"/>
    </row>
    <row r="660" spans="1:86" x14ac:dyDescent="0.3">
      <c r="A660" s="2">
        <v>938</v>
      </c>
      <c r="B660" s="2" t="s">
        <v>84</v>
      </c>
      <c r="C660" s="2" t="s">
        <v>1</v>
      </c>
      <c r="D660" s="2" t="s">
        <v>1105</v>
      </c>
      <c r="E660" s="2">
        <v>1000</v>
      </c>
      <c r="F660" s="2">
        <v>1.66E-2</v>
      </c>
      <c r="G660" s="2"/>
      <c r="H660" s="4">
        <f t="shared" si="65"/>
        <v>1</v>
      </c>
      <c r="I660" s="2" t="s">
        <v>98</v>
      </c>
      <c r="J660" s="2" t="s">
        <v>382</v>
      </c>
      <c r="K660" s="2" t="s">
        <v>105</v>
      </c>
      <c r="L660" s="2" t="s">
        <v>76</v>
      </c>
      <c r="M660" s="155"/>
      <c r="N660" s="155"/>
      <c r="O660" s="2">
        <v>18</v>
      </c>
      <c r="P660" s="6"/>
      <c r="Q660" s="131" t="str">
        <f t="shared" si="66"/>
        <v/>
      </c>
      <c r="R660" s="33" t="str">
        <f t="shared" si="70"/>
        <v/>
      </c>
      <c r="S660" s="132" t="str">
        <f t="shared" si="67"/>
        <v/>
      </c>
      <c r="T660" s="132" t="str">
        <f t="shared" si="68"/>
        <v/>
      </c>
      <c r="V660" s="131" t="str">
        <f t="shared" si="69"/>
        <v/>
      </c>
      <c r="W660" s="17"/>
      <c r="X660" s="7"/>
      <c r="Y660" s="161"/>
      <c r="Z660" s="7"/>
      <c r="AA660" s="117"/>
      <c r="AB660" s="117"/>
      <c r="AC660" s="117"/>
      <c r="CH660" s="2"/>
    </row>
    <row r="661" spans="1:86" x14ac:dyDescent="0.3">
      <c r="A661" s="23">
        <v>940</v>
      </c>
      <c r="B661" s="2" t="s">
        <v>0</v>
      </c>
      <c r="C661" s="2" t="s">
        <v>1</v>
      </c>
      <c r="D661" s="2" t="s">
        <v>1106</v>
      </c>
      <c r="E661" s="2">
        <v>2400</v>
      </c>
      <c r="F661" s="2">
        <v>8.8999999999999999E-3</v>
      </c>
      <c r="G661" s="2">
        <v>6.6E-3</v>
      </c>
      <c r="H661" s="4">
        <f t="shared" si="65"/>
        <v>0.25842696629213485</v>
      </c>
      <c r="I661" s="2" t="s">
        <v>82</v>
      </c>
      <c r="J661" s="2" t="s">
        <v>764</v>
      </c>
      <c r="K661" s="2" t="s">
        <v>105</v>
      </c>
      <c r="L661" s="2" t="s">
        <v>76</v>
      </c>
      <c r="M661" s="155"/>
      <c r="N661" s="155"/>
      <c r="O661" s="2">
        <v>30</v>
      </c>
      <c r="P661" s="6">
        <v>15</v>
      </c>
      <c r="Q661" s="131">
        <f t="shared" si="66"/>
        <v>24</v>
      </c>
      <c r="R661" s="33">
        <f t="shared" si="70"/>
        <v>15</v>
      </c>
      <c r="S661" s="132">
        <f t="shared" si="67"/>
        <v>1.875</v>
      </c>
      <c r="T661" s="132">
        <f t="shared" si="68"/>
        <v>1.875</v>
      </c>
      <c r="V661" s="131">
        <f t="shared" si="69"/>
        <v>9.0909090909090899</v>
      </c>
      <c r="W661" s="17">
        <v>39.6</v>
      </c>
      <c r="X661" s="8">
        <f>60*60*8/W661</f>
        <v>727.27272727272725</v>
      </c>
      <c r="Y661" s="161">
        <v>45551</v>
      </c>
      <c r="Z661" s="7" t="s">
        <v>7</v>
      </c>
      <c r="AA661" s="117"/>
      <c r="AB661" s="117"/>
      <c r="AC661" s="117"/>
      <c r="AD661" s="24">
        <v>45551</v>
      </c>
      <c r="AE661">
        <v>8</v>
      </c>
      <c r="AF661">
        <v>6.4</v>
      </c>
      <c r="AG661">
        <v>1.8</v>
      </c>
      <c r="AI661">
        <v>0.2</v>
      </c>
      <c r="AJ661">
        <v>0.1</v>
      </c>
      <c r="AK661">
        <v>8</v>
      </c>
      <c r="AL661">
        <v>7.5</v>
      </c>
      <c r="AN661">
        <v>6.3</v>
      </c>
      <c r="AO661">
        <v>1.2</v>
      </c>
      <c r="AS661">
        <v>39.6</v>
      </c>
      <c r="AT661">
        <v>6.5</v>
      </c>
      <c r="AU661">
        <v>16</v>
      </c>
      <c r="AV661">
        <v>13</v>
      </c>
      <c r="AW661">
        <v>139</v>
      </c>
      <c r="AX661">
        <v>12</v>
      </c>
      <c r="AY661">
        <v>23.5</v>
      </c>
      <c r="AZ661">
        <v>101</v>
      </c>
      <c r="BA661">
        <v>112</v>
      </c>
      <c r="BB661">
        <v>420</v>
      </c>
      <c r="CH661" s="2"/>
    </row>
    <row r="662" spans="1:86" x14ac:dyDescent="0.3">
      <c r="A662" s="2">
        <v>941</v>
      </c>
      <c r="B662" s="2" t="s">
        <v>0</v>
      </c>
      <c r="C662" s="2" t="s">
        <v>1</v>
      </c>
      <c r="D662" s="2" t="s">
        <v>1107</v>
      </c>
      <c r="E662" s="2">
        <v>960</v>
      </c>
      <c r="F662" s="2">
        <v>1.8200000000000001E-2</v>
      </c>
      <c r="G662" s="2">
        <v>1.4999999999999999E-2</v>
      </c>
      <c r="H662" s="4">
        <f t="shared" si="65"/>
        <v>0.17582417582417589</v>
      </c>
      <c r="I662" s="2" t="s">
        <v>82</v>
      </c>
      <c r="J662" s="2" t="s">
        <v>855</v>
      </c>
      <c r="K662" s="2" t="s">
        <v>261</v>
      </c>
      <c r="L662" s="2" t="s">
        <v>76</v>
      </c>
      <c r="M662" s="155"/>
      <c r="N662" s="155"/>
      <c r="O662" s="2">
        <v>8</v>
      </c>
      <c r="P662" s="6">
        <v>15</v>
      </c>
      <c r="Q662" s="131">
        <f t="shared" si="66"/>
        <v>16</v>
      </c>
      <c r="R662" s="33">
        <f t="shared" si="70"/>
        <v>15</v>
      </c>
      <c r="S662" s="132">
        <f t="shared" si="67"/>
        <v>1.875</v>
      </c>
      <c r="T662" s="132">
        <f t="shared" si="68"/>
        <v>1.875</v>
      </c>
      <c r="V662" s="131" t="str">
        <f t="shared" si="69"/>
        <v/>
      </c>
      <c r="W662" s="17"/>
      <c r="X662" s="7"/>
      <c r="Y662" s="161"/>
      <c r="Z662" s="7"/>
      <c r="AA662" s="117"/>
      <c r="AB662" s="117"/>
      <c r="AC662" s="117"/>
      <c r="CH662" s="2"/>
    </row>
    <row r="663" spans="1:86" x14ac:dyDescent="0.3">
      <c r="A663" s="2">
        <v>942</v>
      </c>
      <c r="B663" s="2" t="s">
        <v>0</v>
      </c>
      <c r="C663" s="2" t="s">
        <v>1</v>
      </c>
      <c r="D663" s="2" t="s">
        <v>1108</v>
      </c>
      <c r="E663" s="2">
        <v>2400</v>
      </c>
      <c r="F663" s="2">
        <v>8.0999999999999996E-3</v>
      </c>
      <c r="G663" s="2">
        <v>6.4000000000000003E-3</v>
      </c>
      <c r="H663" s="4">
        <f t="shared" si="65"/>
        <v>0.20987654320987648</v>
      </c>
      <c r="I663" s="2" t="s">
        <v>98</v>
      </c>
      <c r="J663" s="2" t="s">
        <v>838</v>
      </c>
      <c r="K663" s="2" t="s">
        <v>105</v>
      </c>
      <c r="L663" s="2" t="s">
        <v>76</v>
      </c>
      <c r="M663" s="155"/>
      <c r="N663" s="155"/>
      <c r="O663" s="2">
        <v>30</v>
      </c>
      <c r="P663" s="6">
        <v>15</v>
      </c>
      <c r="Q663" s="131">
        <f t="shared" si="66"/>
        <v>24</v>
      </c>
      <c r="R663" s="33">
        <f t="shared" si="70"/>
        <v>15</v>
      </c>
      <c r="S663" s="132">
        <f t="shared" si="67"/>
        <v>1.875</v>
      </c>
      <c r="T663" s="132">
        <f t="shared" si="68"/>
        <v>1.875</v>
      </c>
      <c r="V663" s="131" t="str">
        <f t="shared" si="69"/>
        <v/>
      </c>
      <c r="W663" s="17"/>
      <c r="X663" s="7"/>
      <c r="Y663" s="161"/>
      <c r="Z663" s="7"/>
      <c r="AA663" s="117"/>
      <c r="AB663" s="117"/>
      <c r="AC663" s="117"/>
      <c r="CH663" s="2"/>
    </row>
    <row r="664" spans="1:86" x14ac:dyDescent="0.3">
      <c r="A664" s="2">
        <v>947</v>
      </c>
      <c r="B664" s="2" t="s">
        <v>84</v>
      </c>
      <c r="C664" s="2" t="s">
        <v>1</v>
      </c>
      <c r="D664" s="2" t="s">
        <v>1109</v>
      </c>
      <c r="E664" s="2">
        <v>1440</v>
      </c>
      <c r="F664" s="2">
        <v>8.8000000000000005E-3</v>
      </c>
      <c r="G664" s="2">
        <v>6.1999999999999998E-3</v>
      </c>
      <c r="H664" s="4">
        <f t="shared" si="65"/>
        <v>0.29545454545454553</v>
      </c>
      <c r="I664" s="2" t="s">
        <v>98</v>
      </c>
      <c r="J664" s="2" t="s">
        <v>412</v>
      </c>
      <c r="K664" s="2" t="s">
        <v>105</v>
      </c>
      <c r="L664" s="2" t="s">
        <v>76</v>
      </c>
      <c r="M664" s="155"/>
      <c r="N664" s="155"/>
      <c r="O664" s="2">
        <v>36</v>
      </c>
      <c r="P664" s="6">
        <v>15</v>
      </c>
      <c r="Q664" s="131">
        <f t="shared" si="66"/>
        <v>48</v>
      </c>
      <c r="R664" s="33">
        <f t="shared" si="70"/>
        <v>15</v>
      </c>
      <c r="S664" s="132">
        <f t="shared" si="67"/>
        <v>1.875</v>
      </c>
      <c r="T664" s="132">
        <f t="shared" si="68"/>
        <v>1.875</v>
      </c>
      <c r="V664" s="131" t="str">
        <f t="shared" si="69"/>
        <v/>
      </c>
      <c r="W664" s="17"/>
      <c r="X664" s="7"/>
      <c r="Y664" s="161"/>
      <c r="Z664" s="7"/>
      <c r="AA664" s="117"/>
      <c r="AB664" s="117"/>
      <c r="AC664" s="117"/>
      <c r="CH664" s="2"/>
    </row>
    <row r="665" spans="1:86" x14ac:dyDescent="0.3">
      <c r="A665" s="2">
        <v>948</v>
      </c>
      <c r="B665" s="2" t="s">
        <v>84</v>
      </c>
      <c r="C665" s="2" t="s">
        <v>1</v>
      </c>
      <c r="D665" s="2" t="s">
        <v>1110</v>
      </c>
      <c r="E665" s="2">
        <v>1200</v>
      </c>
      <c r="F665" s="2">
        <v>1.6199999999999999E-2</v>
      </c>
      <c r="G665" s="2"/>
      <c r="H665" s="4">
        <f t="shared" si="65"/>
        <v>1</v>
      </c>
      <c r="I665" s="2" t="s">
        <v>98</v>
      </c>
      <c r="J665" s="2" t="s">
        <v>412</v>
      </c>
      <c r="K665" s="2" t="s">
        <v>105</v>
      </c>
      <c r="L665" s="2" t="s">
        <v>76</v>
      </c>
      <c r="M665" s="155"/>
      <c r="N665" s="155"/>
      <c r="O665" s="2">
        <v>20</v>
      </c>
      <c r="P665" s="6"/>
      <c r="Q665" s="131" t="str">
        <f t="shared" si="66"/>
        <v/>
      </c>
      <c r="R665" s="33" t="str">
        <f t="shared" si="70"/>
        <v/>
      </c>
      <c r="S665" s="132" t="str">
        <f t="shared" si="67"/>
        <v/>
      </c>
      <c r="T665" s="132" t="str">
        <f t="shared" si="68"/>
        <v/>
      </c>
      <c r="V665" s="131" t="str">
        <f t="shared" si="69"/>
        <v/>
      </c>
      <c r="W665" s="17"/>
      <c r="X665" s="7"/>
      <c r="Y665" s="161"/>
      <c r="Z665" s="7"/>
      <c r="AA665" s="117"/>
      <c r="AB665" s="117"/>
      <c r="AC665" s="117"/>
      <c r="CH665" s="2"/>
    </row>
    <row r="666" spans="1:86" x14ac:dyDescent="0.3">
      <c r="A666" s="2">
        <v>949</v>
      </c>
      <c r="B666" s="2" t="s">
        <v>84</v>
      </c>
      <c r="C666" s="2" t="s">
        <v>1</v>
      </c>
      <c r="D666" s="2" t="s">
        <v>1111</v>
      </c>
      <c r="E666" s="2">
        <v>600</v>
      </c>
      <c r="F666" s="2">
        <v>1.6400000000000001E-2</v>
      </c>
      <c r="G666" s="2"/>
      <c r="H666" s="4">
        <f t="shared" si="65"/>
        <v>1</v>
      </c>
      <c r="I666" s="2" t="s">
        <v>98</v>
      </c>
      <c r="J666" s="2" t="s">
        <v>412</v>
      </c>
      <c r="K666" s="2" t="s">
        <v>105</v>
      </c>
      <c r="L666" s="2" t="s">
        <v>76</v>
      </c>
      <c r="M666" s="155"/>
      <c r="N666" s="155"/>
      <c r="O666" s="2">
        <v>20</v>
      </c>
      <c r="P666" s="6">
        <v>29</v>
      </c>
      <c r="Q666" s="131">
        <f t="shared" si="66"/>
        <v>33.103448275862071</v>
      </c>
      <c r="R666" s="33">
        <f t="shared" si="70"/>
        <v>28.999999999999996</v>
      </c>
      <c r="S666" s="132">
        <f t="shared" si="67"/>
        <v>3.6249999999999996</v>
      </c>
      <c r="T666" s="132">
        <f t="shared" si="68"/>
        <v>3.6249999999999996</v>
      </c>
      <c r="V666" s="131" t="str">
        <f t="shared" si="69"/>
        <v/>
      </c>
      <c r="W666" s="17"/>
      <c r="X666" s="7"/>
      <c r="Y666" s="161"/>
      <c r="Z666" s="7"/>
      <c r="AA666" s="117"/>
      <c r="AB666" s="117"/>
      <c r="AC666" s="117"/>
      <c r="CH666" s="2"/>
    </row>
    <row r="667" spans="1:86" x14ac:dyDescent="0.3">
      <c r="A667" s="2">
        <v>955</v>
      </c>
      <c r="B667" s="2" t="s">
        <v>0</v>
      </c>
      <c r="C667" s="2" t="s">
        <v>1</v>
      </c>
      <c r="D667" s="2" t="s">
        <v>1112</v>
      </c>
      <c r="E667" s="2">
        <v>2100</v>
      </c>
      <c r="F667" s="2">
        <v>5.8999999999999999E-3</v>
      </c>
      <c r="G667" s="2">
        <v>4.7000000000000002E-3</v>
      </c>
      <c r="H667" s="4">
        <f t="shared" si="65"/>
        <v>0.20338983050847453</v>
      </c>
      <c r="I667" s="2" t="s">
        <v>98</v>
      </c>
      <c r="J667" s="2" t="s">
        <v>1113</v>
      </c>
      <c r="K667" s="2" t="s">
        <v>105</v>
      </c>
      <c r="L667" s="2" t="s">
        <v>76</v>
      </c>
      <c r="M667" s="155"/>
      <c r="N667" s="155"/>
      <c r="O667" s="2">
        <v>30</v>
      </c>
      <c r="P667" s="6">
        <v>28</v>
      </c>
      <c r="Q667" s="131">
        <f t="shared" si="66"/>
        <v>14.693877551020408</v>
      </c>
      <c r="R667" s="33">
        <f t="shared" si="70"/>
        <v>28</v>
      </c>
      <c r="S667" s="132">
        <f t="shared" si="67"/>
        <v>3.5</v>
      </c>
      <c r="T667" s="132">
        <f t="shared" si="68"/>
        <v>3.5</v>
      </c>
      <c r="V667" s="131" t="str">
        <f t="shared" si="69"/>
        <v/>
      </c>
      <c r="W667" s="17"/>
      <c r="X667" s="7"/>
      <c r="Y667" s="161"/>
      <c r="Z667" s="7"/>
      <c r="AA667" s="117"/>
      <c r="AB667" s="117"/>
      <c r="AC667" s="117"/>
      <c r="CH667" s="2"/>
    </row>
    <row r="668" spans="1:86" x14ac:dyDescent="0.3">
      <c r="A668" s="23">
        <v>961</v>
      </c>
      <c r="B668" s="2" t="s">
        <v>0</v>
      </c>
      <c r="C668" s="2" t="s">
        <v>1</v>
      </c>
      <c r="D668" s="2" t="s">
        <v>1114</v>
      </c>
      <c r="E668" s="2">
        <v>760</v>
      </c>
      <c r="F668" s="2">
        <v>2.3300000000000001E-2</v>
      </c>
      <c r="G668" s="2">
        <v>1.6799999999999999E-2</v>
      </c>
      <c r="H668" s="4">
        <f t="shared" si="65"/>
        <v>0.27896995708154515</v>
      </c>
      <c r="I668" s="2" t="s">
        <v>73</v>
      </c>
      <c r="J668" s="2" t="s">
        <v>656</v>
      </c>
      <c r="K668" s="2" t="s">
        <v>105</v>
      </c>
      <c r="L668" s="2" t="s">
        <v>76</v>
      </c>
      <c r="M668" s="155"/>
      <c r="N668" s="155"/>
      <c r="O668" s="2">
        <v>24</v>
      </c>
      <c r="P668" s="6">
        <v>14</v>
      </c>
      <c r="Q668" s="131">
        <f t="shared" si="66"/>
        <v>64.962406015037601</v>
      </c>
      <c r="R668" s="33">
        <f t="shared" si="70"/>
        <v>14</v>
      </c>
      <c r="S668" s="132">
        <f t="shared" si="67"/>
        <v>1.75</v>
      </c>
      <c r="T668" s="132">
        <f t="shared" si="68"/>
        <v>1.75</v>
      </c>
      <c r="V668" s="131">
        <f t="shared" si="69"/>
        <v>25.58294470353098</v>
      </c>
      <c r="W668" s="17">
        <v>35.549999999999997</v>
      </c>
      <c r="X668" s="8">
        <f>60*60*8/W668</f>
        <v>810.12658227848112</v>
      </c>
      <c r="Y668" s="161">
        <v>45376</v>
      </c>
      <c r="Z668" s="7" t="s">
        <v>7</v>
      </c>
      <c r="AA668" s="117"/>
      <c r="AB668" s="117"/>
      <c r="AC668" s="117"/>
      <c r="AD668" t="s">
        <v>1115</v>
      </c>
      <c r="CH668" s="2"/>
    </row>
    <row r="669" spans="1:86" x14ac:dyDescent="0.3">
      <c r="A669" s="2">
        <v>963</v>
      </c>
      <c r="B669" s="2" t="s">
        <v>0</v>
      </c>
      <c r="C669" s="2" t="s">
        <v>1</v>
      </c>
      <c r="D669" s="2" t="s">
        <v>1116</v>
      </c>
      <c r="E669" s="2">
        <v>1700</v>
      </c>
      <c r="F669" s="2">
        <v>8.0999999999999996E-3</v>
      </c>
      <c r="G669" s="2">
        <v>7.0000000000000001E-3</v>
      </c>
      <c r="H669" s="4">
        <f t="shared" si="65"/>
        <v>0.13580246913580241</v>
      </c>
      <c r="I669" s="2" t="s">
        <v>82</v>
      </c>
      <c r="J669" s="2" t="s">
        <v>600</v>
      </c>
      <c r="K669" s="2" t="s">
        <v>105</v>
      </c>
      <c r="L669" s="2" t="s">
        <v>76</v>
      </c>
      <c r="M669" s="155"/>
      <c r="N669" s="155"/>
      <c r="O669" s="2">
        <v>30</v>
      </c>
      <c r="P669" s="6">
        <v>15</v>
      </c>
      <c r="Q669" s="131">
        <f t="shared" si="66"/>
        <v>33.882352941176471</v>
      </c>
      <c r="R669" s="33">
        <f t="shared" si="70"/>
        <v>15</v>
      </c>
      <c r="S669" s="132">
        <f t="shared" si="67"/>
        <v>1.875</v>
      </c>
      <c r="T669" s="132">
        <f t="shared" si="68"/>
        <v>1.875</v>
      </c>
      <c r="V669" s="131" t="str">
        <f t="shared" si="69"/>
        <v/>
      </c>
      <c r="W669" s="17"/>
      <c r="X669" s="7"/>
      <c r="Y669" s="161"/>
      <c r="Z669" s="7"/>
      <c r="AA669" s="117"/>
      <c r="AB669" s="117"/>
      <c r="AC669" s="117"/>
      <c r="CH669" s="2"/>
    </row>
    <row r="670" spans="1:86" x14ac:dyDescent="0.3">
      <c r="A670" s="2">
        <v>966</v>
      </c>
      <c r="B670" s="2" t="s">
        <v>0</v>
      </c>
      <c r="C670" s="2" t="s">
        <v>1</v>
      </c>
      <c r="D670" s="2" t="s">
        <v>1117</v>
      </c>
      <c r="E670" s="2">
        <v>700</v>
      </c>
      <c r="F670" s="2">
        <v>1.6E-2</v>
      </c>
      <c r="G670" s="2">
        <v>1.32E-2</v>
      </c>
      <c r="H670" s="4">
        <f t="shared" si="65"/>
        <v>0.17500000000000002</v>
      </c>
      <c r="I670" s="2" t="s">
        <v>98</v>
      </c>
      <c r="J670" s="2" t="s">
        <v>912</v>
      </c>
      <c r="K670" s="2" t="s">
        <v>105</v>
      </c>
      <c r="L670" s="2" t="s">
        <v>76</v>
      </c>
      <c r="M670" s="155"/>
      <c r="N670" s="155"/>
      <c r="O670" s="2">
        <v>16</v>
      </c>
      <c r="P670" s="6">
        <v>40</v>
      </c>
      <c r="Q670" s="131">
        <f t="shared" si="66"/>
        <v>16.457142857142859</v>
      </c>
      <c r="R670" s="33">
        <f t="shared" si="70"/>
        <v>40</v>
      </c>
      <c r="S670" s="132">
        <f t="shared" si="67"/>
        <v>5</v>
      </c>
      <c r="T670" s="132">
        <f t="shared" si="68"/>
        <v>5</v>
      </c>
      <c r="V670" s="131" t="str">
        <f t="shared" si="69"/>
        <v/>
      </c>
      <c r="W670" s="17"/>
      <c r="X670" s="7"/>
      <c r="Y670" s="161"/>
      <c r="Z670" s="7"/>
      <c r="AA670" s="117"/>
      <c r="AB670" s="117"/>
      <c r="AC670" s="117"/>
      <c r="CH670" s="2"/>
    </row>
    <row r="671" spans="1:86" x14ac:dyDescent="0.3">
      <c r="A671" s="2">
        <v>967</v>
      </c>
      <c r="B671" s="2" t="s">
        <v>0</v>
      </c>
      <c r="C671" s="2" t="s">
        <v>1</v>
      </c>
      <c r="D671" s="2" t="s">
        <v>1118</v>
      </c>
      <c r="E671" s="2">
        <v>1700</v>
      </c>
      <c r="F671" s="2">
        <v>7.7000000000000002E-3</v>
      </c>
      <c r="G671" s="2">
        <v>6.1999999999999998E-3</v>
      </c>
      <c r="H671" s="4">
        <f t="shared" si="65"/>
        <v>0.19480519480519487</v>
      </c>
      <c r="I671" s="2" t="s">
        <v>98</v>
      </c>
      <c r="J671" s="2" t="s">
        <v>418</v>
      </c>
      <c r="K671" s="2" t="s">
        <v>105</v>
      </c>
      <c r="L671" s="2" t="s">
        <v>76</v>
      </c>
      <c r="M671" s="155"/>
      <c r="N671" s="155"/>
      <c r="O671" s="2">
        <v>30</v>
      </c>
      <c r="P671" s="6">
        <v>20</v>
      </c>
      <c r="Q671" s="131">
        <f t="shared" si="66"/>
        <v>25.411764705882355</v>
      </c>
      <c r="R671" s="33">
        <f t="shared" si="70"/>
        <v>20</v>
      </c>
      <c r="S671" s="132">
        <f t="shared" si="67"/>
        <v>2.5</v>
      </c>
      <c r="T671" s="132">
        <f t="shared" si="68"/>
        <v>2.5</v>
      </c>
      <c r="V671" s="131" t="str">
        <f t="shared" si="69"/>
        <v/>
      </c>
      <c r="W671" s="17"/>
      <c r="X671" s="7"/>
      <c r="Y671" s="161"/>
      <c r="Z671" s="7"/>
      <c r="AA671" s="117"/>
      <c r="AB671" s="117"/>
      <c r="AC671" s="117"/>
      <c r="CH671" s="2"/>
    </row>
    <row r="672" spans="1:86" x14ac:dyDescent="0.3">
      <c r="A672" s="2">
        <v>969</v>
      </c>
      <c r="B672" s="2" t="s">
        <v>0</v>
      </c>
      <c r="C672" s="2" t="s">
        <v>1</v>
      </c>
      <c r="D672" s="2" t="s">
        <v>1119</v>
      </c>
      <c r="E672" s="2">
        <v>4000</v>
      </c>
      <c r="F672" s="2">
        <v>5.3E-3</v>
      </c>
      <c r="G672" s="2">
        <v>4.4999999999999997E-3</v>
      </c>
      <c r="H672" s="4">
        <f t="shared" si="65"/>
        <v>0.15094339622641517</v>
      </c>
      <c r="I672" s="2" t="s">
        <v>98</v>
      </c>
      <c r="J672" s="2" t="s">
        <v>418</v>
      </c>
      <c r="K672" s="2" t="s">
        <v>222</v>
      </c>
      <c r="L672" s="2" t="s">
        <v>76</v>
      </c>
      <c r="M672" s="155"/>
      <c r="N672" s="155"/>
      <c r="O672" s="2">
        <v>42</v>
      </c>
      <c r="P672" s="6">
        <v>10</v>
      </c>
      <c r="Q672" s="131">
        <f t="shared" si="66"/>
        <v>30.24</v>
      </c>
      <c r="R672" s="33">
        <f t="shared" si="70"/>
        <v>10</v>
      </c>
      <c r="S672" s="132">
        <f t="shared" si="67"/>
        <v>1.25</v>
      </c>
      <c r="T672" s="132">
        <f t="shared" si="68"/>
        <v>1.25</v>
      </c>
      <c r="V672" s="131" t="str">
        <f t="shared" si="69"/>
        <v/>
      </c>
      <c r="W672" s="17"/>
      <c r="X672" s="7"/>
      <c r="Y672" s="161"/>
      <c r="Z672" s="7"/>
      <c r="AA672" s="117"/>
      <c r="AB672" s="117"/>
      <c r="AC672" s="117"/>
      <c r="CH672" s="2"/>
    </row>
    <row r="673" spans="1:86" x14ac:dyDescent="0.3">
      <c r="A673" s="2">
        <v>971</v>
      </c>
      <c r="B673" s="2" t="s">
        <v>0</v>
      </c>
      <c r="C673" s="2" t="s">
        <v>1</v>
      </c>
      <c r="D673" s="2" t="s">
        <v>1120</v>
      </c>
      <c r="E673" s="2">
        <v>5800</v>
      </c>
      <c r="F673" s="2">
        <v>3.0999999999999999E-3</v>
      </c>
      <c r="G673" s="2">
        <v>2.7000000000000001E-3</v>
      </c>
      <c r="H673" s="4">
        <f t="shared" si="65"/>
        <v>0.12903225806451604</v>
      </c>
      <c r="I673" s="2" t="s">
        <v>98</v>
      </c>
      <c r="J673" s="2" t="s">
        <v>418</v>
      </c>
      <c r="K673" s="2" t="s">
        <v>105</v>
      </c>
      <c r="L673" s="2" t="s">
        <v>76</v>
      </c>
      <c r="M673" s="155"/>
      <c r="N673" s="155"/>
      <c r="O673" s="2">
        <v>72</v>
      </c>
      <c r="P673" s="6">
        <v>7</v>
      </c>
      <c r="Q673" s="131">
        <f t="shared" si="66"/>
        <v>51.073891625615765</v>
      </c>
      <c r="R673" s="33">
        <f t="shared" si="70"/>
        <v>7</v>
      </c>
      <c r="S673" s="132">
        <f t="shared" si="67"/>
        <v>0.875</v>
      </c>
      <c r="T673" s="132">
        <f t="shared" si="68"/>
        <v>0.875</v>
      </c>
      <c r="V673" s="131" t="str">
        <f t="shared" si="69"/>
        <v/>
      </c>
      <c r="W673" s="17"/>
      <c r="X673" s="7"/>
      <c r="Y673" s="161"/>
      <c r="Z673" s="7"/>
      <c r="AA673" s="117"/>
      <c r="AB673" s="117"/>
      <c r="AC673" s="117"/>
      <c r="CH673" s="2"/>
    </row>
    <row r="674" spans="1:86" x14ac:dyDescent="0.3">
      <c r="A674" s="2">
        <v>974</v>
      </c>
      <c r="B674" s="2" t="s">
        <v>84</v>
      </c>
      <c r="C674" s="2" t="s">
        <v>1</v>
      </c>
      <c r="D674" s="2" t="s">
        <v>1121</v>
      </c>
      <c r="E674" s="2">
        <v>3900</v>
      </c>
      <c r="F674" s="2">
        <v>4.3E-3</v>
      </c>
      <c r="G674" s="2"/>
      <c r="H674" s="4">
        <f t="shared" si="65"/>
        <v>1</v>
      </c>
      <c r="I674" s="2" t="s">
        <v>82</v>
      </c>
      <c r="J674" s="2" t="s">
        <v>645</v>
      </c>
      <c r="K674" s="2"/>
      <c r="L674" s="2"/>
      <c r="M674" s="155"/>
      <c r="N674" s="155"/>
      <c r="O674" s="2">
        <v>40</v>
      </c>
      <c r="P674" s="6">
        <v>7</v>
      </c>
      <c r="Q674" s="131">
        <f t="shared" si="66"/>
        <v>42.197802197802197</v>
      </c>
      <c r="R674" s="33">
        <f t="shared" si="70"/>
        <v>6.9999999999999991</v>
      </c>
      <c r="S674" s="132">
        <f t="shared" si="67"/>
        <v>0.87499999999999989</v>
      </c>
      <c r="T674" s="132">
        <f t="shared" si="68"/>
        <v>0.87499999999999989</v>
      </c>
      <c r="V674" s="131" t="str">
        <f t="shared" si="69"/>
        <v/>
      </c>
      <c r="W674" s="17"/>
      <c r="X674" s="7"/>
      <c r="Y674" s="161"/>
      <c r="Z674" s="7"/>
      <c r="AA674" s="117"/>
      <c r="AB674" s="117"/>
      <c r="AC674" s="117"/>
      <c r="CH674" s="2"/>
    </row>
    <row r="675" spans="1:86" x14ac:dyDescent="0.3">
      <c r="A675" s="2">
        <v>976</v>
      </c>
      <c r="B675" s="2" t="s">
        <v>0</v>
      </c>
      <c r="C675" s="2" t="s">
        <v>1</v>
      </c>
      <c r="D675" s="2" t="s">
        <v>1122</v>
      </c>
      <c r="E675" s="2">
        <v>19200</v>
      </c>
      <c r="F675" s="2">
        <v>1.4E-3</v>
      </c>
      <c r="G675" s="2">
        <v>5.9999999999999995E-4</v>
      </c>
      <c r="H675" s="4">
        <f t="shared" si="65"/>
        <v>0.57142857142857151</v>
      </c>
      <c r="I675" s="2" t="s">
        <v>98</v>
      </c>
      <c r="J675" s="2" t="s">
        <v>755</v>
      </c>
      <c r="K675" s="2" t="s">
        <v>357</v>
      </c>
      <c r="L675" s="2" t="s">
        <v>6</v>
      </c>
      <c r="M675" s="155"/>
      <c r="N675" s="155"/>
      <c r="O675" s="2">
        <v>180</v>
      </c>
      <c r="P675" s="6">
        <v>2</v>
      </c>
      <c r="Q675" s="131">
        <f t="shared" si="66"/>
        <v>135</v>
      </c>
      <c r="R675" s="33">
        <f t="shared" si="70"/>
        <v>2</v>
      </c>
      <c r="S675" s="132">
        <f t="shared" si="67"/>
        <v>0.25</v>
      </c>
      <c r="T675" s="132" t="str">
        <f t="shared" si="68"/>
        <v/>
      </c>
      <c r="V675" s="131" t="str">
        <f t="shared" si="69"/>
        <v/>
      </c>
      <c r="W675" s="17"/>
      <c r="X675" s="7"/>
      <c r="Y675" s="161"/>
      <c r="Z675" s="7"/>
      <c r="AA675" s="117"/>
      <c r="AB675" s="117"/>
      <c r="AC675" s="117"/>
      <c r="CH675" s="2"/>
    </row>
    <row r="676" spans="1:86" x14ac:dyDescent="0.3">
      <c r="A676" s="2">
        <v>977</v>
      </c>
      <c r="B676" s="2" t="s">
        <v>0</v>
      </c>
      <c r="C676" s="2" t="s">
        <v>1</v>
      </c>
      <c r="D676" s="2" t="s">
        <v>1123</v>
      </c>
      <c r="E676" s="2">
        <v>15750</v>
      </c>
      <c r="F676" s="2">
        <v>2.5000000000000001E-3</v>
      </c>
      <c r="G676" s="2">
        <v>1.1000000000000001E-3</v>
      </c>
      <c r="H676" s="4">
        <f t="shared" si="65"/>
        <v>0.55999999999999994</v>
      </c>
      <c r="I676" s="2" t="s">
        <v>98</v>
      </c>
      <c r="J676" s="2" t="s">
        <v>755</v>
      </c>
      <c r="K676" s="2" t="s">
        <v>90</v>
      </c>
      <c r="L676" s="2" t="s">
        <v>6</v>
      </c>
      <c r="M676" s="155"/>
      <c r="N676" s="155"/>
      <c r="O676" s="2">
        <v>35</v>
      </c>
      <c r="P676" s="6">
        <v>2</v>
      </c>
      <c r="Q676" s="131">
        <f t="shared" si="66"/>
        <v>32</v>
      </c>
      <c r="R676" s="33">
        <f t="shared" si="70"/>
        <v>2</v>
      </c>
      <c r="S676" s="132">
        <f t="shared" si="67"/>
        <v>0.25</v>
      </c>
      <c r="T676" s="132" t="str">
        <f t="shared" si="68"/>
        <v/>
      </c>
      <c r="V676" s="131" t="str">
        <f t="shared" si="69"/>
        <v/>
      </c>
      <c r="W676" s="17"/>
      <c r="X676" s="7"/>
      <c r="Y676" s="161"/>
      <c r="Z676" s="7"/>
      <c r="AA676" s="117"/>
      <c r="AB676" s="117"/>
      <c r="AC676" s="117"/>
      <c r="CH676" s="2"/>
    </row>
    <row r="677" spans="1:86" x14ac:dyDescent="0.3">
      <c r="A677" s="2">
        <v>978</v>
      </c>
      <c r="B677" s="2" t="s">
        <v>0</v>
      </c>
      <c r="C677" s="2" t="s">
        <v>1</v>
      </c>
      <c r="D677" s="2" t="s">
        <v>1124</v>
      </c>
      <c r="E677" s="2">
        <v>12000</v>
      </c>
      <c r="F677" s="2">
        <v>4.4999999999999997E-3</v>
      </c>
      <c r="G677" s="2">
        <v>2.2000000000000001E-3</v>
      </c>
      <c r="H677" s="4">
        <f t="shared" si="65"/>
        <v>0.51111111111111107</v>
      </c>
      <c r="I677" s="2" t="s">
        <v>98</v>
      </c>
      <c r="J677" s="2" t="s">
        <v>755</v>
      </c>
      <c r="K677" s="2" t="s">
        <v>5</v>
      </c>
      <c r="L677" s="2" t="s">
        <v>6</v>
      </c>
      <c r="M677" s="155"/>
      <c r="N677" s="155"/>
      <c r="O677" s="2">
        <v>25</v>
      </c>
      <c r="P677" s="6">
        <v>3</v>
      </c>
      <c r="Q677" s="131">
        <f t="shared" si="66"/>
        <v>20</v>
      </c>
      <c r="R677" s="33">
        <f t="shared" si="70"/>
        <v>3</v>
      </c>
      <c r="S677" s="132">
        <f t="shared" si="67"/>
        <v>0.375</v>
      </c>
      <c r="T677" s="132">
        <f t="shared" si="68"/>
        <v>0.375</v>
      </c>
      <c r="V677" s="131" t="str">
        <f t="shared" si="69"/>
        <v/>
      </c>
      <c r="W677" s="17"/>
      <c r="X677" s="7"/>
      <c r="Y677" s="161"/>
      <c r="Z677" s="7"/>
      <c r="AA677" s="117"/>
      <c r="AB677" s="117"/>
      <c r="AC677" s="117"/>
      <c r="CH677" s="2"/>
    </row>
    <row r="678" spans="1:86" x14ac:dyDescent="0.3">
      <c r="A678" s="2">
        <v>979</v>
      </c>
      <c r="B678" s="2" t="s">
        <v>0</v>
      </c>
      <c r="C678" s="2" t="s">
        <v>1</v>
      </c>
      <c r="D678" s="2" t="s">
        <v>1125</v>
      </c>
      <c r="E678" s="2">
        <v>6700</v>
      </c>
      <c r="F678" s="2">
        <v>8.5000000000000006E-3</v>
      </c>
      <c r="G678" s="2">
        <v>4.4999999999999997E-3</v>
      </c>
      <c r="H678" s="4">
        <f t="shared" si="65"/>
        <v>0.47058823529411775</v>
      </c>
      <c r="I678" s="2" t="s">
        <v>98</v>
      </c>
      <c r="J678" s="2" t="s">
        <v>947</v>
      </c>
      <c r="K678" s="2" t="s">
        <v>5</v>
      </c>
      <c r="L678" s="2" t="s">
        <v>6</v>
      </c>
      <c r="M678" s="155"/>
      <c r="N678" s="155"/>
      <c r="O678" s="2">
        <v>32</v>
      </c>
      <c r="P678" s="6">
        <v>5</v>
      </c>
      <c r="Q678" s="131">
        <f t="shared" si="66"/>
        <v>27.51044776119403</v>
      </c>
      <c r="R678" s="33">
        <f t="shared" si="70"/>
        <v>5</v>
      </c>
      <c r="S678" s="132">
        <f t="shared" si="67"/>
        <v>0.625</v>
      </c>
      <c r="T678" s="132">
        <f t="shared" si="68"/>
        <v>0.625</v>
      </c>
      <c r="V678" s="131" t="str">
        <f t="shared" si="69"/>
        <v/>
      </c>
      <c r="W678" s="17"/>
      <c r="X678" s="7"/>
      <c r="Y678" s="161"/>
      <c r="Z678" s="7"/>
      <c r="AA678" s="117"/>
      <c r="AB678" s="117"/>
      <c r="AC678" s="117"/>
      <c r="CH678" s="2"/>
    </row>
    <row r="679" spans="1:86" x14ac:dyDescent="0.3">
      <c r="A679" s="2">
        <v>980</v>
      </c>
      <c r="B679" s="2" t="s">
        <v>0</v>
      </c>
      <c r="C679" s="2" t="s">
        <v>1</v>
      </c>
      <c r="D679" s="2" t="s">
        <v>1126</v>
      </c>
      <c r="E679" s="2">
        <v>2900</v>
      </c>
      <c r="F679" s="2">
        <v>2.3800000000000002E-2</v>
      </c>
      <c r="G679" s="2">
        <v>7.1000000000000004E-3</v>
      </c>
      <c r="H679" s="4">
        <f t="shared" si="65"/>
        <v>0.70168067226890751</v>
      </c>
      <c r="I679" s="2" t="s">
        <v>98</v>
      </c>
      <c r="J679" s="2" t="s">
        <v>935</v>
      </c>
      <c r="K679" s="2" t="s">
        <v>5</v>
      </c>
      <c r="L679" s="2" t="s">
        <v>6</v>
      </c>
      <c r="M679" s="155"/>
      <c r="N679" s="155"/>
      <c r="O679" s="2">
        <v>18</v>
      </c>
      <c r="P679" s="6">
        <v>9</v>
      </c>
      <c r="Q679" s="131">
        <f t="shared" si="66"/>
        <v>19.862068965517242</v>
      </c>
      <c r="R679" s="33">
        <f t="shared" si="70"/>
        <v>9</v>
      </c>
      <c r="S679" s="132">
        <f t="shared" si="67"/>
        <v>1.125</v>
      </c>
      <c r="T679" s="132">
        <f t="shared" si="68"/>
        <v>1.125</v>
      </c>
      <c r="V679" s="131" t="str">
        <f t="shared" si="69"/>
        <v/>
      </c>
      <c r="W679" s="17"/>
      <c r="X679" s="7"/>
      <c r="Y679" s="161"/>
      <c r="Z679" s="7"/>
      <c r="AA679" s="117"/>
      <c r="AB679" s="117"/>
      <c r="AC679" s="117"/>
      <c r="CH679" s="2"/>
    </row>
    <row r="680" spans="1:86" x14ac:dyDescent="0.3">
      <c r="A680" s="2">
        <v>981</v>
      </c>
      <c r="B680" s="2" t="s">
        <v>0</v>
      </c>
      <c r="C680" s="2" t="s">
        <v>1</v>
      </c>
      <c r="D680" s="2" t="s">
        <v>1127</v>
      </c>
      <c r="E680" s="2">
        <v>1000</v>
      </c>
      <c r="F680" s="2">
        <v>2.86E-2</v>
      </c>
      <c r="G680" s="2">
        <v>1.26E-2</v>
      </c>
      <c r="H680" s="4">
        <f t="shared" si="65"/>
        <v>0.55944055944055948</v>
      </c>
      <c r="I680" s="2" t="s">
        <v>98</v>
      </c>
      <c r="J680" s="2" t="s">
        <v>935</v>
      </c>
      <c r="K680" s="2" t="s">
        <v>105</v>
      </c>
      <c r="L680" s="2" t="s">
        <v>76</v>
      </c>
      <c r="M680" s="155"/>
      <c r="N680" s="155"/>
      <c r="O680" s="2">
        <v>15</v>
      </c>
      <c r="P680" s="6">
        <v>12</v>
      </c>
      <c r="Q680" s="131">
        <f t="shared" si="66"/>
        <v>36</v>
      </c>
      <c r="R680" s="33">
        <f t="shared" si="70"/>
        <v>12</v>
      </c>
      <c r="S680" s="132">
        <f t="shared" si="67"/>
        <v>1.5</v>
      </c>
      <c r="T680" s="132">
        <f t="shared" si="68"/>
        <v>1.5</v>
      </c>
      <c r="V680" s="131" t="str">
        <f t="shared" si="69"/>
        <v/>
      </c>
      <c r="W680" s="17"/>
      <c r="X680" s="7"/>
      <c r="Y680" s="161"/>
      <c r="Z680" s="7"/>
      <c r="AA680" s="117"/>
      <c r="AB680" s="117"/>
      <c r="AC680" s="117"/>
      <c r="CH680" s="2"/>
    </row>
    <row r="681" spans="1:86" x14ac:dyDescent="0.3">
      <c r="A681" s="2">
        <v>983</v>
      </c>
      <c r="B681" s="2" t="s">
        <v>84</v>
      </c>
      <c r="C681" s="2" t="s">
        <v>1</v>
      </c>
      <c r="D681" s="2" t="s">
        <v>1128</v>
      </c>
      <c r="E681" s="2">
        <v>840</v>
      </c>
      <c r="F681" s="2">
        <v>2.07E-2</v>
      </c>
      <c r="G681" s="2">
        <v>1.2500000000000001E-2</v>
      </c>
      <c r="H681" s="4">
        <f t="shared" si="65"/>
        <v>0.39613526570048307</v>
      </c>
      <c r="I681" s="2" t="s">
        <v>82</v>
      </c>
      <c r="J681" s="2" t="s">
        <v>598</v>
      </c>
      <c r="K681" s="2" t="s">
        <v>5</v>
      </c>
      <c r="L681" s="2" t="s">
        <v>6</v>
      </c>
      <c r="M681" s="155"/>
      <c r="N681" s="155"/>
      <c r="O681" s="2">
        <v>14</v>
      </c>
      <c r="P681" s="6">
        <v>9</v>
      </c>
      <c r="Q681" s="131">
        <f t="shared" si="66"/>
        <v>53.333333333333336</v>
      </c>
      <c r="R681" s="33">
        <f t="shared" si="70"/>
        <v>9</v>
      </c>
      <c r="S681" s="132">
        <f t="shared" si="67"/>
        <v>1.125</v>
      </c>
      <c r="T681" s="132">
        <f t="shared" si="68"/>
        <v>1.125</v>
      </c>
      <c r="V681" s="131" t="str">
        <f t="shared" si="69"/>
        <v/>
      </c>
      <c r="W681" s="17"/>
      <c r="X681" s="7"/>
      <c r="Y681" s="161"/>
      <c r="Z681" s="7"/>
      <c r="AA681" s="117"/>
      <c r="AB681" s="117"/>
      <c r="AC681" s="117"/>
      <c r="CH681" s="2"/>
    </row>
    <row r="682" spans="1:86" x14ac:dyDescent="0.3">
      <c r="A682" s="2">
        <v>984</v>
      </c>
      <c r="B682" s="2" t="s">
        <v>84</v>
      </c>
      <c r="C682" s="2" t="s">
        <v>1</v>
      </c>
      <c r="D682" s="2" t="s">
        <v>1129</v>
      </c>
      <c r="E682" s="2">
        <v>600</v>
      </c>
      <c r="F682" s="2">
        <v>4.4699999999999997E-2</v>
      </c>
      <c r="G682" s="2">
        <v>2.9899999999999999E-2</v>
      </c>
      <c r="H682" s="4">
        <f t="shared" si="65"/>
        <v>0.3310961968680089</v>
      </c>
      <c r="I682" s="2" t="s">
        <v>82</v>
      </c>
      <c r="J682" s="2" t="s">
        <v>598</v>
      </c>
      <c r="K682" s="2" t="s">
        <v>5</v>
      </c>
      <c r="L682" s="2" t="s">
        <v>6</v>
      </c>
      <c r="M682" s="155"/>
      <c r="N682" s="155"/>
      <c r="O682" s="2">
        <v>4</v>
      </c>
      <c r="P682" s="6">
        <v>9</v>
      </c>
      <c r="Q682" s="131">
        <f t="shared" si="66"/>
        <v>21.333333333333332</v>
      </c>
      <c r="R682" s="33">
        <f t="shared" si="70"/>
        <v>9</v>
      </c>
      <c r="S682" s="132">
        <f t="shared" si="67"/>
        <v>1.125</v>
      </c>
      <c r="T682" s="132">
        <f t="shared" si="68"/>
        <v>1.125</v>
      </c>
      <c r="V682" s="131" t="str">
        <f t="shared" si="69"/>
        <v/>
      </c>
      <c r="W682" s="17"/>
      <c r="X682" s="7"/>
      <c r="Y682" s="161"/>
      <c r="Z682" s="7"/>
      <c r="AA682" s="117"/>
      <c r="AB682" s="117"/>
      <c r="AC682" s="117"/>
      <c r="CH682" s="2"/>
    </row>
    <row r="683" spans="1:86" x14ac:dyDescent="0.3">
      <c r="A683" s="2">
        <v>985</v>
      </c>
      <c r="B683" s="2" t="s">
        <v>84</v>
      </c>
      <c r="C683" s="2" t="s">
        <v>1</v>
      </c>
      <c r="D683" s="2" t="s">
        <v>1130</v>
      </c>
      <c r="E683" s="2">
        <v>600</v>
      </c>
      <c r="F683" s="2">
        <v>2.4400000000000002E-2</v>
      </c>
      <c r="G683" s="2"/>
      <c r="H683" s="4">
        <f t="shared" si="65"/>
        <v>1</v>
      </c>
      <c r="I683" s="2" t="s">
        <v>82</v>
      </c>
      <c r="J683" s="2" t="s">
        <v>600</v>
      </c>
      <c r="K683" s="2" t="s">
        <v>5</v>
      </c>
      <c r="L683" s="2" t="s">
        <v>6</v>
      </c>
      <c r="M683" s="155"/>
      <c r="N683" s="155"/>
      <c r="O683" s="2">
        <v>5</v>
      </c>
      <c r="P683" s="6">
        <v>9</v>
      </c>
      <c r="Q683" s="131">
        <f t="shared" si="66"/>
        <v>26.666666666666668</v>
      </c>
      <c r="R683" s="33">
        <f t="shared" si="70"/>
        <v>9</v>
      </c>
      <c r="S683" s="132">
        <f t="shared" si="67"/>
        <v>1.125</v>
      </c>
      <c r="T683" s="132">
        <f t="shared" si="68"/>
        <v>1.125</v>
      </c>
      <c r="V683" s="131" t="str">
        <f t="shared" si="69"/>
        <v/>
      </c>
      <c r="W683" s="17"/>
      <c r="X683" s="7"/>
      <c r="Y683" s="161"/>
      <c r="Z683" s="7"/>
      <c r="AA683" s="117"/>
      <c r="AB683" s="117"/>
      <c r="AC683" s="117"/>
      <c r="CH683" s="2"/>
    </row>
    <row r="684" spans="1:86" x14ac:dyDescent="0.3">
      <c r="A684" s="2">
        <v>986</v>
      </c>
      <c r="B684" s="2" t="s">
        <v>84</v>
      </c>
      <c r="C684" s="2" t="s">
        <v>1</v>
      </c>
      <c r="D684" s="2" t="s">
        <v>1131</v>
      </c>
      <c r="E684" s="2">
        <v>4000</v>
      </c>
      <c r="F684" s="2">
        <v>2.3999999999999998E-3</v>
      </c>
      <c r="G684" s="2"/>
      <c r="H684" s="4">
        <f t="shared" si="65"/>
        <v>1</v>
      </c>
      <c r="I684" s="2" t="s">
        <v>82</v>
      </c>
      <c r="J684" s="2" t="s">
        <v>645</v>
      </c>
      <c r="K684" s="2"/>
      <c r="L684" s="2"/>
      <c r="M684" s="155"/>
      <c r="N684" s="155"/>
      <c r="O684" s="2">
        <v>44</v>
      </c>
      <c r="P684" s="6"/>
      <c r="Q684" s="131" t="str">
        <f t="shared" si="66"/>
        <v/>
      </c>
      <c r="R684" s="33" t="str">
        <f t="shared" si="70"/>
        <v/>
      </c>
      <c r="S684" s="132" t="str">
        <f t="shared" si="67"/>
        <v/>
      </c>
      <c r="T684" s="132" t="str">
        <f t="shared" si="68"/>
        <v/>
      </c>
      <c r="V684" s="131" t="str">
        <f t="shared" si="69"/>
        <v/>
      </c>
      <c r="W684" s="17"/>
      <c r="X684" s="7"/>
      <c r="Y684" s="161"/>
      <c r="Z684" s="7"/>
      <c r="AA684" s="117"/>
      <c r="AB684" s="117"/>
      <c r="AC684" s="117"/>
      <c r="CH684" s="2"/>
    </row>
    <row r="685" spans="1:86" x14ac:dyDescent="0.3">
      <c r="A685" s="2">
        <v>987</v>
      </c>
      <c r="B685" s="2" t="s">
        <v>84</v>
      </c>
      <c r="C685" s="2" t="s">
        <v>1</v>
      </c>
      <c r="D685" s="2" t="s">
        <v>1132</v>
      </c>
      <c r="E685" s="2">
        <v>2900</v>
      </c>
      <c r="F685" s="2">
        <v>3.0999999999999999E-3</v>
      </c>
      <c r="G685" s="2">
        <v>2.3999999999999998E-3</v>
      </c>
      <c r="H685" s="4">
        <f t="shared" si="65"/>
        <v>0.22580645161290328</v>
      </c>
      <c r="I685" s="2" t="s">
        <v>82</v>
      </c>
      <c r="J685" s="2" t="s">
        <v>645</v>
      </c>
      <c r="K685" s="2" t="s">
        <v>261</v>
      </c>
      <c r="L685" s="2" t="s">
        <v>76</v>
      </c>
      <c r="M685" s="155"/>
      <c r="N685" s="155"/>
      <c r="O685" s="2">
        <v>56</v>
      </c>
      <c r="P685" s="6"/>
      <c r="Q685" s="131" t="str">
        <f t="shared" si="66"/>
        <v/>
      </c>
      <c r="R685" s="33" t="str">
        <f t="shared" si="70"/>
        <v/>
      </c>
      <c r="S685" s="132" t="str">
        <f t="shared" si="67"/>
        <v/>
      </c>
      <c r="T685" s="132" t="str">
        <f t="shared" si="68"/>
        <v/>
      </c>
      <c r="V685" s="131" t="str">
        <f t="shared" si="69"/>
        <v/>
      </c>
      <c r="W685" s="17"/>
      <c r="X685" s="7"/>
      <c r="Y685" s="161"/>
      <c r="Z685" s="7"/>
      <c r="AA685" s="117"/>
      <c r="AB685" s="117"/>
      <c r="AC685" s="117"/>
      <c r="CH685" s="2"/>
    </row>
    <row r="686" spans="1:86" x14ac:dyDescent="0.3">
      <c r="A686" s="2">
        <v>988</v>
      </c>
      <c r="B686" s="2" t="s">
        <v>84</v>
      </c>
      <c r="C686" s="2" t="s">
        <v>1</v>
      </c>
      <c r="D686" s="2" t="s">
        <v>1133</v>
      </c>
      <c r="E686" s="2">
        <v>840</v>
      </c>
      <c r="F686" s="2">
        <v>1.09E-2</v>
      </c>
      <c r="G686" s="2">
        <v>7.4999999999999997E-3</v>
      </c>
      <c r="H686" s="4">
        <f t="shared" si="65"/>
        <v>0.31192660550458717</v>
      </c>
      <c r="I686" s="2" t="s">
        <v>82</v>
      </c>
      <c r="J686" s="2" t="s">
        <v>598</v>
      </c>
      <c r="K686" s="2" t="s">
        <v>5</v>
      </c>
      <c r="L686" s="2" t="s">
        <v>6</v>
      </c>
      <c r="M686" s="155"/>
      <c r="N686" s="155"/>
      <c r="O686" s="2">
        <v>15</v>
      </c>
      <c r="P686" s="6">
        <v>10</v>
      </c>
      <c r="Q686" s="131">
        <f t="shared" si="66"/>
        <v>51.428571428571431</v>
      </c>
      <c r="R686" s="33">
        <f t="shared" si="70"/>
        <v>10</v>
      </c>
      <c r="S686" s="132">
        <f t="shared" si="67"/>
        <v>1.25</v>
      </c>
      <c r="T686" s="132">
        <f t="shared" si="68"/>
        <v>1.25</v>
      </c>
      <c r="V686" s="131" t="str">
        <f t="shared" si="69"/>
        <v/>
      </c>
      <c r="W686" s="17"/>
      <c r="X686" s="7"/>
      <c r="Y686" s="161"/>
      <c r="Z686" s="7"/>
      <c r="AA686" s="117"/>
      <c r="AB686" s="117"/>
      <c r="AC686" s="117"/>
      <c r="CH686" s="2"/>
    </row>
    <row r="687" spans="1:86" x14ac:dyDescent="0.3">
      <c r="A687" s="2">
        <v>990</v>
      </c>
      <c r="B687" s="2" t="s">
        <v>84</v>
      </c>
      <c r="C687" s="2" t="s">
        <v>1</v>
      </c>
      <c r="D687" s="2" t="s">
        <v>1134</v>
      </c>
      <c r="E687" s="2">
        <v>6000</v>
      </c>
      <c r="F687" s="2">
        <v>2E-3</v>
      </c>
      <c r="G687" s="2"/>
      <c r="H687" s="4">
        <f t="shared" si="65"/>
        <v>1</v>
      </c>
      <c r="I687" s="2" t="s">
        <v>82</v>
      </c>
      <c r="J687" s="2" t="s">
        <v>645</v>
      </c>
      <c r="K687" s="2"/>
      <c r="L687" s="2"/>
      <c r="M687" s="155"/>
      <c r="N687" s="155"/>
      <c r="O687" s="2">
        <v>56</v>
      </c>
      <c r="P687" s="6"/>
      <c r="Q687" s="131" t="str">
        <f t="shared" si="66"/>
        <v/>
      </c>
      <c r="R687" s="33" t="str">
        <f t="shared" si="70"/>
        <v/>
      </c>
      <c r="S687" s="132" t="str">
        <f t="shared" si="67"/>
        <v/>
      </c>
      <c r="T687" s="132" t="str">
        <f t="shared" si="68"/>
        <v/>
      </c>
      <c r="V687" s="131" t="str">
        <f t="shared" si="69"/>
        <v/>
      </c>
      <c r="W687" s="17"/>
      <c r="X687" s="7"/>
      <c r="Y687" s="161"/>
      <c r="Z687" s="7"/>
      <c r="AA687" s="117"/>
      <c r="AB687" s="117"/>
      <c r="AC687" s="117"/>
      <c r="CH687" s="2"/>
    </row>
    <row r="688" spans="1:86" x14ac:dyDescent="0.3">
      <c r="A688" s="2">
        <v>991</v>
      </c>
      <c r="B688" s="2" t="s">
        <v>84</v>
      </c>
      <c r="C688" s="2" t="s">
        <v>1</v>
      </c>
      <c r="D688" s="2" t="s">
        <v>1135</v>
      </c>
      <c r="E688" s="2">
        <v>4500</v>
      </c>
      <c r="F688" s="2">
        <v>3.0000000000000001E-3</v>
      </c>
      <c r="G688" s="2"/>
      <c r="H688" s="4">
        <f t="shared" si="65"/>
        <v>1</v>
      </c>
      <c r="I688" s="2" t="s">
        <v>82</v>
      </c>
      <c r="J688" s="2" t="s">
        <v>645</v>
      </c>
      <c r="K688" s="2"/>
      <c r="L688" s="2"/>
      <c r="M688" s="155"/>
      <c r="N688" s="155"/>
      <c r="O688" s="2">
        <v>36</v>
      </c>
      <c r="P688" s="6"/>
      <c r="Q688" s="131" t="str">
        <f t="shared" si="66"/>
        <v/>
      </c>
      <c r="R688" s="33" t="str">
        <f t="shared" si="70"/>
        <v/>
      </c>
      <c r="S688" s="132" t="str">
        <f t="shared" si="67"/>
        <v/>
      </c>
      <c r="T688" s="132" t="str">
        <f t="shared" si="68"/>
        <v/>
      </c>
      <c r="V688" s="131" t="str">
        <f t="shared" si="69"/>
        <v/>
      </c>
      <c r="W688" s="17"/>
      <c r="X688" s="7"/>
      <c r="Y688" s="161"/>
      <c r="Z688" s="7"/>
      <c r="AA688" s="117"/>
      <c r="AB688" s="117"/>
      <c r="AC688" s="117"/>
      <c r="CH688" s="2"/>
    </row>
    <row r="689" spans="1:86" x14ac:dyDescent="0.3">
      <c r="A689" s="23">
        <v>994</v>
      </c>
      <c r="B689" s="2" t="s">
        <v>0</v>
      </c>
      <c r="C689" s="2" t="s">
        <v>1</v>
      </c>
      <c r="D689" s="2" t="s">
        <v>1136</v>
      </c>
      <c r="E689" s="2">
        <v>1800</v>
      </c>
      <c r="F689" s="2">
        <v>3.8E-3</v>
      </c>
      <c r="G689" s="2">
        <v>2.3999999999999998E-3</v>
      </c>
      <c r="H689" s="4">
        <f t="shared" si="65"/>
        <v>0.36842105263157898</v>
      </c>
      <c r="I689" s="2" t="s">
        <v>82</v>
      </c>
      <c r="J689" s="2" t="s">
        <v>1091</v>
      </c>
      <c r="K689" s="2" t="s">
        <v>357</v>
      </c>
      <c r="L689" s="2" t="s">
        <v>6</v>
      </c>
      <c r="M689" s="155"/>
      <c r="N689" s="155"/>
      <c r="O689" s="2">
        <v>60</v>
      </c>
      <c r="P689" s="6">
        <v>11</v>
      </c>
      <c r="Q689" s="131">
        <f t="shared" si="66"/>
        <v>87.272727272727266</v>
      </c>
      <c r="R689" s="33">
        <f t="shared" si="70"/>
        <v>11</v>
      </c>
      <c r="S689" s="132">
        <f t="shared" si="67"/>
        <v>1.375</v>
      </c>
      <c r="T689" s="132">
        <f t="shared" si="68"/>
        <v>1.375</v>
      </c>
      <c r="V689" s="131">
        <f t="shared" si="69"/>
        <v>20.083682008368203</v>
      </c>
      <c r="W689" s="17">
        <v>47.8</v>
      </c>
      <c r="X689" s="8">
        <f>60*60*8/W689</f>
        <v>602.51046025104608</v>
      </c>
      <c r="Y689" s="161">
        <v>45600</v>
      </c>
      <c r="Z689" s="7" t="s">
        <v>7</v>
      </c>
      <c r="AA689" s="117"/>
      <c r="AB689" s="117"/>
      <c r="AC689" s="117"/>
      <c r="AD689" s="24">
        <v>45610</v>
      </c>
      <c r="AE689">
        <v>1</v>
      </c>
      <c r="AF689">
        <v>10.3</v>
      </c>
      <c r="AH689">
        <v>4</v>
      </c>
      <c r="AI689">
        <v>0.8</v>
      </c>
      <c r="AJ689">
        <v>0.9</v>
      </c>
      <c r="AK689">
        <v>9.5</v>
      </c>
      <c r="AL689">
        <v>9</v>
      </c>
      <c r="AN689">
        <v>13</v>
      </c>
      <c r="AO689">
        <v>0.3</v>
      </c>
      <c r="AP689">
        <v>0.2</v>
      </c>
      <c r="AS689">
        <v>47.8</v>
      </c>
      <c r="AT689">
        <v>10</v>
      </c>
      <c r="AU689">
        <v>16</v>
      </c>
      <c r="AV689">
        <v>62</v>
      </c>
      <c r="AW689">
        <v>69</v>
      </c>
      <c r="AX689">
        <v>12</v>
      </c>
      <c r="AY689">
        <v>47</v>
      </c>
      <c r="AZ689">
        <v>95</v>
      </c>
      <c r="BA689">
        <v>113</v>
      </c>
      <c r="CH689" s="2"/>
    </row>
    <row r="690" spans="1:86" x14ac:dyDescent="0.3">
      <c r="A690" s="23">
        <v>995</v>
      </c>
      <c r="B690" s="2" t="s">
        <v>0</v>
      </c>
      <c r="C690" s="2" t="s">
        <v>1</v>
      </c>
      <c r="D690" s="2" t="s">
        <v>1137</v>
      </c>
      <c r="E690" s="2">
        <v>1800</v>
      </c>
      <c r="F690" s="2">
        <v>3.8E-3</v>
      </c>
      <c r="G690" s="2">
        <v>2.3999999999999998E-3</v>
      </c>
      <c r="H690" s="4">
        <f t="shared" si="65"/>
        <v>0.36842105263157898</v>
      </c>
      <c r="I690" s="2" t="s">
        <v>82</v>
      </c>
      <c r="J690" s="2" t="s">
        <v>1091</v>
      </c>
      <c r="K690" s="2" t="s">
        <v>357</v>
      </c>
      <c r="L690" s="2" t="s">
        <v>6</v>
      </c>
      <c r="M690" s="155"/>
      <c r="N690" s="155"/>
      <c r="O690" s="2">
        <v>60</v>
      </c>
      <c r="P690" s="6">
        <v>11</v>
      </c>
      <c r="Q690" s="131">
        <f t="shared" si="66"/>
        <v>87.272727272727266</v>
      </c>
      <c r="R690" s="33">
        <f t="shared" si="70"/>
        <v>11</v>
      </c>
      <c r="S690" s="132">
        <f t="shared" si="67"/>
        <v>1.375</v>
      </c>
      <c r="T690" s="132">
        <f t="shared" si="68"/>
        <v>1.375</v>
      </c>
      <c r="V690" s="131">
        <f t="shared" si="69"/>
        <v>20.083682008368203</v>
      </c>
      <c r="W690" s="17">
        <v>47.8</v>
      </c>
      <c r="X690" s="8">
        <f>60*60*8/W690</f>
        <v>602.51046025104608</v>
      </c>
      <c r="Y690" s="161">
        <v>45601</v>
      </c>
      <c r="Z690" s="7" t="s">
        <v>7</v>
      </c>
      <c r="AA690" s="117"/>
      <c r="AB690" s="117"/>
      <c r="AC690" s="117"/>
      <c r="AD690" s="24">
        <v>45610</v>
      </c>
      <c r="AE690">
        <v>1</v>
      </c>
      <c r="AF690">
        <v>10.3</v>
      </c>
      <c r="AH690">
        <v>4</v>
      </c>
      <c r="AI690">
        <v>0.8</v>
      </c>
      <c r="AJ690">
        <v>0.9</v>
      </c>
      <c r="AK690">
        <v>9.5</v>
      </c>
      <c r="AL690">
        <v>9</v>
      </c>
      <c r="AN690">
        <v>13</v>
      </c>
      <c r="AO690">
        <v>0.3</v>
      </c>
      <c r="AP690">
        <v>0.2</v>
      </c>
      <c r="AS690">
        <v>47.8</v>
      </c>
      <c r="AT690">
        <v>10</v>
      </c>
      <c r="AU690">
        <v>16</v>
      </c>
      <c r="AV690">
        <v>62</v>
      </c>
      <c r="AW690">
        <v>69</v>
      </c>
      <c r="AX690">
        <v>12</v>
      </c>
      <c r="AY690">
        <v>47</v>
      </c>
      <c r="AZ690">
        <v>95</v>
      </c>
      <c r="BA690">
        <v>113</v>
      </c>
      <c r="CH690" s="2"/>
    </row>
    <row r="691" spans="1:86" x14ac:dyDescent="0.3">
      <c r="A691" s="2">
        <v>1006</v>
      </c>
      <c r="B691" s="2" t="s">
        <v>0</v>
      </c>
      <c r="C691" s="2" t="s">
        <v>1</v>
      </c>
      <c r="D691" s="2" t="s">
        <v>1138</v>
      </c>
      <c r="E691" s="2">
        <v>1300</v>
      </c>
      <c r="F691" s="2">
        <v>2.0299999999999999E-2</v>
      </c>
      <c r="G691" s="2">
        <v>1.5100000000000001E-2</v>
      </c>
      <c r="H691" s="4">
        <f t="shared" si="65"/>
        <v>0.2561576354679802</v>
      </c>
      <c r="I691" s="2" t="s">
        <v>98</v>
      </c>
      <c r="J691" s="2" t="s">
        <v>1139</v>
      </c>
      <c r="K691" s="2" t="s">
        <v>222</v>
      </c>
      <c r="L691" s="2" t="s">
        <v>76</v>
      </c>
      <c r="M691" s="155"/>
      <c r="N691" s="155"/>
      <c r="O691" s="2">
        <v>20</v>
      </c>
      <c r="P691" s="6">
        <v>10</v>
      </c>
      <c r="Q691" s="131">
        <f t="shared" si="66"/>
        <v>44.307692307692307</v>
      </c>
      <c r="R691" s="33">
        <f t="shared" si="70"/>
        <v>10</v>
      </c>
      <c r="S691" s="132">
        <f t="shared" si="67"/>
        <v>1.25</v>
      </c>
      <c r="T691" s="132">
        <f t="shared" si="68"/>
        <v>1.25</v>
      </c>
      <c r="V691" s="131" t="str">
        <f t="shared" si="69"/>
        <v/>
      </c>
      <c r="W691" s="17"/>
      <c r="X691" s="7"/>
      <c r="Y691" s="161"/>
      <c r="Z691" s="7"/>
      <c r="AA691" s="117"/>
      <c r="AB691" s="117"/>
      <c r="AC691" s="117"/>
      <c r="CH691" s="2"/>
    </row>
    <row r="692" spans="1:86" x14ac:dyDescent="0.3">
      <c r="A692" s="2">
        <v>1018</v>
      </c>
      <c r="B692" s="2" t="s">
        <v>0</v>
      </c>
      <c r="C692" s="2" t="s">
        <v>1</v>
      </c>
      <c r="D692" s="2" t="s">
        <v>1140</v>
      </c>
      <c r="E692" s="2">
        <v>560</v>
      </c>
      <c r="F692" s="2">
        <v>3.3000000000000002E-2</v>
      </c>
      <c r="G692" s="2">
        <v>2.12E-2</v>
      </c>
      <c r="H692" s="4">
        <f t="shared" si="65"/>
        <v>0.3575757575757576</v>
      </c>
      <c r="I692" s="2" t="s">
        <v>98</v>
      </c>
      <c r="J692" s="2" t="s">
        <v>1141</v>
      </c>
      <c r="K692" s="2" t="s">
        <v>413</v>
      </c>
      <c r="L692" s="2" t="s">
        <v>76</v>
      </c>
      <c r="M692" s="155"/>
      <c r="N692" s="155"/>
      <c r="O692" s="2">
        <v>16</v>
      </c>
      <c r="P692" s="6">
        <v>13</v>
      </c>
      <c r="Q692" s="131">
        <f t="shared" si="66"/>
        <v>63.296703296703299</v>
      </c>
      <c r="R692" s="33">
        <f t="shared" si="70"/>
        <v>13</v>
      </c>
      <c r="S692" s="132">
        <f t="shared" si="67"/>
        <v>1.625</v>
      </c>
      <c r="T692" s="132">
        <f t="shared" si="68"/>
        <v>1.625</v>
      </c>
      <c r="V692" s="131" t="str">
        <f t="shared" si="69"/>
        <v/>
      </c>
      <c r="W692" s="17"/>
      <c r="X692" s="7"/>
      <c r="Y692" s="161"/>
      <c r="Z692" s="7"/>
      <c r="AA692" s="117"/>
      <c r="AB692" s="117"/>
      <c r="AC692" s="117"/>
      <c r="CH692" s="2"/>
    </row>
    <row r="693" spans="1:86" x14ac:dyDescent="0.3">
      <c r="A693" s="2">
        <v>1020</v>
      </c>
      <c r="B693" s="2" t="s">
        <v>84</v>
      </c>
      <c r="C693" s="2" t="s">
        <v>1</v>
      </c>
      <c r="D693" s="2" t="s">
        <v>1142</v>
      </c>
      <c r="E693" s="2">
        <v>1600</v>
      </c>
      <c r="F693" s="2">
        <v>1.8100000000000002E-2</v>
      </c>
      <c r="G693" s="2">
        <v>1.72E-2</v>
      </c>
      <c r="H693" s="4">
        <f t="shared" si="65"/>
        <v>4.9723756906077429E-2</v>
      </c>
      <c r="I693" s="2" t="s">
        <v>82</v>
      </c>
      <c r="J693" s="2" t="s">
        <v>743</v>
      </c>
      <c r="K693" s="2" t="s">
        <v>105</v>
      </c>
      <c r="L693" s="2" t="s">
        <v>76</v>
      </c>
      <c r="M693" s="155"/>
      <c r="N693" s="155"/>
      <c r="O693" s="2">
        <v>7</v>
      </c>
      <c r="P693" s="6">
        <v>8</v>
      </c>
      <c r="Q693" s="131">
        <f t="shared" si="66"/>
        <v>15.75</v>
      </c>
      <c r="R693" s="33">
        <f t="shared" si="70"/>
        <v>8</v>
      </c>
      <c r="S693" s="132">
        <f t="shared" si="67"/>
        <v>1</v>
      </c>
      <c r="T693" s="132">
        <f t="shared" si="68"/>
        <v>1</v>
      </c>
      <c r="V693" s="131" t="str">
        <f t="shared" si="69"/>
        <v/>
      </c>
      <c r="W693" s="17"/>
      <c r="X693" s="7"/>
      <c r="Y693" s="161"/>
      <c r="Z693" s="7"/>
      <c r="AA693" s="117"/>
      <c r="AB693" s="117"/>
      <c r="AC693" s="117"/>
      <c r="CH693" s="2"/>
    </row>
    <row r="694" spans="1:86" x14ac:dyDescent="0.3">
      <c r="A694" s="2">
        <v>1029</v>
      </c>
      <c r="B694" s="2" t="s">
        <v>0</v>
      </c>
      <c r="C694" s="2" t="s">
        <v>1</v>
      </c>
      <c r="D694" s="2" t="s">
        <v>1143</v>
      </c>
      <c r="E694" s="2">
        <v>560</v>
      </c>
      <c r="F694" s="2">
        <v>2.3400000000000001E-2</v>
      </c>
      <c r="G694" s="2">
        <v>1.7999999999999999E-2</v>
      </c>
      <c r="H694" s="4">
        <f t="shared" si="65"/>
        <v>0.23076923076923084</v>
      </c>
      <c r="I694" s="2" t="s">
        <v>82</v>
      </c>
      <c r="J694" s="2" t="s">
        <v>1017</v>
      </c>
      <c r="K694" s="2" t="s">
        <v>413</v>
      </c>
      <c r="L694" s="2" t="s">
        <v>76</v>
      </c>
      <c r="M694" s="155"/>
      <c r="N694" s="155"/>
      <c r="O694" s="2">
        <v>16</v>
      </c>
      <c r="P694" s="6">
        <v>13</v>
      </c>
      <c r="Q694" s="131">
        <f t="shared" si="66"/>
        <v>63.296703296703299</v>
      </c>
      <c r="R694" s="33">
        <f t="shared" si="70"/>
        <v>13</v>
      </c>
      <c r="S694" s="132">
        <f t="shared" si="67"/>
        <v>1.625</v>
      </c>
      <c r="T694" s="132">
        <f t="shared" si="68"/>
        <v>1.625</v>
      </c>
      <c r="V694" s="131" t="str">
        <f t="shared" si="69"/>
        <v/>
      </c>
      <c r="W694" s="17"/>
      <c r="X694" s="7"/>
      <c r="Y694" s="161"/>
      <c r="Z694" s="7"/>
      <c r="AA694" s="117"/>
      <c r="AB694" s="117"/>
      <c r="AC694" s="117"/>
      <c r="CH694" s="2"/>
    </row>
    <row r="695" spans="1:86" x14ac:dyDescent="0.3">
      <c r="A695" s="2">
        <v>1034</v>
      </c>
      <c r="B695" s="2" t="s">
        <v>0</v>
      </c>
      <c r="C695" s="2" t="s">
        <v>1</v>
      </c>
      <c r="D695" s="2" t="s">
        <v>1144</v>
      </c>
      <c r="E695" s="2">
        <v>500</v>
      </c>
      <c r="F695" s="2">
        <v>2.4799999999999999E-2</v>
      </c>
      <c r="G695" s="2">
        <v>9.7999999999999997E-3</v>
      </c>
      <c r="H695" s="4">
        <f t="shared" si="65"/>
        <v>0.60483870967741937</v>
      </c>
      <c r="I695" s="2" t="s">
        <v>98</v>
      </c>
      <c r="J695" s="2" t="s">
        <v>755</v>
      </c>
      <c r="K695" s="2" t="s">
        <v>163</v>
      </c>
      <c r="L695" s="2" t="s">
        <v>6</v>
      </c>
      <c r="M695" s="155"/>
      <c r="N695" s="155"/>
      <c r="O695" s="2">
        <v>4</v>
      </c>
      <c r="P695" s="6">
        <v>5</v>
      </c>
      <c r="Q695" s="131">
        <f t="shared" si="66"/>
        <v>46.08</v>
      </c>
      <c r="R695" s="33">
        <f t="shared" si="70"/>
        <v>5</v>
      </c>
      <c r="S695" s="132">
        <f t="shared" si="67"/>
        <v>0.625</v>
      </c>
      <c r="T695" s="132">
        <f t="shared" si="68"/>
        <v>0.625</v>
      </c>
      <c r="V695" s="131" t="str">
        <f t="shared" si="69"/>
        <v/>
      </c>
      <c r="W695" s="17"/>
      <c r="X695" s="7"/>
      <c r="Y695" s="161"/>
      <c r="Z695" s="7"/>
      <c r="AA695" s="117"/>
      <c r="AB695" s="117"/>
      <c r="AC695" s="117"/>
      <c r="CH695" s="2"/>
    </row>
    <row r="696" spans="1:86" x14ac:dyDescent="0.3">
      <c r="A696" s="23">
        <v>1036</v>
      </c>
      <c r="B696" s="2" t="s">
        <v>0</v>
      </c>
      <c r="C696" s="2" t="s">
        <v>1</v>
      </c>
      <c r="D696" s="2" t="s">
        <v>1145</v>
      </c>
      <c r="E696" s="2">
        <v>1400</v>
      </c>
      <c r="F696" s="2">
        <v>1.0200000000000001E-2</v>
      </c>
      <c r="G696" s="2">
        <v>6.4999999999999997E-3</v>
      </c>
      <c r="H696" s="4">
        <f t="shared" si="65"/>
        <v>0.36274509803921579</v>
      </c>
      <c r="I696" s="2" t="s">
        <v>82</v>
      </c>
      <c r="J696" s="2" t="s">
        <v>1146</v>
      </c>
      <c r="K696" s="2" t="s">
        <v>95</v>
      </c>
      <c r="L696" s="2" t="s">
        <v>96</v>
      </c>
      <c r="M696" s="155"/>
      <c r="N696" s="155"/>
      <c r="O696" s="2">
        <v>20</v>
      </c>
      <c r="P696" s="6">
        <v>16</v>
      </c>
      <c r="Q696" s="131">
        <f t="shared" si="66"/>
        <v>25.714285714285715</v>
      </c>
      <c r="R696" s="33">
        <f t="shared" si="70"/>
        <v>16</v>
      </c>
      <c r="S696" s="132">
        <f t="shared" si="67"/>
        <v>2</v>
      </c>
      <c r="T696" s="132">
        <f t="shared" si="68"/>
        <v>2</v>
      </c>
      <c r="V696" s="131">
        <f t="shared" si="69"/>
        <v>13.144682793245094</v>
      </c>
      <c r="W696" s="17">
        <v>31.3</v>
      </c>
      <c r="X696" s="8">
        <f>60*60*8/W696</f>
        <v>920.12779552715654</v>
      </c>
      <c r="Y696" s="161">
        <v>45512</v>
      </c>
      <c r="Z696" s="7" t="s">
        <v>7</v>
      </c>
      <c r="AA696" s="117"/>
      <c r="AB696" s="117"/>
      <c r="AC696" s="117"/>
      <c r="AD696" s="24">
        <v>45512</v>
      </c>
      <c r="AE696">
        <v>8</v>
      </c>
      <c r="AF696">
        <v>4.7</v>
      </c>
      <c r="AG696">
        <v>2.6</v>
      </c>
      <c r="AI696">
        <v>0.8</v>
      </c>
      <c r="AJ696">
        <v>1.2</v>
      </c>
      <c r="AK696">
        <v>8</v>
      </c>
      <c r="AL696">
        <v>7.5</v>
      </c>
      <c r="AN696">
        <v>12</v>
      </c>
      <c r="AP696">
        <v>0.5</v>
      </c>
      <c r="AS696">
        <v>35.1</v>
      </c>
      <c r="AT696">
        <v>6.5</v>
      </c>
      <c r="AU696">
        <v>16</v>
      </c>
      <c r="AV696">
        <v>120</v>
      </c>
      <c r="AW696">
        <v>134</v>
      </c>
      <c r="AX696">
        <v>9.5</v>
      </c>
      <c r="AY696">
        <v>23.5</v>
      </c>
      <c r="AZ696">
        <v>101</v>
      </c>
      <c r="BA696">
        <v>112</v>
      </c>
      <c r="BB696">
        <v>400</v>
      </c>
      <c r="CH696" s="2"/>
    </row>
    <row r="697" spans="1:86" x14ac:dyDescent="0.3">
      <c r="A697" s="2">
        <v>1038</v>
      </c>
      <c r="B697" s="2" t="s">
        <v>0</v>
      </c>
      <c r="C697" s="2" t="s">
        <v>1</v>
      </c>
      <c r="D697" s="2" t="s">
        <v>1147</v>
      </c>
      <c r="E697" s="2">
        <v>1300</v>
      </c>
      <c r="F697" s="2">
        <v>1.2E-2</v>
      </c>
      <c r="G697" s="2">
        <v>9.9000000000000008E-3</v>
      </c>
      <c r="H697" s="4">
        <f t="shared" si="65"/>
        <v>0.17499999999999996</v>
      </c>
      <c r="I697" s="2" t="s">
        <v>98</v>
      </c>
      <c r="J697" s="2" t="s">
        <v>1148</v>
      </c>
      <c r="K697" s="2" t="s">
        <v>222</v>
      </c>
      <c r="L697" s="2" t="s">
        <v>76</v>
      </c>
      <c r="M697" s="155"/>
      <c r="N697" s="155"/>
      <c r="O697" s="2">
        <v>20</v>
      </c>
      <c r="P697" s="6">
        <v>10</v>
      </c>
      <c r="Q697" s="131">
        <f t="shared" si="66"/>
        <v>44.307692307692307</v>
      </c>
      <c r="R697" s="33">
        <f t="shared" si="70"/>
        <v>10</v>
      </c>
      <c r="S697" s="132">
        <f t="shared" si="67"/>
        <v>1.25</v>
      </c>
      <c r="T697" s="132">
        <f t="shared" si="68"/>
        <v>1.25</v>
      </c>
      <c r="V697" s="131" t="str">
        <f t="shared" si="69"/>
        <v/>
      </c>
      <c r="W697" s="17"/>
      <c r="X697" s="7"/>
      <c r="Y697" s="161"/>
      <c r="Z697" s="7"/>
      <c r="AA697" s="117"/>
      <c r="AB697" s="117"/>
      <c r="AC697" s="117"/>
      <c r="CH697" s="2"/>
    </row>
    <row r="698" spans="1:86" x14ac:dyDescent="0.3">
      <c r="A698" s="2">
        <v>1039</v>
      </c>
      <c r="B698" s="2" t="s">
        <v>84</v>
      </c>
      <c r="C698" s="2" t="s">
        <v>1</v>
      </c>
      <c r="D698" s="2" t="s">
        <v>1149</v>
      </c>
      <c r="E698" s="2">
        <v>1920</v>
      </c>
      <c r="F698" s="2">
        <v>1.2500000000000001E-2</v>
      </c>
      <c r="G698" s="2">
        <v>9.9000000000000008E-3</v>
      </c>
      <c r="H698" s="4">
        <f t="shared" si="65"/>
        <v>0.20799999999999999</v>
      </c>
      <c r="I698" s="2" t="s">
        <v>82</v>
      </c>
      <c r="J698" s="2" t="s">
        <v>743</v>
      </c>
      <c r="K698" s="2" t="s">
        <v>105</v>
      </c>
      <c r="L698" s="2" t="s">
        <v>76</v>
      </c>
      <c r="M698" s="155"/>
      <c r="N698" s="155"/>
      <c r="O698" s="2">
        <v>15</v>
      </c>
      <c r="P698" s="6"/>
      <c r="Q698" s="131" t="str">
        <f t="shared" si="66"/>
        <v/>
      </c>
      <c r="R698" s="33" t="str">
        <f t="shared" si="70"/>
        <v/>
      </c>
      <c r="S698" s="132" t="str">
        <f t="shared" si="67"/>
        <v/>
      </c>
      <c r="T698" s="132" t="str">
        <f t="shared" si="68"/>
        <v/>
      </c>
      <c r="V698" s="131" t="str">
        <f t="shared" si="69"/>
        <v/>
      </c>
      <c r="W698" s="17"/>
      <c r="X698" s="7"/>
      <c r="Y698" s="161"/>
      <c r="Z698" s="7"/>
      <c r="AA698" s="117"/>
      <c r="AB698" s="117"/>
      <c r="AC698" s="117"/>
      <c r="CH698" s="2"/>
    </row>
    <row r="699" spans="1:86" x14ac:dyDescent="0.3">
      <c r="A699" s="2">
        <v>1040</v>
      </c>
      <c r="B699" s="2" t="s">
        <v>84</v>
      </c>
      <c r="C699" s="2" t="s">
        <v>1</v>
      </c>
      <c r="D699" s="2" t="s">
        <v>1150</v>
      </c>
      <c r="E699" s="2">
        <v>1440</v>
      </c>
      <c r="F699" s="2">
        <v>1.8499999999999999E-2</v>
      </c>
      <c r="G699" s="2">
        <v>1.52E-2</v>
      </c>
      <c r="H699" s="4">
        <f t="shared" ref="H699:H762" si="71">(F699-G699)/F699</f>
        <v>0.17837837837837833</v>
      </c>
      <c r="I699" s="2" t="s">
        <v>82</v>
      </c>
      <c r="J699" s="2" t="s">
        <v>950</v>
      </c>
      <c r="K699" s="2" t="s">
        <v>222</v>
      </c>
      <c r="L699" s="2" t="s">
        <v>76</v>
      </c>
      <c r="M699" s="155"/>
      <c r="N699" s="155"/>
      <c r="O699" s="2">
        <v>15</v>
      </c>
      <c r="P699" s="6"/>
      <c r="Q699" s="131" t="str">
        <f t="shared" ref="Q699:Q762" si="72">IFERROR(60*60*8*O699/E699/P699,"")</f>
        <v/>
      </c>
      <c r="R699" s="33" t="str">
        <f t="shared" si="70"/>
        <v/>
      </c>
      <c r="S699" s="132" t="str">
        <f t="shared" ref="S699:S762" si="73">IFERROR(R699/8,"")</f>
        <v/>
      </c>
      <c r="T699" s="132" t="str">
        <f t="shared" ref="T699:T728" si="74">IFERROR(IF(R699&gt;2,S699,""),"")</f>
        <v/>
      </c>
      <c r="V699" s="131" t="str">
        <f t="shared" ref="V699:V762" si="75">IF(X699&gt;10,X699*O699/E699,"")</f>
        <v/>
      </c>
      <c r="W699" s="17"/>
      <c r="X699" s="7"/>
      <c r="Y699" s="161"/>
      <c r="Z699" s="7"/>
      <c r="AA699" s="117"/>
      <c r="AB699" s="117"/>
      <c r="AC699" s="117"/>
      <c r="CH699" s="2"/>
    </row>
    <row r="700" spans="1:86" x14ac:dyDescent="0.3">
      <c r="A700" s="2">
        <v>1041</v>
      </c>
      <c r="B700" s="2" t="s">
        <v>84</v>
      </c>
      <c r="C700" s="2" t="s">
        <v>1</v>
      </c>
      <c r="D700" s="2" t="s">
        <v>1151</v>
      </c>
      <c r="E700" s="2">
        <v>1150</v>
      </c>
      <c r="F700" s="2">
        <v>2.7E-2</v>
      </c>
      <c r="G700" s="2">
        <v>1.9599999999999999E-2</v>
      </c>
      <c r="H700" s="4">
        <f t="shared" si="71"/>
        <v>0.27407407407407408</v>
      </c>
      <c r="I700" s="2" t="s">
        <v>82</v>
      </c>
      <c r="J700" s="2" t="s">
        <v>598</v>
      </c>
      <c r="K700" s="2" t="s">
        <v>230</v>
      </c>
      <c r="L700" s="2" t="s">
        <v>76</v>
      </c>
      <c r="M700" s="155"/>
      <c r="N700" s="155"/>
      <c r="O700" s="2">
        <v>7</v>
      </c>
      <c r="P700" s="6"/>
      <c r="Q700" s="131" t="str">
        <f t="shared" si="72"/>
        <v/>
      </c>
      <c r="R700" s="33" t="str">
        <f t="shared" si="70"/>
        <v/>
      </c>
      <c r="S700" s="132" t="str">
        <f t="shared" si="73"/>
        <v/>
      </c>
      <c r="T700" s="132" t="str">
        <f t="shared" si="74"/>
        <v/>
      </c>
      <c r="V700" s="131" t="str">
        <f t="shared" si="75"/>
        <v/>
      </c>
      <c r="W700" s="17"/>
      <c r="X700" s="7"/>
      <c r="Y700" s="161"/>
      <c r="Z700" s="7"/>
      <c r="AA700" s="117"/>
      <c r="AB700" s="117"/>
      <c r="AC700" s="117"/>
      <c r="CH700" s="2"/>
    </row>
    <row r="701" spans="1:86" x14ac:dyDescent="0.3">
      <c r="A701" s="2">
        <v>1042</v>
      </c>
      <c r="B701" s="2" t="s">
        <v>0</v>
      </c>
      <c r="C701" s="2" t="s">
        <v>1</v>
      </c>
      <c r="D701" s="2" t="s">
        <v>1152</v>
      </c>
      <c r="E701" s="2">
        <v>1300</v>
      </c>
      <c r="F701" s="2">
        <v>1.6E-2</v>
      </c>
      <c r="G701" s="2"/>
      <c r="H701" s="4">
        <f t="shared" si="71"/>
        <v>1</v>
      </c>
      <c r="I701" s="2" t="s">
        <v>98</v>
      </c>
      <c r="J701" s="2" t="s">
        <v>1066</v>
      </c>
      <c r="K701" s="2" t="s">
        <v>222</v>
      </c>
      <c r="L701" s="2" t="s">
        <v>76</v>
      </c>
      <c r="M701" s="155"/>
      <c r="N701" s="155"/>
      <c r="O701" s="2">
        <v>20</v>
      </c>
      <c r="P701" s="6">
        <v>10</v>
      </c>
      <c r="Q701" s="131">
        <f t="shared" si="72"/>
        <v>44.307692307692307</v>
      </c>
      <c r="R701" s="33">
        <f t="shared" si="70"/>
        <v>10</v>
      </c>
      <c r="S701" s="132">
        <f t="shared" si="73"/>
        <v>1.25</v>
      </c>
      <c r="T701" s="132">
        <f t="shared" si="74"/>
        <v>1.25</v>
      </c>
      <c r="V701" s="131" t="str">
        <f t="shared" si="75"/>
        <v/>
      </c>
      <c r="W701" s="17"/>
      <c r="X701" s="7"/>
      <c r="Y701" s="161"/>
      <c r="Z701" s="7"/>
      <c r="AA701" s="117"/>
      <c r="AB701" s="117"/>
      <c r="AC701" s="117"/>
      <c r="CH701" s="2"/>
    </row>
    <row r="702" spans="1:86" x14ac:dyDescent="0.3">
      <c r="A702" s="2">
        <v>1043</v>
      </c>
      <c r="B702" s="2" t="s">
        <v>0</v>
      </c>
      <c r="C702" s="2" t="s">
        <v>1</v>
      </c>
      <c r="D702" s="2" t="s">
        <v>1153</v>
      </c>
      <c r="E702" s="2">
        <v>500</v>
      </c>
      <c r="F702" s="2">
        <v>3.0700000000000002E-2</v>
      </c>
      <c r="G702" s="2">
        <v>1.6500000000000001E-2</v>
      </c>
      <c r="H702" s="4">
        <f t="shared" si="71"/>
        <v>0.46254071661237783</v>
      </c>
      <c r="I702" s="2" t="s">
        <v>98</v>
      </c>
      <c r="J702" s="2" t="s">
        <v>938</v>
      </c>
      <c r="K702" s="2" t="s">
        <v>129</v>
      </c>
      <c r="L702" s="2" t="s">
        <v>96</v>
      </c>
      <c r="M702" s="155"/>
      <c r="N702" s="155"/>
      <c r="O702" s="2">
        <v>12</v>
      </c>
      <c r="P702" s="6">
        <v>20</v>
      </c>
      <c r="Q702" s="131">
        <f t="shared" si="72"/>
        <v>34.56</v>
      </c>
      <c r="R702" s="33">
        <f t="shared" si="70"/>
        <v>20</v>
      </c>
      <c r="S702" s="132">
        <f t="shared" si="73"/>
        <v>2.5</v>
      </c>
      <c r="T702" s="132">
        <f t="shared" si="74"/>
        <v>2.5</v>
      </c>
      <c r="V702" s="131" t="str">
        <f t="shared" si="75"/>
        <v/>
      </c>
      <c r="W702" s="17"/>
      <c r="X702" s="7"/>
      <c r="Y702" s="161"/>
      <c r="Z702" s="7"/>
      <c r="AA702" s="117"/>
      <c r="AB702" s="117"/>
      <c r="AC702" s="117"/>
      <c r="CH702" s="2"/>
    </row>
    <row r="703" spans="1:86" x14ac:dyDescent="0.3">
      <c r="A703" s="2">
        <v>1047</v>
      </c>
      <c r="B703" s="2" t="s">
        <v>84</v>
      </c>
      <c r="C703" s="2" t="s">
        <v>1</v>
      </c>
      <c r="D703" s="2" t="s">
        <v>1154</v>
      </c>
      <c r="E703" s="2">
        <v>600</v>
      </c>
      <c r="F703" s="2">
        <v>3.1800000000000002E-2</v>
      </c>
      <c r="G703" s="2">
        <v>2.01E-2</v>
      </c>
      <c r="H703" s="4">
        <f t="shared" si="71"/>
        <v>0.36792452830188682</v>
      </c>
      <c r="I703" s="2" t="s">
        <v>82</v>
      </c>
      <c r="J703" s="2" t="s">
        <v>598</v>
      </c>
      <c r="K703" s="2" t="s">
        <v>105</v>
      </c>
      <c r="L703" s="2" t="s">
        <v>76</v>
      </c>
      <c r="M703" s="155"/>
      <c r="N703" s="155"/>
      <c r="O703" s="2">
        <v>5</v>
      </c>
      <c r="P703" s="6"/>
      <c r="Q703" s="131" t="str">
        <f t="shared" si="72"/>
        <v/>
      </c>
      <c r="R703" s="33" t="str">
        <f t="shared" si="70"/>
        <v/>
      </c>
      <c r="S703" s="132" t="str">
        <f t="shared" si="73"/>
        <v/>
      </c>
      <c r="T703" s="132" t="str">
        <f t="shared" si="74"/>
        <v/>
      </c>
      <c r="V703" s="131" t="str">
        <f t="shared" si="75"/>
        <v/>
      </c>
      <c r="W703" s="17"/>
      <c r="X703" s="7"/>
      <c r="Y703" s="161"/>
      <c r="Z703" s="7"/>
      <c r="AA703" s="117"/>
      <c r="AB703" s="117"/>
      <c r="AC703" s="117"/>
      <c r="CH703" s="2"/>
    </row>
    <row r="704" spans="1:86" x14ac:dyDescent="0.3">
      <c r="A704" s="2">
        <v>1048</v>
      </c>
      <c r="B704" s="2" t="s">
        <v>84</v>
      </c>
      <c r="C704" s="2" t="s">
        <v>1</v>
      </c>
      <c r="D704" s="2" t="s">
        <v>1155</v>
      </c>
      <c r="E704" s="2">
        <v>480</v>
      </c>
      <c r="F704" s="2">
        <v>4.3099999999999999E-2</v>
      </c>
      <c r="G704" s="2">
        <v>2.7799999999999998E-2</v>
      </c>
      <c r="H704" s="4">
        <f t="shared" si="71"/>
        <v>0.35498839907192581</v>
      </c>
      <c r="I704" s="2" t="s">
        <v>82</v>
      </c>
      <c r="J704" s="2" t="s">
        <v>795</v>
      </c>
      <c r="K704" s="2" t="s">
        <v>230</v>
      </c>
      <c r="L704" s="2" t="s">
        <v>76</v>
      </c>
      <c r="M704" s="155"/>
      <c r="N704" s="155"/>
      <c r="O704" s="2">
        <v>5</v>
      </c>
      <c r="P704" s="6"/>
      <c r="Q704" s="131" t="str">
        <f t="shared" si="72"/>
        <v/>
      </c>
      <c r="R704" s="33" t="str">
        <f t="shared" si="70"/>
        <v/>
      </c>
      <c r="S704" s="132" t="str">
        <f t="shared" si="73"/>
        <v/>
      </c>
      <c r="T704" s="132" t="str">
        <f t="shared" si="74"/>
        <v/>
      </c>
      <c r="V704" s="131" t="str">
        <f t="shared" si="75"/>
        <v/>
      </c>
      <c r="W704" s="17"/>
      <c r="X704" s="7"/>
      <c r="Y704" s="161"/>
      <c r="Z704" s="7"/>
      <c r="AA704" s="117"/>
      <c r="AB704" s="117"/>
      <c r="AC704" s="117"/>
      <c r="CH704" s="2"/>
    </row>
    <row r="705" spans="1:86" x14ac:dyDescent="0.3">
      <c r="A705" s="2">
        <v>1050</v>
      </c>
      <c r="B705" s="2" t="s">
        <v>0</v>
      </c>
      <c r="C705" s="2" t="s">
        <v>1</v>
      </c>
      <c r="D705" s="2" t="s">
        <v>1156</v>
      </c>
      <c r="E705" s="2">
        <v>700</v>
      </c>
      <c r="F705" s="2">
        <v>2.3599999999999999E-2</v>
      </c>
      <c r="G705" s="2">
        <v>1.7999999999999999E-2</v>
      </c>
      <c r="H705" s="4">
        <f t="shared" si="71"/>
        <v>0.23728813559322037</v>
      </c>
      <c r="I705" s="2" t="s">
        <v>73</v>
      </c>
      <c r="J705" s="2" t="s">
        <v>1157</v>
      </c>
      <c r="K705" s="2" t="s">
        <v>105</v>
      </c>
      <c r="L705" s="2" t="s">
        <v>76</v>
      </c>
      <c r="M705" s="155"/>
      <c r="N705" s="155"/>
      <c r="O705" s="2">
        <v>24</v>
      </c>
      <c r="P705" s="6">
        <v>14</v>
      </c>
      <c r="Q705" s="131">
        <f t="shared" si="72"/>
        <v>70.530612244897966</v>
      </c>
      <c r="R705" s="33">
        <f t="shared" si="70"/>
        <v>13.999999999999998</v>
      </c>
      <c r="S705" s="132">
        <f t="shared" si="73"/>
        <v>1.7499999999999998</v>
      </c>
      <c r="T705" s="132">
        <f t="shared" si="74"/>
        <v>1.7499999999999998</v>
      </c>
      <c r="V705" s="131" t="str">
        <f t="shared" si="75"/>
        <v/>
      </c>
      <c r="W705" s="17"/>
      <c r="X705" s="7"/>
      <c r="Y705" s="161"/>
      <c r="Z705" s="7"/>
      <c r="AA705" s="117"/>
      <c r="AB705" s="117"/>
      <c r="AC705" s="117"/>
      <c r="CH705" s="2"/>
    </row>
    <row r="706" spans="1:86" x14ac:dyDescent="0.3">
      <c r="A706" s="2">
        <v>1054</v>
      </c>
      <c r="B706" s="2" t="s">
        <v>0</v>
      </c>
      <c r="C706" s="2" t="s">
        <v>1</v>
      </c>
      <c r="D706" s="2" t="s">
        <v>1158</v>
      </c>
      <c r="E706" s="2">
        <v>450</v>
      </c>
      <c r="F706" s="2">
        <v>1.6199999999999999E-2</v>
      </c>
      <c r="G706" s="2">
        <v>1.2200000000000001E-2</v>
      </c>
      <c r="H706" s="4">
        <f t="shared" si="71"/>
        <v>0.24691358024691348</v>
      </c>
      <c r="I706" s="2" t="s">
        <v>98</v>
      </c>
      <c r="J706" s="2" t="s">
        <v>1159</v>
      </c>
      <c r="K706" s="2" t="s">
        <v>222</v>
      </c>
      <c r="L706" s="2" t="s">
        <v>76</v>
      </c>
      <c r="M706" s="155"/>
      <c r="N706" s="155"/>
      <c r="O706" s="2">
        <v>15</v>
      </c>
      <c r="P706" s="6">
        <v>14</v>
      </c>
      <c r="Q706" s="131">
        <f t="shared" si="72"/>
        <v>68.571428571428569</v>
      </c>
      <c r="R706" s="33">
        <f t="shared" ref="R706:R769" si="76">IFERROR(60*60*8*O706/E706/Q706,"")</f>
        <v>14</v>
      </c>
      <c r="S706" s="132">
        <f t="shared" si="73"/>
        <v>1.75</v>
      </c>
      <c r="T706" s="132">
        <f t="shared" si="74"/>
        <v>1.75</v>
      </c>
      <c r="V706" s="131" t="str">
        <f t="shared" si="75"/>
        <v/>
      </c>
      <c r="W706" s="17"/>
      <c r="X706" s="7"/>
      <c r="Y706" s="161"/>
      <c r="Z706" s="7"/>
      <c r="AA706" s="117"/>
      <c r="AB706" s="117"/>
      <c r="AC706" s="117"/>
      <c r="CH706" s="2"/>
    </row>
    <row r="707" spans="1:86" x14ac:dyDescent="0.3">
      <c r="A707" s="2">
        <v>1055</v>
      </c>
      <c r="B707" s="2" t="s">
        <v>0</v>
      </c>
      <c r="C707" s="2" t="s">
        <v>1</v>
      </c>
      <c r="D707" s="2" t="s">
        <v>1160</v>
      </c>
      <c r="E707" s="2">
        <v>1000</v>
      </c>
      <c r="F707" s="2">
        <v>9.7000000000000003E-3</v>
      </c>
      <c r="G707" s="2">
        <v>6.7000000000000002E-3</v>
      </c>
      <c r="H707" s="4">
        <f t="shared" si="71"/>
        <v>0.30927835051546393</v>
      </c>
      <c r="I707" s="2" t="s">
        <v>98</v>
      </c>
      <c r="J707" s="2" t="s">
        <v>499</v>
      </c>
      <c r="K707" s="2" t="s">
        <v>95</v>
      </c>
      <c r="L707" s="2" t="s">
        <v>96</v>
      </c>
      <c r="M707" s="155"/>
      <c r="N707" s="155"/>
      <c r="O707" s="2">
        <v>24</v>
      </c>
      <c r="P707" s="6">
        <v>13</v>
      </c>
      <c r="Q707" s="131">
        <f t="shared" si="72"/>
        <v>53.169230769230772</v>
      </c>
      <c r="R707" s="33">
        <f t="shared" si="76"/>
        <v>13</v>
      </c>
      <c r="S707" s="132">
        <f t="shared" si="73"/>
        <v>1.625</v>
      </c>
      <c r="T707" s="132">
        <f t="shared" si="74"/>
        <v>1.625</v>
      </c>
      <c r="V707" s="131" t="str">
        <f t="shared" si="75"/>
        <v/>
      </c>
      <c r="W707" s="17"/>
      <c r="X707" s="7"/>
      <c r="Y707" s="161"/>
      <c r="Z707" s="7"/>
      <c r="AA707" s="117"/>
      <c r="AB707" s="117"/>
      <c r="AC707" s="117"/>
      <c r="CH707" s="2"/>
    </row>
    <row r="708" spans="1:86" x14ac:dyDescent="0.3">
      <c r="A708" s="23">
        <v>1058</v>
      </c>
      <c r="B708" s="2" t="s">
        <v>0</v>
      </c>
      <c r="C708" s="2" t="s">
        <v>1</v>
      </c>
      <c r="D708" s="2" t="s">
        <v>1161</v>
      </c>
      <c r="E708" s="2">
        <v>1000</v>
      </c>
      <c r="F708" s="2">
        <v>1.6799999999999999E-2</v>
      </c>
      <c r="G708" s="2">
        <v>1.29E-2</v>
      </c>
      <c r="H708" s="4">
        <f t="shared" si="71"/>
        <v>0.2321428571428571</v>
      </c>
      <c r="I708" s="2" t="s">
        <v>82</v>
      </c>
      <c r="J708" s="2" t="s">
        <v>579</v>
      </c>
      <c r="K708" s="2" t="s">
        <v>5</v>
      </c>
      <c r="L708" s="2" t="s">
        <v>6</v>
      </c>
      <c r="M708" s="155">
        <v>4</v>
      </c>
      <c r="N708" s="155">
        <v>250</v>
      </c>
      <c r="O708" s="2">
        <v>16</v>
      </c>
      <c r="P708" s="6">
        <v>9.6</v>
      </c>
      <c r="Q708" s="131">
        <f>IFERROR(60*60*8*O708/E708/P708,"")</f>
        <v>48</v>
      </c>
      <c r="R708" s="33">
        <f>IFERROR(60*60*8*O708/E708/Q708,"")</f>
        <v>9.6</v>
      </c>
      <c r="S708" s="132">
        <f>IFERROR(R708/8,"")</f>
        <v>1.2</v>
      </c>
      <c r="T708" s="132">
        <f t="shared" si="74"/>
        <v>1.2</v>
      </c>
      <c r="V708" s="131">
        <f t="shared" si="75"/>
        <v>7.7315436241610733</v>
      </c>
      <c r="W708" s="17">
        <v>59.6</v>
      </c>
      <c r="X708" s="8">
        <f>60*60*8/W708</f>
        <v>483.22147651006708</v>
      </c>
      <c r="Y708" s="161">
        <v>45600</v>
      </c>
      <c r="Z708" s="7" t="s">
        <v>7</v>
      </c>
      <c r="AA708" s="117"/>
      <c r="AB708" s="117"/>
      <c r="AC708" s="117"/>
      <c r="CH708" s="2"/>
    </row>
    <row r="709" spans="1:86" x14ac:dyDescent="0.3">
      <c r="A709" s="2">
        <v>1059</v>
      </c>
      <c r="B709" s="2" t="s">
        <v>0</v>
      </c>
      <c r="C709" s="2" t="s">
        <v>1</v>
      </c>
      <c r="D709" s="2" t="s">
        <v>1162</v>
      </c>
      <c r="E709" s="2">
        <v>1000</v>
      </c>
      <c r="F709" s="2">
        <v>1.6199999999999999E-2</v>
      </c>
      <c r="G709" s="2">
        <v>1.2999999999999999E-2</v>
      </c>
      <c r="H709" s="4">
        <f t="shared" si="71"/>
        <v>0.19753086419753085</v>
      </c>
      <c r="I709" s="2" t="s">
        <v>98</v>
      </c>
      <c r="J709" s="2" t="s">
        <v>1163</v>
      </c>
      <c r="K709" s="2" t="s">
        <v>5</v>
      </c>
      <c r="L709" s="2" t="s">
        <v>6</v>
      </c>
      <c r="M709" s="155"/>
      <c r="N709" s="155"/>
      <c r="O709" s="2">
        <v>20</v>
      </c>
      <c r="P709" s="6">
        <v>18</v>
      </c>
      <c r="Q709" s="131">
        <f t="shared" si="72"/>
        <v>32</v>
      </c>
      <c r="R709" s="33">
        <f t="shared" si="76"/>
        <v>18</v>
      </c>
      <c r="S709" s="132">
        <f t="shared" si="73"/>
        <v>2.25</v>
      </c>
      <c r="T709" s="132">
        <f t="shared" si="74"/>
        <v>2.25</v>
      </c>
      <c r="V709" s="131" t="str">
        <f t="shared" si="75"/>
        <v/>
      </c>
      <c r="W709" s="17"/>
      <c r="X709" s="7"/>
      <c r="Y709" s="161"/>
      <c r="Z709" s="7"/>
      <c r="AA709" s="117"/>
      <c r="AB709" s="117"/>
      <c r="AC709" s="117"/>
      <c r="CH709" s="2"/>
    </row>
    <row r="710" spans="1:86" x14ac:dyDescent="0.3">
      <c r="A710" s="2">
        <v>1060</v>
      </c>
      <c r="B710" s="2" t="s">
        <v>0</v>
      </c>
      <c r="C710" s="2" t="s">
        <v>1</v>
      </c>
      <c r="D710" s="2" t="s">
        <v>1164</v>
      </c>
      <c r="E710" s="2">
        <v>400</v>
      </c>
      <c r="F710" s="2">
        <v>3.7900000000000003E-2</v>
      </c>
      <c r="G710" s="2">
        <v>2.9000000000000001E-2</v>
      </c>
      <c r="H710" s="4">
        <f t="shared" si="71"/>
        <v>0.23482849604221639</v>
      </c>
      <c r="I710" s="2" t="s">
        <v>73</v>
      </c>
      <c r="J710" s="2" t="s">
        <v>1165</v>
      </c>
      <c r="K710" s="2" t="s">
        <v>105</v>
      </c>
      <c r="L710" s="2" t="s">
        <v>76</v>
      </c>
      <c r="M710" s="155"/>
      <c r="N710" s="155"/>
      <c r="O710" s="2">
        <v>12</v>
      </c>
      <c r="P710" s="6">
        <v>23</v>
      </c>
      <c r="Q710" s="131">
        <f t="shared" si="72"/>
        <v>37.565217391304351</v>
      </c>
      <c r="R710" s="33">
        <f t="shared" si="76"/>
        <v>22.999999999999996</v>
      </c>
      <c r="S710" s="132">
        <f t="shared" si="73"/>
        <v>2.8749999999999996</v>
      </c>
      <c r="T710" s="132">
        <f t="shared" si="74"/>
        <v>2.8749999999999996</v>
      </c>
      <c r="V710" s="131" t="str">
        <f t="shared" si="75"/>
        <v/>
      </c>
      <c r="W710" s="17"/>
      <c r="X710" s="7"/>
      <c r="Y710" s="161"/>
      <c r="Z710" s="7"/>
      <c r="AA710" s="117"/>
      <c r="AB710" s="117"/>
      <c r="AC710" s="117"/>
      <c r="CH710" s="2"/>
    </row>
    <row r="711" spans="1:86" x14ac:dyDescent="0.3">
      <c r="A711" s="2">
        <v>1061</v>
      </c>
      <c r="B711" s="2" t="s">
        <v>0</v>
      </c>
      <c r="C711" s="2" t="s">
        <v>1</v>
      </c>
      <c r="D711" s="2" t="s">
        <v>1166</v>
      </c>
      <c r="E711" s="2">
        <v>1000</v>
      </c>
      <c r="F711" s="2">
        <v>1.29E-2</v>
      </c>
      <c r="G711" s="2"/>
      <c r="H711" s="4">
        <f t="shared" si="71"/>
        <v>1</v>
      </c>
      <c r="I711" s="2" t="s">
        <v>98</v>
      </c>
      <c r="J711" s="2" t="s">
        <v>229</v>
      </c>
      <c r="K711" s="2" t="s">
        <v>5</v>
      </c>
      <c r="L711" s="2" t="s">
        <v>6</v>
      </c>
      <c r="M711" s="155"/>
      <c r="N711" s="155"/>
      <c r="O711" s="2">
        <v>20</v>
      </c>
      <c r="P711" s="6">
        <v>18</v>
      </c>
      <c r="Q711" s="131">
        <f t="shared" si="72"/>
        <v>32</v>
      </c>
      <c r="R711" s="33">
        <f t="shared" si="76"/>
        <v>18</v>
      </c>
      <c r="S711" s="132">
        <f t="shared" si="73"/>
        <v>2.25</v>
      </c>
      <c r="T711" s="132">
        <f t="shared" si="74"/>
        <v>2.25</v>
      </c>
      <c r="V711" s="131" t="str">
        <f t="shared" si="75"/>
        <v/>
      </c>
      <c r="W711" s="17"/>
      <c r="X711" s="7"/>
      <c r="Y711" s="161"/>
      <c r="Z711" s="7"/>
      <c r="AA711" s="117"/>
      <c r="AB711" s="117"/>
      <c r="AC711" s="117"/>
      <c r="CH711" s="2"/>
    </row>
    <row r="712" spans="1:86" x14ac:dyDescent="0.3">
      <c r="A712" s="2">
        <v>1063</v>
      </c>
      <c r="B712" s="2" t="s">
        <v>0</v>
      </c>
      <c r="C712" s="2" t="s">
        <v>1</v>
      </c>
      <c r="D712" s="2" t="s">
        <v>1167</v>
      </c>
      <c r="E712" s="2">
        <v>1000</v>
      </c>
      <c r="F712" s="2">
        <v>1.6199999999999999E-2</v>
      </c>
      <c r="G712" s="2">
        <v>1.2999999999999999E-2</v>
      </c>
      <c r="H712" s="4">
        <f t="shared" si="71"/>
        <v>0.19753086419753085</v>
      </c>
      <c r="I712" s="2" t="s">
        <v>98</v>
      </c>
      <c r="J712" s="2" t="s">
        <v>1163</v>
      </c>
      <c r="K712" s="2" t="s">
        <v>5</v>
      </c>
      <c r="L712" s="2" t="s">
        <v>6</v>
      </c>
      <c r="M712" s="155"/>
      <c r="N712" s="155"/>
      <c r="O712" s="2">
        <v>20</v>
      </c>
      <c r="P712" s="6">
        <v>18</v>
      </c>
      <c r="Q712" s="131">
        <f t="shared" si="72"/>
        <v>32</v>
      </c>
      <c r="R712" s="33">
        <f t="shared" si="76"/>
        <v>18</v>
      </c>
      <c r="S712" s="132">
        <f t="shared" si="73"/>
        <v>2.25</v>
      </c>
      <c r="T712" s="132">
        <f t="shared" si="74"/>
        <v>2.25</v>
      </c>
      <c r="V712" s="131" t="str">
        <f t="shared" si="75"/>
        <v/>
      </c>
      <c r="W712" s="17"/>
      <c r="X712" s="7"/>
      <c r="Y712" s="161"/>
      <c r="Z712" s="7"/>
      <c r="AA712" s="117"/>
      <c r="AB712" s="117"/>
      <c r="AC712" s="117"/>
      <c r="CH712" s="2"/>
    </row>
    <row r="713" spans="1:86" x14ac:dyDescent="0.3">
      <c r="A713" s="2">
        <v>1064</v>
      </c>
      <c r="B713" s="23" t="s">
        <v>0</v>
      </c>
      <c r="C713" s="2" t="s">
        <v>1</v>
      </c>
      <c r="D713" s="2" t="s">
        <v>1168</v>
      </c>
      <c r="E713" s="2">
        <v>180</v>
      </c>
      <c r="F713" s="2">
        <v>5.0200000000000002E-2</v>
      </c>
      <c r="G713" s="2">
        <v>4.4200000000000003E-2</v>
      </c>
      <c r="H713" s="4">
        <f t="shared" si="71"/>
        <v>0.11952191235059757</v>
      </c>
      <c r="I713" s="2" t="s">
        <v>98</v>
      </c>
      <c r="J713" s="2" t="s">
        <v>947</v>
      </c>
      <c r="K713" s="2" t="s">
        <v>222</v>
      </c>
      <c r="L713" s="2" t="s">
        <v>76</v>
      </c>
      <c r="M713" s="155"/>
      <c r="N713" s="155"/>
      <c r="O713" s="2">
        <v>6</v>
      </c>
      <c r="P713" s="6">
        <v>14</v>
      </c>
      <c r="Q713" s="131">
        <f t="shared" si="72"/>
        <v>68.571428571428569</v>
      </c>
      <c r="R713" s="33">
        <f t="shared" si="76"/>
        <v>14</v>
      </c>
      <c r="S713" s="132">
        <f t="shared" si="73"/>
        <v>1.75</v>
      </c>
      <c r="T713" s="132">
        <f t="shared" si="74"/>
        <v>1.75</v>
      </c>
      <c r="V713" s="131">
        <f t="shared" si="75"/>
        <v>21.333333333333332</v>
      </c>
      <c r="W713" s="17">
        <v>45</v>
      </c>
      <c r="X713" s="8">
        <f>60*60*8/W713</f>
        <v>640</v>
      </c>
      <c r="Y713" s="161">
        <v>45628</v>
      </c>
      <c r="Z713" s="7" t="s">
        <v>7</v>
      </c>
      <c r="AA713" s="117"/>
      <c r="AB713" s="117"/>
      <c r="AC713" s="117"/>
      <c r="CH713" s="2"/>
    </row>
    <row r="714" spans="1:86" x14ac:dyDescent="0.3">
      <c r="A714" s="2">
        <v>1065</v>
      </c>
      <c r="B714" s="2" t="s">
        <v>0</v>
      </c>
      <c r="C714" s="2" t="s">
        <v>1</v>
      </c>
      <c r="D714" s="2" t="s">
        <v>1169</v>
      </c>
      <c r="E714" s="2">
        <v>320</v>
      </c>
      <c r="F714" s="2">
        <v>3.7600000000000001E-2</v>
      </c>
      <c r="G714" s="2">
        <v>3.2000000000000001E-2</v>
      </c>
      <c r="H714" s="4">
        <f t="shared" si="71"/>
        <v>0.14893617021276598</v>
      </c>
      <c r="I714" s="2" t="s">
        <v>98</v>
      </c>
      <c r="J714" s="2" t="s">
        <v>755</v>
      </c>
      <c r="K714" s="2" t="s">
        <v>222</v>
      </c>
      <c r="L714" s="2" t="s">
        <v>76</v>
      </c>
      <c r="M714" s="155"/>
      <c r="N714" s="155"/>
      <c r="O714" s="2">
        <v>6</v>
      </c>
      <c r="P714" s="6">
        <v>25</v>
      </c>
      <c r="Q714" s="131">
        <f t="shared" si="72"/>
        <v>21.6</v>
      </c>
      <c r="R714" s="33">
        <f t="shared" si="76"/>
        <v>25</v>
      </c>
      <c r="S714" s="132">
        <f t="shared" si="73"/>
        <v>3.125</v>
      </c>
      <c r="T714" s="132">
        <f t="shared" si="74"/>
        <v>3.125</v>
      </c>
      <c r="V714" s="131" t="str">
        <f t="shared" si="75"/>
        <v/>
      </c>
      <c r="W714" s="17"/>
      <c r="X714" s="7"/>
      <c r="Y714" s="161"/>
      <c r="Z714" s="7"/>
      <c r="AA714" s="117"/>
      <c r="AB714" s="117"/>
      <c r="AC714" s="117"/>
      <c r="CH714" s="2"/>
    </row>
    <row r="715" spans="1:86" x14ac:dyDescent="0.3">
      <c r="A715" s="2">
        <v>1066</v>
      </c>
      <c r="B715" s="2" t="s">
        <v>0</v>
      </c>
      <c r="C715" s="2" t="s">
        <v>1</v>
      </c>
      <c r="D715" s="2" t="s">
        <v>1170</v>
      </c>
      <c r="E715" s="2">
        <v>320</v>
      </c>
      <c r="F715" s="2">
        <v>3.7600000000000001E-2</v>
      </c>
      <c r="G715" s="2">
        <v>3.2000000000000001E-2</v>
      </c>
      <c r="H715" s="4">
        <f t="shared" si="71"/>
        <v>0.14893617021276598</v>
      </c>
      <c r="I715" s="2" t="s">
        <v>98</v>
      </c>
      <c r="J715" s="2" t="s">
        <v>755</v>
      </c>
      <c r="K715" s="2" t="s">
        <v>222</v>
      </c>
      <c r="L715" s="2" t="s">
        <v>76</v>
      </c>
      <c r="M715" s="155"/>
      <c r="N715" s="155"/>
      <c r="O715" s="2">
        <v>6</v>
      </c>
      <c r="P715" s="6">
        <v>25</v>
      </c>
      <c r="Q715" s="131">
        <f t="shared" si="72"/>
        <v>21.6</v>
      </c>
      <c r="R715" s="33">
        <f t="shared" si="76"/>
        <v>25</v>
      </c>
      <c r="S715" s="132">
        <f t="shared" si="73"/>
        <v>3.125</v>
      </c>
      <c r="T715" s="132">
        <f t="shared" si="74"/>
        <v>3.125</v>
      </c>
      <c r="V715" s="131" t="str">
        <f t="shared" si="75"/>
        <v/>
      </c>
      <c r="W715" s="17"/>
      <c r="X715" s="7"/>
      <c r="Y715" s="161"/>
      <c r="Z715" s="7"/>
      <c r="AA715" s="117"/>
      <c r="AB715" s="117"/>
      <c r="AC715" s="117"/>
      <c r="CH715" s="2"/>
    </row>
    <row r="716" spans="1:86" x14ac:dyDescent="0.3">
      <c r="A716" s="23">
        <v>1089</v>
      </c>
      <c r="B716" s="2" t="s">
        <v>0</v>
      </c>
      <c r="C716" s="2" t="s">
        <v>1</v>
      </c>
      <c r="D716" s="2" t="s">
        <v>1171</v>
      </c>
      <c r="E716" s="2">
        <v>360</v>
      </c>
      <c r="F716" s="2">
        <v>2.8400000000000002E-2</v>
      </c>
      <c r="G716" s="2">
        <v>1.52E-2</v>
      </c>
      <c r="H716" s="4">
        <f t="shared" si="71"/>
        <v>0.46478873239436624</v>
      </c>
      <c r="I716" s="2" t="s">
        <v>98</v>
      </c>
      <c r="J716" s="2" t="s">
        <v>1172</v>
      </c>
      <c r="K716" s="2" t="s">
        <v>261</v>
      </c>
      <c r="L716" s="2" t="s">
        <v>76</v>
      </c>
      <c r="M716" s="155"/>
      <c r="N716" s="155"/>
      <c r="O716" s="2">
        <v>10</v>
      </c>
      <c r="P716" s="6">
        <v>28</v>
      </c>
      <c r="Q716" s="131">
        <f t="shared" si="72"/>
        <v>28.571428571428573</v>
      </c>
      <c r="R716" s="33">
        <f t="shared" si="76"/>
        <v>28</v>
      </c>
      <c r="S716" s="132">
        <f t="shared" si="73"/>
        <v>3.5</v>
      </c>
      <c r="T716" s="132">
        <f t="shared" si="74"/>
        <v>3.5</v>
      </c>
      <c r="V716" s="131">
        <f t="shared" si="75"/>
        <v>26.666666666666668</v>
      </c>
      <c r="W716" s="17">
        <v>30</v>
      </c>
      <c r="X716" s="8">
        <f>60*60*8/W716</f>
        <v>960</v>
      </c>
      <c r="Y716" s="161">
        <v>45315</v>
      </c>
      <c r="Z716" s="7" t="s">
        <v>704</v>
      </c>
      <c r="AA716" s="117"/>
      <c r="AB716" s="117"/>
      <c r="AC716" s="117"/>
      <c r="CH716" s="2"/>
    </row>
    <row r="717" spans="1:86" x14ac:dyDescent="0.3">
      <c r="A717" s="2">
        <v>1090</v>
      </c>
      <c r="B717" s="2" t="s">
        <v>0</v>
      </c>
      <c r="C717" s="2" t="s">
        <v>1</v>
      </c>
      <c r="D717" s="2" t="s">
        <v>1173</v>
      </c>
      <c r="E717" s="2">
        <v>360</v>
      </c>
      <c r="F717" s="2">
        <v>3.44E-2</v>
      </c>
      <c r="G717" s="2">
        <v>2.1999999999999999E-2</v>
      </c>
      <c r="H717" s="4">
        <f t="shared" si="71"/>
        <v>0.3604651162790698</v>
      </c>
      <c r="I717" s="2" t="s">
        <v>82</v>
      </c>
      <c r="J717" s="2" t="s">
        <v>888</v>
      </c>
      <c r="K717" s="2" t="s">
        <v>261</v>
      </c>
      <c r="L717" s="2" t="s">
        <v>76</v>
      </c>
      <c r="M717" s="155"/>
      <c r="N717" s="155"/>
      <c r="O717" s="2">
        <v>10</v>
      </c>
      <c r="P717" s="6">
        <v>32</v>
      </c>
      <c r="Q717" s="131">
        <f t="shared" si="72"/>
        <v>25</v>
      </c>
      <c r="R717" s="33">
        <f t="shared" si="76"/>
        <v>32</v>
      </c>
      <c r="S717" s="132">
        <f t="shared" si="73"/>
        <v>4</v>
      </c>
      <c r="T717" s="132">
        <f t="shared" si="74"/>
        <v>4</v>
      </c>
      <c r="V717" s="131" t="str">
        <f t="shared" si="75"/>
        <v/>
      </c>
      <c r="W717" s="17"/>
      <c r="X717" s="7"/>
      <c r="Y717" s="161"/>
      <c r="Z717" s="7"/>
      <c r="AA717" s="117"/>
      <c r="AB717" s="117"/>
      <c r="AC717" s="117"/>
      <c r="CH717" s="2"/>
    </row>
    <row r="718" spans="1:86" x14ac:dyDescent="0.3">
      <c r="A718" s="2">
        <v>1091</v>
      </c>
      <c r="B718" s="2" t="s">
        <v>0</v>
      </c>
      <c r="C718" s="2" t="s">
        <v>1</v>
      </c>
      <c r="D718" s="2" t="s">
        <v>1174</v>
      </c>
      <c r="E718" s="2">
        <v>360</v>
      </c>
      <c r="F718" s="2">
        <v>3.0099999999999998E-2</v>
      </c>
      <c r="G718" s="2">
        <v>1.9E-2</v>
      </c>
      <c r="H718" s="4">
        <f t="shared" si="71"/>
        <v>0.3687707641196013</v>
      </c>
      <c r="I718" s="2" t="s">
        <v>82</v>
      </c>
      <c r="J718" s="2" t="s">
        <v>467</v>
      </c>
      <c r="K718" s="2" t="s">
        <v>261</v>
      </c>
      <c r="L718" s="2" t="s">
        <v>76</v>
      </c>
      <c r="M718" s="155"/>
      <c r="N718" s="155"/>
      <c r="O718" s="2">
        <v>10</v>
      </c>
      <c r="P718" s="6">
        <v>35</v>
      </c>
      <c r="Q718" s="131">
        <f t="shared" si="72"/>
        <v>22.857142857142858</v>
      </c>
      <c r="R718" s="33">
        <f t="shared" si="76"/>
        <v>35</v>
      </c>
      <c r="S718" s="132">
        <f t="shared" si="73"/>
        <v>4.375</v>
      </c>
      <c r="T718" s="132">
        <f t="shared" si="74"/>
        <v>4.375</v>
      </c>
      <c r="V718" s="131" t="str">
        <f t="shared" si="75"/>
        <v/>
      </c>
      <c r="W718" s="17"/>
      <c r="X718" s="7"/>
      <c r="Y718" s="161"/>
      <c r="Z718" s="7"/>
      <c r="AA718" s="117"/>
      <c r="AB718" s="117"/>
      <c r="AC718" s="117"/>
      <c r="CH718" s="2"/>
    </row>
    <row r="719" spans="1:86" x14ac:dyDescent="0.3">
      <c r="A719" s="23">
        <v>1092</v>
      </c>
      <c r="B719" s="2" t="s">
        <v>0</v>
      </c>
      <c r="C719" s="2" t="s">
        <v>1</v>
      </c>
      <c r="D719" s="2" t="s">
        <v>1175</v>
      </c>
      <c r="E719" s="2">
        <v>360</v>
      </c>
      <c r="F719" s="2">
        <v>2.58E-2</v>
      </c>
      <c r="G719" s="2">
        <v>1.6199999999999999E-2</v>
      </c>
      <c r="H719" s="4">
        <f t="shared" si="71"/>
        <v>0.372093023255814</v>
      </c>
      <c r="I719" s="2" t="s">
        <v>82</v>
      </c>
      <c r="J719" s="2" t="s">
        <v>83</v>
      </c>
      <c r="K719" s="2" t="s">
        <v>105</v>
      </c>
      <c r="L719" s="2" t="s">
        <v>76</v>
      </c>
      <c r="M719" s="155"/>
      <c r="N719" s="155"/>
      <c r="O719" s="2">
        <v>10</v>
      </c>
      <c r="P719" s="6">
        <v>38</v>
      </c>
      <c r="Q719" s="131">
        <f t="shared" si="72"/>
        <v>21.05263157894737</v>
      </c>
      <c r="R719" s="33">
        <f t="shared" si="76"/>
        <v>38</v>
      </c>
      <c r="S719" s="132">
        <f t="shared" si="73"/>
        <v>4.75</v>
      </c>
      <c r="T719" s="132">
        <f t="shared" si="74"/>
        <v>4.75</v>
      </c>
      <c r="V719" s="131">
        <f t="shared" si="75"/>
        <v>20.833333333333332</v>
      </c>
      <c r="W719" s="17">
        <v>38.4</v>
      </c>
      <c r="X719" s="8">
        <f>60*60*8/W719</f>
        <v>750</v>
      </c>
      <c r="Y719" s="161">
        <v>45495</v>
      </c>
      <c r="Z719" s="7" t="s">
        <v>7</v>
      </c>
      <c r="AA719" s="117"/>
      <c r="AB719" s="117"/>
      <c r="AC719" s="117"/>
      <c r="CH719" s="2"/>
    </row>
    <row r="720" spans="1:86" x14ac:dyDescent="0.3">
      <c r="A720" s="2">
        <v>1099</v>
      </c>
      <c r="B720" s="2" t="s">
        <v>84</v>
      </c>
      <c r="C720" s="2" t="s">
        <v>1</v>
      </c>
      <c r="D720" s="2" t="s">
        <v>1176</v>
      </c>
      <c r="E720" s="2">
        <v>160</v>
      </c>
      <c r="F720" s="2">
        <v>4.36E-2</v>
      </c>
      <c r="G720" s="2">
        <v>2.75E-2</v>
      </c>
      <c r="H720" s="4">
        <f t="shared" si="71"/>
        <v>0.36926605504587157</v>
      </c>
      <c r="I720" s="2" t="s">
        <v>98</v>
      </c>
      <c r="J720" s="2" t="s">
        <v>1066</v>
      </c>
      <c r="K720" s="2"/>
      <c r="L720" s="2" t="s">
        <v>76</v>
      </c>
      <c r="M720" s="155"/>
      <c r="N720" s="155"/>
      <c r="O720" s="2">
        <v>8</v>
      </c>
      <c r="P720" s="6"/>
      <c r="Q720" s="131" t="str">
        <f t="shared" si="72"/>
        <v/>
      </c>
      <c r="R720" s="33" t="str">
        <f t="shared" si="76"/>
        <v/>
      </c>
      <c r="S720" s="132" t="str">
        <f t="shared" si="73"/>
        <v/>
      </c>
      <c r="T720" s="132" t="str">
        <f t="shared" si="74"/>
        <v/>
      </c>
      <c r="V720" s="131" t="str">
        <f t="shared" si="75"/>
        <v/>
      </c>
      <c r="W720" s="17"/>
      <c r="X720" s="7"/>
      <c r="Y720" s="161"/>
      <c r="Z720" s="7"/>
      <c r="AA720" s="117"/>
      <c r="AB720" s="117"/>
      <c r="AC720" s="117"/>
      <c r="CH720" s="2"/>
    </row>
    <row r="721" spans="1:86" x14ac:dyDescent="0.3">
      <c r="A721" s="2">
        <v>1100</v>
      </c>
      <c r="B721" s="2" t="s">
        <v>84</v>
      </c>
      <c r="C721" s="2" t="s">
        <v>1</v>
      </c>
      <c r="D721" s="2" t="s">
        <v>1177</v>
      </c>
      <c r="E721" s="2">
        <v>160</v>
      </c>
      <c r="F721" s="2">
        <v>5.6000000000000001E-2</v>
      </c>
      <c r="G721" s="2">
        <v>3.8399999999999997E-2</v>
      </c>
      <c r="H721" s="4">
        <f t="shared" si="71"/>
        <v>0.31428571428571433</v>
      </c>
      <c r="I721" s="2" t="s">
        <v>82</v>
      </c>
      <c r="J721" s="2" t="s">
        <v>583</v>
      </c>
      <c r="K721" s="2"/>
      <c r="L721" s="2" t="s">
        <v>76</v>
      </c>
      <c r="M721" s="155"/>
      <c r="N721" s="155"/>
      <c r="O721" s="2">
        <v>8</v>
      </c>
      <c r="P721" s="6"/>
      <c r="Q721" s="131" t="str">
        <f t="shared" si="72"/>
        <v/>
      </c>
      <c r="R721" s="33" t="str">
        <f t="shared" si="76"/>
        <v/>
      </c>
      <c r="S721" s="132" t="str">
        <f t="shared" si="73"/>
        <v/>
      </c>
      <c r="T721" s="132" t="str">
        <f t="shared" si="74"/>
        <v/>
      </c>
      <c r="V721" s="131" t="str">
        <f t="shared" si="75"/>
        <v/>
      </c>
      <c r="W721" s="17"/>
      <c r="X721" s="7"/>
      <c r="Y721" s="161"/>
      <c r="Z721" s="7"/>
      <c r="AA721" s="117"/>
      <c r="AB721" s="117"/>
      <c r="AC721" s="117"/>
      <c r="CH721" s="2"/>
    </row>
    <row r="722" spans="1:86" x14ac:dyDescent="0.3">
      <c r="A722" s="2">
        <v>1101</v>
      </c>
      <c r="B722" s="2" t="s">
        <v>84</v>
      </c>
      <c r="C722" s="2" t="s">
        <v>1</v>
      </c>
      <c r="D722" s="2" t="s">
        <v>1178</v>
      </c>
      <c r="E722" s="2">
        <v>160</v>
      </c>
      <c r="F722" s="2">
        <v>4.9000000000000002E-2</v>
      </c>
      <c r="G722" s="2">
        <v>3.1399999999999997E-2</v>
      </c>
      <c r="H722" s="4">
        <f t="shared" si="71"/>
        <v>0.35918367346938784</v>
      </c>
      <c r="I722" s="2" t="s">
        <v>82</v>
      </c>
      <c r="J722" s="2" t="s">
        <v>1032</v>
      </c>
      <c r="K722" s="2"/>
      <c r="L722" s="2" t="s">
        <v>76</v>
      </c>
      <c r="M722" s="155"/>
      <c r="N722" s="155"/>
      <c r="O722" s="2">
        <v>8</v>
      </c>
      <c r="P722" s="6"/>
      <c r="Q722" s="131" t="str">
        <f t="shared" si="72"/>
        <v/>
      </c>
      <c r="R722" s="33" t="str">
        <f t="shared" si="76"/>
        <v/>
      </c>
      <c r="S722" s="132" t="str">
        <f t="shared" si="73"/>
        <v/>
      </c>
      <c r="T722" s="132" t="str">
        <f t="shared" si="74"/>
        <v/>
      </c>
      <c r="V722" s="131" t="str">
        <f t="shared" si="75"/>
        <v/>
      </c>
      <c r="W722" s="17"/>
      <c r="X722" s="7"/>
      <c r="Y722" s="161"/>
      <c r="Z722" s="7"/>
      <c r="AA722" s="117"/>
      <c r="AB722" s="117"/>
      <c r="AC722" s="117"/>
      <c r="CH722" s="2"/>
    </row>
    <row r="723" spans="1:86" x14ac:dyDescent="0.3">
      <c r="A723" s="2">
        <v>1102</v>
      </c>
      <c r="B723" s="2" t="s">
        <v>84</v>
      </c>
      <c r="C723" s="2" t="s">
        <v>1</v>
      </c>
      <c r="D723" s="2" t="s">
        <v>1179</v>
      </c>
      <c r="E723" s="2">
        <v>160</v>
      </c>
      <c r="F723" s="2">
        <v>5.6000000000000001E-2</v>
      </c>
      <c r="G723" s="2">
        <v>3.6999999999999998E-2</v>
      </c>
      <c r="H723" s="4">
        <f t="shared" si="71"/>
        <v>0.33928571428571436</v>
      </c>
      <c r="I723" s="2" t="s">
        <v>82</v>
      </c>
      <c r="J723" s="2" t="s">
        <v>583</v>
      </c>
      <c r="K723" s="2"/>
      <c r="L723" s="2" t="s">
        <v>76</v>
      </c>
      <c r="M723" s="155"/>
      <c r="N723" s="155"/>
      <c r="O723" s="2">
        <v>8</v>
      </c>
      <c r="P723" s="6"/>
      <c r="Q723" s="131" t="str">
        <f t="shared" si="72"/>
        <v/>
      </c>
      <c r="R723" s="33" t="str">
        <f t="shared" si="76"/>
        <v/>
      </c>
      <c r="S723" s="132" t="str">
        <f t="shared" si="73"/>
        <v/>
      </c>
      <c r="T723" s="132" t="str">
        <f t="shared" si="74"/>
        <v/>
      </c>
      <c r="V723" s="131" t="str">
        <f t="shared" si="75"/>
        <v/>
      </c>
      <c r="W723" s="17"/>
      <c r="X723" s="7"/>
      <c r="Y723" s="161"/>
      <c r="Z723" s="7"/>
      <c r="AA723" s="117"/>
      <c r="AB723" s="117"/>
      <c r="AC723" s="117"/>
      <c r="CH723" s="2"/>
    </row>
    <row r="724" spans="1:86" x14ac:dyDescent="0.3">
      <c r="A724" s="2">
        <v>1103</v>
      </c>
      <c r="B724" s="2" t="s">
        <v>0</v>
      </c>
      <c r="C724" s="2" t="s">
        <v>1</v>
      </c>
      <c r="D724" s="2" t="s">
        <v>1180</v>
      </c>
      <c r="E724" s="2">
        <v>160</v>
      </c>
      <c r="F724" s="2">
        <v>5.4399999999999997E-2</v>
      </c>
      <c r="G724" s="2">
        <v>4.0899999999999999E-2</v>
      </c>
      <c r="H724" s="4">
        <f t="shared" si="71"/>
        <v>0.24816176470588233</v>
      </c>
      <c r="I724" s="2" t="s">
        <v>98</v>
      </c>
      <c r="J724" s="2" t="s">
        <v>1181</v>
      </c>
      <c r="K724" s="2" t="s">
        <v>261</v>
      </c>
      <c r="L724" s="2" t="s">
        <v>76</v>
      </c>
      <c r="M724" s="155"/>
      <c r="N724" s="155"/>
      <c r="O724" s="2">
        <v>6</v>
      </c>
      <c r="P724" s="6">
        <v>44</v>
      </c>
      <c r="Q724" s="131">
        <f t="shared" si="72"/>
        <v>24.545454545454547</v>
      </c>
      <c r="R724" s="33">
        <f t="shared" si="76"/>
        <v>44</v>
      </c>
      <c r="S724" s="132">
        <f t="shared" si="73"/>
        <v>5.5</v>
      </c>
      <c r="T724" s="132">
        <f t="shared" si="74"/>
        <v>5.5</v>
      </c>
      <c r="V724" s="131" t="str">
        <f t="shared" si="75"/>
        <v/>
      </c>
      <c r="W724" s="17"/>
      <c r="X724" s="7"/>
      <c r="Y724" s="161"/>
      <c r="Z724" s="7"/>
      <c r="AA724" s="117"/>
      <c r="AB724" s="117"/>
      <c r="AC724" s="117"/>
      <c r="CH724" s="2"/>
    </row>
    <row r="725" spans="1:86" x14ac:dyDescent="0.3">
      <c r="A725" s="2">
        <v>1105</v>
      </c>
      <c r="B725" s="2" t="s">
        <v>84</v>
      </c>
      <c r="C725" s="2" t="s">
        <v>1</v>
      </c>
      <c r="D725" s="2" t="s">
        <v>1182</v>
      </c>
      <c r="E725" s="2">
        <v>160</v>
      </c>
      <c r="F725" s="2">
        <v>7.7899999999999997E-2</v>
      </c>
      <c r="G725" s="2">
        <v>5.6099999999999997E-2</v>
      </c>
      <c r="H725" s="4">
        <f t="shared" si="71"/>
        <v>0.27984595635430037</v>
      </c>
      <c r="I725" s="2" t="s">
        <v>82</v>
      </c>
      <c r="J725" s="2" t="s">
        <v>1091</v>
      </c>
      <c r="K725" s="2" t="s">
        <v>261</v>
      </c>
      <c r="L725" s="2" t="s">
        <v>76</v>
      </c>
      <c r="M725" s="155"/>
      <c r="N725" s="155"/>
      <c r="O725" s="2">
        <v>6</v>
      </c>
      <c r="P725" s="6"/>
      <c r="Q725" s="131" t="str">
        <f t="shared" si="72"/>
        <v/>
      </c>
      <c r="R725" s="33" t="str">
        <f t="shared" si="76"/>
        <v/>
      </c>
      <c r="S725" s="132" t="str">
        <f t="shared" si="73"/>
        <v/>
      </c>
      <c r="T725" s="132" t="str">
        <f t="shared" si="74"/>
        <v/>
      </c>
      <c r="V725" s="131" t="str">
        <f t="shared" si="75"/>
        <v/>
      </c>
      <c r="W725" s="17"/>
      <c r="X725" s="7"/>
      <c r="Y725" s="161"/>
      <c r="Z725" s="7"/>
      <c r="AA725" s="117"/>
      <c r="AB725" s="117"/>
      <c r="AC725" s="117"/>
      <c r="CH725" s="2"/>
    </row>
    <row r="726" spans="1:86" x14ac:dyDescent="0.3">
      <c r="A726" s="2">
        <v>1106</v>
      </c>
      <c r="B726" s="2" t="s">
        <v>0</v>
      </c>
      <c r="C726" s="2" t="s">
        <v>1</v>
      </c>
      <c r="D726" s="2" t="s">
        <v>1183</v>
      </c>
      <c r="E726" s="2">
        <v>160</v>
      </c>
      <c r="F726" s="2">
        <v>6.93E-2</v>
      </c>
      <c r="G726" s="2">
        <v>4.5900000000000003E-2</v>
      </c>
      <c r="H726" s="4">
        <f t="shared" si="71"/>
        <v>0.33766233766233761</v>
      </c>
      <c r="I726" s="2" t="s">
        <v>82</v>
      </c>
      <c r="J726" s="2" t="s">
        <v>1030</v>
      </c>
      <c r="K726" s="2" t="s">
        <v>261</v>
      </c>
      <c r="L726" s="2" t="s">
        <v>76</v>
      </c>
      <c r="M726" s="155"/>
      <c r="N726" s="155"/>
      <c r="O726" s="2">
        <v>6</v>
      </c>
      <c r="P726" s="6">
        <v>60</v>
      </c>
      <c r="Q726" s="131">
        <f t="shared" si="72"/>
        <v>18</v>
      </c>
      <c r="R726" s="33">
        <f t="shared" si="76"/>
        <v>60</v>
      </c>
      <c r="S726" s="132">
        <f t="shared" si="73"/>
        <v>7.5</v>
      </c>
      <c r="T726" s="132">
        <f t="shared" si="74"/>
        <v>7.5</v>
      </c>
      <c r="V726" s="131" t="str">
        <f t="shared" si="75"/>
        <v/>
      </c>
      <c r="W726" s="17"/>
      <c r="X726" s="7"/>
      <c r="Y726" s="161"/>
      <c r="Z726" s="7"/>
      <c r="AA726" s="117"/>
      <c r="AB726" s="117"/>
      <c r="AC726" s="117"/>
      <c r="CH726" s="2"/>
    </row>
    <row r="727" spans="1:86" x14ac:dyDescent="0.3">
      <c r="A727" s="2">
        <v>1107</v>
      </c>
      <c r="B727" s="2" t="s">
        <v>84</v>
      </c>
      <c r="C727" s="2" t="s">
        <v>1</v>
      </c>
      <c r="D727" s="2" t="s">
        <v>1184</v>
      </c>
      <c r="E727" s="2">
        <v>160</v>
      </c>
      <c r="F727" s="2">
        <v>7.7899999999999997E-2</v>
      </c>
      <c r="G727" s="2">
        <v>5.6099999999999997E-2</v>
      </c>
      <c r="H727" s="4">
        <f t="shared" si="71"/>
        <v>0.27984595635430037</v>
      </c>
      <c r="I727" s="2" t="s">
        <v>82</v>
      </c>
      <c r="J727" s="2" t="s">
        <v>1091</v>
      </c>
      <c r="K727" s="2" t="s">
        <v>261</v>
      </c>
      <c r="L727" s="2" t="s">
        <v>76</v>
      </c>
      <c r="M727" s="155"/>
      <c r="N727" s="155"/>
      <c r="O727" s="2">
        <v>6</v>
      </c>
      <c r="P727" s="6"/>
      <c r="Q727" s="131" t="str">
        <f t="shared" si="72"/>
        <v/>
      </c>
      <c r="R727" s="33" t="str">
        <f t="shared" si="76"/>
        <v/>
      </c>
      <c r="S727" s="132" t="str">
        <f t="shared" si="73"/>
        <v/>
      </c>
      <c r="T727" s="132" t="str">
        <f t="shared" si="74"/>
        <v/>
      </c>
      <c r="V727" s="131" t="str">
        <f t="shared" si="75"/>
        <v/>
      </c>
      <c r="W727" s="17"/>
      <c r="X727" s="7"/>
      <c r="Y727" s="161"/>
      <c r="Z727" s="7"/>
      <c r="AA727" s="117"/>
      <c r="AB727" s="117"/>
      <c r="AC727" s="117"/>
      <c r="CH727" s="2"/>
    </row>
    <row r="728" spans="1:86" x14ac:dyDescent="0.3">
      <c r="A728" s="23">
        <v>1108</v>
      </c>
      <c r="B728" s="2" t="s">
        <v>0</v>
      </c>
      <c r="C728" s="2" t="s">
        <v>1</v>
      </c>
      <c r="D728" s="2" t="s">
        <v>1185</v>
      </c>
      <c r="E728" s="2">
        <v>160</v>
      </c>
      <c r="F728" s="2">
        <v>8.6599999999999996E-2</v>
      </c>
      <c r="G728" s="2">
        <v>6.2799999999999995E-2</v>
      </c>
      <c r="H728" s="4">
        <f t="shared" si="71"/>
        <v>0.27482678983833719</v>
      </c>
      <c r="I728" s="2" t="s">
        <v>82</v>
      </c>
      <c r="J728" s="2" t="s">
        <v>1017</v>
      </c>
      <c r="K728" s="2" t="s">
        <v>261</v>
      </c>
      <c r="L728" s="2" t="s">
        <v>76</v>
      </c>
      <c r="M728" s="155"/>
      <c r="N728" s="155"/>
      <c r="O728" s="2">
        <v>6</v>
      </c>
      <c r="P728" s="6">
        <v>55</v>
      </c>
      <c r="Q728" s="131">
        <f t="shared" si="72"/>
        <v>19.636363636363637</v>
      </c>
      <c r="R728" s="33">
        <f t="shared" si="76"/>
        <v>55</v>
      </c>
      <c r="S728" s="132">
        <f t="shared" si="73"/>
        <v>6.875</v>
      </c>
      <c r="T728" s="132">
        <f t="shared" si="74"/>
        <v>6.875</v>
      </c>
      <c r="V728" s="131">
        <f t="shared" si="75"/>
        <v>22.689075630252102</v>
      </c>
      <c r="W728" s="17">
        <v>47.6</v>
      </c>
      <c r="X728" s="8">
        <f>60*60*8/W728</f>
        <v>605.0420168067227</v>
      </c>
      <c r="Y728" s="161">
        <v>45884</v>
      </c>
      <c r="Z728" s="7" t="s">
        <v>7</v>
      </c>
      <c r="AA728" s="117"/>
      <c r="AB728" s="117"/>
      <c r="AC728" s="117"/>
      <c r="CH728" s="2"/>
    </row>
    <row r="729" spans="1:86" x14ac:dyDescent="0.3">
      <c r="A729" s="23">
        <v>1109</v>
      </c>
      <c r="B729" s="2" t="s">
        <v>0</v>
      </c>
      <c r="C729" s="2" t="s">
        <v>1</v>
      </c>
      <c r="D729" s="2" t="s">
        <v>1186</v>
      </c>
      <c r="E729" s="2">
        <v>350</v>
      </c>
      <c r="F729" s="2">
        <v>2.07E-2</v>
      </c>
      <c r="G729" s="2">
        <v>1.7299999999999999E-2</v>
      </c>
      <c r="H729" s="4">
        <f t="shared" si="71"/>
        <v>0.16425120772946861</v>
      </c>
      <c r="I729" s="2" t="s">
        <v>98</v>
      </c>
      <c r="J729" s="2" t="s">
        <v>1187</v>
      </c>
      <c r="K729" s="2" t="s">
        <v>222</v>
      </c>
      <c r="L729" s="2" t="s">
        <v>76</v>
      </c>
      <c r="M729" s="155"/>
      <c r="N729" s="155"/>
      <c r="O729" s="2">
        <v>16</v>
      </c>
      <c r="P729" s="6">
        <v>35</v>
      </c>
      <c r="Q729" s="131">
        <f t="shared" si="72"/>
        <v>37.616326530612248</v>
      </c>
      <c r="R729" s="33">
        <f t="shared" si="76"/>
        <v>35</v>
      </c>
      <c r="S729" s="132">
        <f t="shared" si="73"/>
        <v>4.375</v>
      </c>
      <c r="T729" s="132" t="s">
        <v>1188</v>
      </c>
      <c r="V729" s="131">
        <f t="shared" si="75"/>
        <v>30.266009852216751</v>
      </c>
      <c r="W729" s="17">
        <v>43.5</v>
      </c>
      <c r="X729" s="8">
        <f>60*60*8/W729</f>
        <v>662.06896551724139</v>
      </c>
      <c r="Y729" s="161">
        <v>45580</v>
      </c>
      <c r="Z729" s="7" t="s">
        <v>7</v>
      </c>
      <c r="AA729" s="117"/>
      <c r="AB729" s="117"/>
      <c r="AC729" s="117"/>
      <c r="AD729" s="24">
        <v>45580</v>
      </c>
      <c r="AE729">
        <v>4</v>
      </c>
      <c r="AF729">
        <v>3.2</v>
      </c>
      <c r="AG729">
        <v>2</v>
      </c>
      <c r="AI729">
        <v>0.3</v>
      </c>
      <c r="AJ729">
        <v>0.2</v>
      </c>
      <c r="AK729">
        <v>7</v>
      </c>
      <c r="AL729">
        <v>6.5</v>
      </c>
      <c r="AN729">
        <v>13</v>
      </c>
      <c r="AO729">
        <v>1.6</v>
      </c>
      <c r="AP729">
        <v>1.5</v>
      </c>
      <c r="AS729">
        <v>43.5</v>
      </c>
      <c r="AT729">
        <v>6</v>
      </c>
      <c r="AU729">
        <v>18</v>
      </c>
      <c r="AV729">
        <v>133</v>
      </c>
      <c r="AW729">
        <v>143</v>
      </c>
      <c r="AX729">
        <v>15.5</v>
      </c>
      <c r="AY729">
        <v>31.5</v>
      </c>
      <c r="AZ729">
        <v>95</v>
      </c>
      <c r="BA729">
        <v>110</v>
      </c>
      <c r="BB729">
        <v>420</v>
      </c>
      <c r="CH729" s="2"/>
    </row>
    <row r="730" spans="1:86" x14ac:dyDescent="0.3">
      <c r="A730" s="23">
        <v>1110</v>
      </c>
      <c r="B730" s="2" t="s">
        <v>0</v>
      </c>
      <c r="C730" s="2" t="s">
        <v>1</v>
      </c>
      <c r="D730" s="2" t="s">
        <v>1189</v>
      </c>
      <c r="E730" s="2">
        <v>350</v>
      </c>
      <c r="F730" s="2">
        <v>3.4500000000000003E-2</v>
      </c>
      <c r="G730" s="2">
        <v>2.75E-2</v>
      </c>
      <c r="H730" s="4">
        <f t="shared" si="71"/>
        <v>0.20289855072463775</v>
      </c>
      <c r="I730" s="2" t="s">
        <v>82</v>
      </c>
      <c r="J730" s="2" t="s">
        <v>1091</v>
      </c>
      <c r="K730" s="2" t="s">
        <v>222</v>
      </c>
      <c r="L730" s="2" t="s">
        <v>76</v>
      </c>
      <c r="M730" s="155"/>
      <c r="N730" s="155"/>
      <c r="O730" s="2">
        <v>16</v>
      </c>
      <c r="P730" s="6">
        <v>50</v>
      </c>
      <c r="Q730" s="131">
        <f t="shared" si="72"/>
        <v>26.331428571428575</v>
      </c>
      <c r="R730" s="33">
        <f t="shared" si="76"/>
        <v>50</v>
      </c>
      <c r="S730" s="132">
        <f t="shared" si="73"/>
        <v>6.25</v>
      </c>
      <c r="T730" s="132">
        <f t="shared" ref="T730:T793" si="77">IFERROR(IF(R730&gt;2,S730,""),"")</f>
        <v>6.25</v>
      </c>
      <c r="V730" s="131">
        <f t="shared" si="75"/>
        <v>23.335190155466652</v>
      </c>
      <c r="W730" s="17">
        <v>56.42</v>
      </c>
      <c r="X730" s="8">
        <f>60*60*8/W730</f>
        <v>510.457284650833</v>
      </c>
      <c r="Y730" s="161">
        <v>45503</v>
      </c>
      <c r="Z730" s="7" t="s">
        <v>7</v>
      </c>
      <c r="AA730" s="117"/>
      <c r="AB730" s="117"/>
      <c r="AC730" s="117"/>
      <c r="AD730" s="24">
        <v>45504</v>
      </c>
      <c r="AE730">
        <v>4</v>
      </c>
      <c r="AF730">
        <v>12.6</v>
      </c>
      <c r="AH730">
        <v>3</v>
      </c>
      <c r="AI730">
        <v>0.9</v>
      </c>
      <c r="AJ730">
        <v>0.8</v>
      </c>
      <c r="AK730">
        <v>14</v>
      </c>
      <c r="AL730">
        <v>13.5</v>
      </c>
      <c r="AN730">
        <v>16</v>
      </c>
      <c r="AO730">
        <v>0.8</v>
      </c>
      <c r="AS730">
        <v>56.42</v>
      </c>
      <c r="AT730">
        <v>5</v>
      </c>
      <c r="AU730">
        <v>18.5</v>
      </c>
      <c r="AV730">
        <v>133.5</v>
      </c>
      <c r="AW730">
        <v>144</v>
      </c>
      <c r="AX730">
        <v>15</v>
      </c>
      <c r="AY730">
        <v>32</v>
      </c>
      <c r="AZ730">
        <v>95</v>
      </c>
      <c r="BA730">
        <v>110</v>
      </c>
      <c r="BB730">
        <v>420</v>
      </c>
      <c r="CH730" s="2"/>
    </row>
    <row r="731" spans="1:86" x14ac:dyDescent="0.3">
      <c r="A731" s="2">
        <v>1111</v>
      </c>
      <c r="B731" s="2" t="s">
        <v>0</v>
      </c>
      <c r="C731" s="2" t="s">
        <v>1</v>
      </c>
      <c r="D731" s="2" t="s">
        <v>1190</v>
      </c>
      <c r="E731" s="2">
        <v>160</v>
      </c>
      <c r="F731" s="2">
        <v>8.6599999999999996E-2</v>
      </c>
      <c r="G731" s="2">
        <v>6.2799999999999995E-2</v>
      </c>
      <c r="H731" s="4">
        <f t="shared" si="71"/>
        <v>0.27482678983833719</v>
      </c>
      <c r="I731" s="2" t="s">
        <v>82</v>
      </c>
      <c r="J731" s="2" t="s">
        <v>1017</v>
      </c>
      <c r="K731" s="2" t="s">
        <v>261</v>
      </c>
      <c r="L731" s="2" t="s">
        <v>76</v>
      </c>
      <c r="M731" s="155"/>
      <c r="N731" s="155"/>
      <c r="O731" s="2">
        <v>6</v>
      </c>
      <c r="P731" s="6">
        <v>50</v>
      </c>
      <c r="Q731" s="131">
        <f t="shared" si="72"/>
        <v>21.6</v>
      </c>
      <c r="R731" s="33">
        <f t="shared" si="76"/>
        <v>50</v>
      </c>
      <c r="S731" s="132">
        <f t="shared" si="73"/>
        <v>6.25</v>
      </c>
      <c r="T731" s="132">
        <f t="shared" si="77"/>
        <v>6.25</v>
      </c>
      <c r="V731" s="131" t="str">
        <f t="shared" si="75"/>
        <v/>
      </c>
      <c r="W731" s="17"/>
      <c r="X731" s="7"/>
      <c r="Y731" s="161"/>
      <c r="Z731" s="7"/>
      <c r="AA731" s="117"/>
      <c r="AB731" s="117"/>
      <c r="AC731" s="117"/>
      <c r="CH731" s="2"/>
    </row>
    <row r="732" spans="1:86" x14ac:dyDescent="0.3">
      <c r="A732" s="2">
        <v>1112</v>
      </c>
      <c r="B732" s="2" t="s">
        <v>0</v>
      </c>
      <c r="C732" s="2" t="s">
        <v>1</v>
      </c>
      <c r="D732" s="2" t="s">
        <v>1191</v>
      </c>
      <c r="E732" s="2">
        <v>250</v>
      </c>
      <c r="F732" s="2">
        <v>2.76E-2</v>
      </c>
      <c r="G732" s="2">
        <v>2.3599999999999999E-2</v>
      </c>
      <c r="H732" s="4">
        <f t="shared" si="71"/>
        <v>0.14492753623188406</v>
      </c>
      <c r="I732" s="2" t="s">
        <v>98</v>
      </c>
      <c r="J732" s="2" t="s">
        <v>1187</v>
      </c>
      <c r="K732" s="2" t="s">
        <v>105</v>
      </c>
      <c r="L732" s="2" t="s">
        <v>76</v>
      </c>
      <c r="M732" s="155"/>
      <c r="N732" s="155"/>
      <c r="O732" s="2">
        <v>12</v>
      </c>
      <c r="P732" s="6">
        <v>34</v>
      </c>
      <c r="Q732" s="131">
        <f t="shared" si="72"/>
        <v>40.658823529411769</v>
      </c>
      <c r="R732" s="33">
        <f t="shared" si="76"/>
        <v>34</v>
      </c>
      <c r="S732" s="132">
        <f t="shared" si="73"/>
        <v>4.25</v>
      </c>
      <c r="T732" s="132">
        <f t="shared" si="77"/>
        <v>4.25</v>
      </c>
      <c r="V732" s="131" t="str">
        <f t="shared" si="75"/>
        <v/>
      </c>
      <c r="W732" s="17"/>
      <c r="X732" s="7"/>
      <c r="Y732" s="161"/>
      <c r="Z732" s="7"/>
      <c r="AA732" s="117"/>
      <c r="AB732" s="117"/>
      <c r="AC732" s="117"/>
      <c r="CH732" s="2"/>
    </row>
    <row r="733" spans="1:86" x14ac:dyDescent="0.3">
      <c r="A733" s="2">
        <v>1113</v>
      </c>
      <c r="B733" s="2" t="s">
        <v>0</v>
      </c>
      <c r="C733" s="2" t="s">
        <v>1</v>
      </c>
      <c r="D733" s="2" t="s">
        <v>1192</v>
      </c>
      <c r="E733" s="2">
        <v>250</v>
      </c>
      <c r="F733" s="2">
        <v>4.5199999999999997E-2</v>
      </c>
      <c r="G733" s="2">
        <v>3.6400000000000002E-2</v>
      </c>
      <c r="H733" s="4">
        <f t="shared" si="71"/>
        <v>0.19469026548672558</v>
      </c>
      <c r="I733" s="2" t="s">
        <v>82</v>
      </c>
      <c r="J733" s="2" t="s">
        <v>1091</v>
      </c>
      <c r="K733" s="2" t="s">
        <v>105</v>
      </c>
      <c r="L733" s="2" t="s">
        <v>76</v>
      </c>
      <c r="M733" s="155"/>
      <c r="N733" s="155"/>
      <c r="O733" s="2">
        <v>12</v>
      </c>
      <c r="P733" s="6">
        <v>55</v>
      </c>
      <c r="Q733" s="131">
        <f t="shared" si="72"/>
        <v>25.134545454545457</v>
      </c>
      <c r="R733" s="33">
        <f t="shared" si="76"/>
        <v>55</v>
      </c>
      <c r="S733" s="132">
        <f t="shared" si="73"/>
        <v>6.875</v>
      </c>
      <c r="T733" s="132">
        <f t="shared" si="77"/>
        <v>6.875</v>
      </c>
      <c r="V733" s="131" t="str">
        <f t="shared" si="75"/>
        <v/>
      </c>
      <c r="W733" s="17"/>
      <c r="X733" s="7"/>
      <c r="Y733" s="161"/>
      <c r="Z733" s="7"/>
      <c r="AA733" s="117"/>
      <c r="AB733" s="117"/>
      <c r="AC733" s="117"/>
      <c r="CH733" s="2"/>
    </row>
    <row r="734" spans="1:86" x14ac:dyDescent="0.3">
      <c r="A734" s="2">
        <v>1119</v>
      </c>
      <c r="B734" s="2" t="s">
        <v>0</v>
      </c>
      <c r="C734" s="2" t="s">
        <v>1</v>
      </c>
      <c r="D734" s="2" t="s">
        <v>1193</v>
      </c>
      <c r="E734" s="2">
        <v>480</v>
      </c>
      <c r="F734" s="2">
        <v>2.18E-2</v>
      </c>
      <c r="G734" s="2">
        <v>1.49E-2</v>
      </c>
      <c r="H734" s="4">
        <f t="shared" si="71"/>
        <v>0.3165137614678899</v>
      </c>
      <c r="I734" s="2" t="s">
        <v>98</v>
      </c>
      <c r="J734" s="2" t="s">
        <v>99</v>
      </c>
      <c r="K734" s="2" t="s">
        <v>261</v>
      </c>
      <c r="L734" s="2" t="s">
        <v>76</v>
      </c>
      <c r="M734" s="155"/>
      <c r="N734" s="155"/>
      <c r="O734" s="2">
        <v>12</v>
      </c>
      <c r="P734" s="6">
        <v>21</v>
      </c>
      <c r="Q734" s="131">
        <f t="shared" si="72"/>
        <v>34.285714285714285</v>
      </c>
      <c r="R734" s="33">
        <f t="shared" si="76"/>
        <v>21</v>
      </c>
      <c r="S734" s="132">
        <f t="shared" si="73"/>
        <v>2.625</v>
      </c>
      <c r="T734" s="132">
        <f t="shared" si="77"/>
        <v>2.625</v>
      </c>
      <c r="V734" s="131" t="str">
        <f t="shared" si="75"/>
        <v/>
      </c>
      <c r="W734" s="17"/>
      <c r="X734" s="7"/>
      <c r="Y734" s="161"/>
      <c r="Z734" s="7"/>
      <c r="AA734" s="117"/>
      <c r="AB734" s="117"/>
      <c r="AC734" s="117"/>
      <c r="CH734" s="2"/>
    </row>
    <row r="735" spans="1:86" x14ac:dyDescent="0.3">
      <c r="A735" s="2">
        <v>1120</v>
      </c>
      <c r="B735" s="2" t="s">
        <v>0</v>
      </c>
      <c r="C735" s="2" t="s">
        <v>1</v>
      </c>
      <c r="D735" s="2" t="s">
        <v>1194</v>
      </c>
      <c r="E735" s="2">
        <v>480</v>
      </c>
      <c r="F735" s="2">
        <v>3.1600000000000003E-2</v>
      </c>
      <c r="G735" s="2">
        <v>2.0400000000000001E-2</v>
      </c>
      <c r="H735" s="4">
        <f t="shared" si="71"/>
        <v>0.35443037974683544</v>
      </c>
      <c r="I735" s="2" t="s">
        <v>82</v>
      </c>
      <c r="J735" s="2" t="s">
        <v>579</v>
      </c>
      <c r="K735" s="2" t="s">
        <v>261</v>
      </c>
      <c r="L735" s="2" t="s">
        <v>76</v>
      </c>
      <c r="M735" s="155"/>
      <c r="N735" s="155"/>
      <c r="O735" s="2">
        <v>12</v>
      </c>
      <c r="P735" s="6">
        <v>21</v>
      </c>
      <c r="Q735" s="131">
        <f t="shared" si="72"/>
        <v>34.285714285714285</v>
      </c>
      <c r="R735" s="33">
        <f t="shared" si="76"/>
        <v>21</v>
      </c>
      <c r="S735" s="132">
        <f t="shared" si="73"/>
        <v>2.625</v>
      </c>
      <c r="T735" s="132">
        <f t="shared" si="77"/>
        <v>2.625</v>
      </c>
      <c r="V735" s="131" t="str">
        <f t="shared" si="75"/>
        <v/>
      </c>
      <c r="W735" s="17"/>
      <c r="X735" s="7"/>
      <c r="Y735" s="161"/>
      <c r="Z735" s="7"/>
      <c r="AA735" s="117"/>
      <c r="AB735" s="117"/>
      <c r="AC735" s="117"/>
      <c r="CH735" s="2"/>
    </row>
    <row r="736" spans="1:86" x14ac:dyDescent="0.3">
      <c r="A736" s="2">
        <v>1121</v>
      </c>
      <c r="B736" s="23" t="s">
        <v>0</v>
      </c>
      <c r="C736" s="2" t="s">
        <v>1</v>
      </c>
      <c r="D736" s="2" t="s">
        <v>1195</v>
      </c>
      <c r="E736" s="2">
        <v>100</v>
      </c>
      <c r="F736" s="2">
        <v>1.5800000000000002E-2</v>
      </c>
      <c r="G736" s="2">
        <v>8.8999999999999999E-3</v>
      </c>
      <c r="H736" s="4">
        <f t="shared" si="71"/>
        <v>0.43670886075949372</v>
      </c>
      <c r="I736" s="2" t="s">
        <v>98</v>
      </c>
      <c r="J736" s="2" t="s">
        <v>1196</v>
      </c>
      <c r="K736" s="2"/>
      <c r="L736" s="2"/>
      <c r="M736" s="155"/>
      <c r="N736" s="155"/>
      <c r="O736" s="2">
        <v>18</v>
      </c>
      <c r="P736" s="6">
        <v>130</v>
      </c>
      <c r="Q736" s="131">
        <f t="shared" si="72"/>
        <v>39.876923076923077</v>
      </c>
      <c r="R736" s="33">
        <f t="shared" si="76"/>
        <v>130</v>
      </c>
      <c r="S736" s="132">
        <f t="shared" si="73"/>
        <v>16.25</v>
      </c>
      <c r="T736" s="132">
        <f t="shared" si="77"/>
        <v>16.25</v>
      </c>
      <c r="V736" s="131" t="str">
        <f t="shared" si="75"/>
        <v/>
      </c>
      <c r="W736" s="17"/>
      <c r="X736" s="7"/>
      <c r="Y736" s="161"/>
      <c r="Z736" s="7"/>
      <c r="AA736" s="117"/>
      <c r="AB736" s="117"/>
      <c r="AC736" s="117"/>
      <c r="CH736" s="2"/>
    </row>
    <row r="737" spans="1:88" x14ac:dyDescent="0.3">
      <c r="A737" s="2">
        <v>1123</v>
      </c>
      <c r="B737" s="2" t="s">
        <v>0</v>
      </c>
      <c r="C737" s="2" t="s">
        <v>1</v>
      </c>
      <c r="D737" s="2" t="s">
        <v>1197</v>
      </c>
      <c r="E737" s="2">
        <v>650</v>
      </c>
      <c r="F737" s="2">
        <v>1.5800000000000002E-2</v>
      </c>
      <c r="G737" s="2">
        <v>8.8999999999999999E-3</v>
      </c>
      <c r="H737" s="4">
        <f t="shared" si="71"/>
        <v>0.43670886075949372</v>
      </c>
      <c r="I737" s="2" t="s">
        <v>98</v>
      </c>
      <c r="J737" s="2" t="s">
        <v>99</v>
      </c>
      <c r="K737" s="2" t="s">
        <v>105</v>
      </c>
      <c r="L737" s="2" t="s">
        <v>76</v>
      </c>
      <c r="M737" s="155"/>
      <c r="N737" s="155"/>
      <c r="O737" s="2">
        <v>18</v>
      </c>
      <c r="P737" s="6">
        <v>130</v>
      </c>
      <c r="Q737" s="131">
        <f t="shared" si="72"/>
        <v>6.1349112426035504</v>
      </c>
      <c r="R737" s="33">
        <f t="shared" si="76"/>
        <v>130</v>
      </c>
      <c r="S737" s="132">
        <f t="shared" si="73"/>
        <v>16.25</v>
      </c>
      <c r="T737" s="132">
        <f t="shared" si="77"/>
        <v>16.25</v>
      </c>
      <c r="V737" s="131" t="str">
        <f t="shared" si="75"/>
        <v/>
      </c>
      <c r="W737" s="17"/>
      <c r="X737" s="7"/>
      <c r="Y737" s="161"/>
      <c r="Z737" s="7"/>
      <c r="AA737" s="117"/>
      <c r="AB737" s="117"/>
      <c r="AC737" s="117"/>
      <c r="CH737" s="2"/>
    </row>
    <row r="738" spans="1:88" x14ac:dyDescent="0.3">
      <c r="A738" s="2">
        <v>1124</v>
      </c>
      <c r="B738" s="2" t="s">
        <v>0</v>
      </c>
      <c r="C738" s="2" t="s">
        <v>1</v>
      </c>
      <c r="D738" s="2" t="s">
        <v>1198</v>
      </c>
      <c r="E738" s="2">
        <v>100</v>
      </c>
      <c r="F738" s="2">
        <v>3.95E-2</v>
      </c>
      <c r="G738" s="2">
        <v>2.3900000000000001E-2</v>
      </c>
      <c r="H738" s="4">
        <f t="shared" si="71"/>
        <v>0.39493670886075949</v>
      </c>
      <c r="I738" s="2" t="s">
        <v>1199</v>
      </c>
      <c r="J738" s="2" t="s">
        <v>1200</v>
      </c>
      <c r="K738" s="2"/>
      <c r="L738" s="2"/>
      <c r="M738" s="155"/>
      <c r="N738" s="155"/>
      <c r="O738" s="2">
        <v>1</v>
      </c>
      <c r="P738" s="6"/>
      <c r="Q738" s="131" t="str">
        <f t="shared" si="72"/>
        <v/>
      </c>
      <c r="R738" s="33" t="str">
        <f t="shared" si="76"/>
        <v/>
      </c>
      <c r="S738" s="132" t="str">
        <f t="shared" si="73"/>
        <v/>
      </c>
      <c r="T738" s="132" t="str">
        <f t="shared" si="77"/>
        <v/>
      </c>
      <c r="V738" s="131" t="str">
        <f t="shared" si="75"/>
        <v/>
      </c>
      <c r="W738" s="17"/>
      <c r="X738" s="7"/>
      <c r="Y738" s="161"/>
      <c r="Z738" s="7"/>
      <c r="AA738" s="117"/>
      <c r="AB738" s="117"/>
      <c r="AC738" s="117"/>
      <c r="CH738" s="2"/>
    </row>
    <row r="739" spans="1:88" x14ac:dyDescent="0.3">
      <c r="A739" s="23">
        <v>1125</v>
      </c>
      <c r="B739" s="2" t="s">
        <v>0</v>
      </c>
      <c r="C739" s="2" t="s">
        <v>1</v>
      </c>
      <c r="D739" s="2" t="s">
        <v>1201</v>
      </c>
      <c r="E739" s="2">
        <v>100</v>
      </c>
      <c r="F739" s="2">
        <v>2.3699999999999999E-2</v>
      </c>
      <c r="G739" s="2">
        <v>1.4999999999999999E-2</v>
      </c>
      <c r="H739" s="4">
        <f t="shared" si="71"/>
        <v>0.36708860759493672</v>
      </c>
      <c r="I739" s="2" t="s">
        <v>82</v>
      </c>
      <c r="J739" s="2" t="s">
        <v>1202</v>
      </c>
      <c r="K739" s="2" t="s">
        <v>163</v>
      </c>
      <c r="L739" s="2" t="s">
        <v>6</v>
      </c>
      <c r="M739" s="155">
        <v>1</v>
      </c>
      <c r="N739" s="155">
        <v>100</v>
      </c>
      <c r="O739" s="2">
        <v>18</v>
      </c>
      <c r="P739" s="6">
        <v>160</v>
      </c>
      <c r="Q739" s="131">
        <f t="shared" si="72"/>
        <v>32.4</v>
      </c>
      <c r="R739" s="33">
        <f t="shared" si="76"/>
        <v>160</v>
      </c>
      <c r="S739" s="132">
        <f t="shared" si="73"/>
        <v>20</v>
      </c>
      <c r="T739" s="132">
        <f t="shared" si="77"/>
        <v>20</v>
      </c>
      <c r="V739" s="131">
        <f t="shared" si="75"/>
        <v>114.43708609271523</v>
      </c>
      <c r="W739" s="17">
        <v>45.3</v>
      </c>
      <c r="X739" s="8">
        <f>60*60*8/W739</f>
        <v>635.76158940397352</v>
      </c>
      <c r="Y739" s="161">
        <v>45608</v>
      </c>
      <c r="Z739" s="7" t="s">
        <v>7</v>
      </c>
      <c r="AA739" s="117"/>
      <c r="AB739" s="117"/>
      <c r="AC739" s="117"/>
      <c r="AD739" s="24">
        <v>45609</v>
      </c>
      <c r="AE739">
        <v>3</v>
      </c>
      <c r="AF739">
        <v>9.8000000000000007</v>
      </c>
      <c r="AH739">
        <v>4</v>
      </c>
      <c r="AI739">
        <v>0.9</v>
      </c>
      <c r="AJ739">
        <v>0.7</v>
      </c>
      <c r="AK739">
        <v>11</v>
      </c>
      <c r="AL739">
        <v>11.5</v>
      </c>
      <c r="AN739">
        <v>12</v>
      </c>
      <c r="AO739">
        <v>0.1</v>
      </c>
      <c r="AP739">
        <v>0.4</v>
      </c>
      <c r="AS739">
        <v>45.3</v>
      </c>
      <c r="AT739">
        <v>6</v>
      </c>
      <c r="AU739">
        <v>16</v>
      </c>
      <c r="AV739">
        <v>126</v>
      </c>
      <c r="AW739">
        <v>143</v>
      </c>
      <c r="AX739">
        <v>20</v>
      </c>
      <c r="AY739">
        <v>32</v>
      </c>
      <c r="AZ739">
        <v>94</v>
      </c>
      <c r="BA739">
        <v>105</v>
      </c>
      <c r="BB739">
        <v>430</v>
      </c>
      <c r="CH739" s="2"/>
    </row>
    <row r="740" spans="1:88" x14ac:dyDescent="0.3">
      <c r="A740" s="2">
        <v>1127</v>
      </c>
      <c r="B740" s="2" t="s">
        <v>0</v>
      </c>
      <c r="C740" s="2" t="s">
        <v>1</v>
      </c>
      <c r="D740" s="2" t="s">
        <v>1203</v>
      </c>
      <c r="E740" s="2">
        <v>650</v>
      </c>
      <c r="F740" s="2">
        <v>2.1000000000000001E-2</v>
      </c>
      <c r="G740" s="2">
        <v>1.2699999999999999E-2</v>
      </c>
      <c r="H740" s="4">
        <f t="shared" si="71"/>
        <v>0.39523809523809528</v>
      </c>
      <c r="I740" s="2" t="s">
        <v>82</v>
      </c>
      <c r="J740" s="2" t="s">
        <v>581</v>
      </c>
      <c r="K740" s="2" t="s">
        <v>105</v>
      </c>
      <c r="L740" s="2" t="s">
        <v>76</v>
      </c>
      <c r="M740" s="155"/>
      <c r="N740" s="155"/>
      <c r="O740" s="2">
        <v>18</v>
      </c>
      <c r="P740" s="6">
        <v>22</v>
      </c>
      <c r="Q740" s="131">
        <f t="shared" si="72"/>
        <v>36.251748251748253</v>
      </c>
      <c r="R740" s="33">
        <f t="shared" si="76"/>
        <v>22</v>
      </c>
      <c r="S740" s="132">
        <f t="shared" si="73"/>
        <v>2.75</v>
      </c>
      <c r="T740" s="132">
        <f t="shared" si="77"/>
        <v>2.75</v>
      </c>
      <c r="V740" s="131" t="str">
        <f t="shared" si="75"/>
        <v/>
      </c>
      <c r="W740" s="17"/>
      <c r="X740" s="7"/>
      <c r="Y740" s="161"/>
      <c r="Z740" s="7"/>
      <c r="AA740" s="117"/>
      <c r="AB740" s="117"/>
      <c r="AC740" s="117"/>
      <c r="CH740" s="2"/>
    </row>
    <row r="741" spans="1:88" x14ac:dyDescent="0.3">
      <c r="A741" s="23">
        <v>1216</v>
      </c>
      <c r="B741" s="2" t="s">
        <v>0</v>
      </c>
      <c r="C741" s="2" t="s">
        <v>1</v>
      </c>
      <c r="D741" s="2" t="s">
        <v>1204</v>
      </c>
      <c r="E741" s="2">
        <v>1150</v>
      </c>
      <c r="F741" s="2">
        <v>3.5000000000000001E-3</v>
      </c>
      <c r="G741" s="2">
        <v>2.3999999999999998E-3</v>
      </c>
      <c r="H741" s="4">
        <f t="shared" si="71"/>
        <v>0.31428571428571433</v>
      </c>
      <c r="I741" s="2" t="s">
        <v>98</v>
      </c>
      <c r="J741" s="2" t="s">
        <v>1022</v>
      </c>
      <c r="K741" s="2" t="s">
        <v>90</v>
      </c>
      <c r="L741" s="2" t="s">
        <v>6</v>
      </c>
      <c r="M741" s="155"/>
      <c r="N741" s="155"/>
      <c r="O741" s="2">
        <v>36</v>
      </c>
      <c r="P741" s="6">
        <v>9</v>
      </c>
      <c r="Q741" s="131">
        <f t="shared" si="72"/>
        <v>100.17391304347827</v>
      </c>
      <c r="R741" s="33">
        <f t="shared" si="76"/>
        <v>9</v>
      </c>
      <c r="S741" s="132">
        <f t="shared" si="73"/>
        <v>1.125</v>
      </c>
      <c r="T741" s="132">
        <f t="shared" si="77"/>
        <v>1.125</v>
      </c>
      <c r="V741" s="131">
        <f t="shared" si="75"/>
        <v>25.46794399410464</v>
      </c>
      <c r="W741" s="17">
        <v>35.4</v>
      </c>
      <c r="X741" s="8">
        <f>60*60*8/W741</f>
        <v>813.5593220338983</v>
      </c>
      <c r="Y741" s="161">
        <v>45425</v>
      </c>
      <c r="Z741" s="7" t="s">
        <v>7</v>
      </c>
      <c r="AA741" s="117"/>
      <c r="AB741" s="117"/>
      <c r="AC741" s="117"/>
      <c r="CH741" s="2"/>
    </row>
    <row r="742" spans="1:88" x14ac:dyDescent="0.3">
      <c r="A742" s="2">
        <v>1217</v>
      </c>
      <c r="B742" s="2" t="s">
        <v>0</v>
      </c>
      <c r="C742" s="2" t="s">
        <v>1</v>
      </c>
      <c r="D742" s="23" t="s">
        <v>1205</v>
      </c>
      <c r="E742" s="2">
        <v>1150</v>
      </c>
      <c r="F742" s="2">
        <v>3.5999999999999999E-3</v>
      </c>
      <c r="G742" s="2">
        <v>2.0999999999999999E-3</v>
      </c>
      <c r="H742" s="4">
        <f t="shared" si="71"/>
        <v>0.41666666666666669</v>
      </c>
      <c r="I742" s="2" t="s">
        <v>82</v>
      </c>
      <c r="J742" s="2" t="s">
        <v>645</v>
      </c>
      <c r="K742" s="2" t="s">
        <v>90</v>
      </c>
      <c r="L742" s="2" t="s">
        <v>6</v>
      </c>
      <c r="M742" s="155"/>
      <c r="N742" s="155"/>
      <c r="O742" s="2">
        <v>36</v>
      </c>
      <c r="P742" s="6">
        <v>12</v>
      </c>
      <c r="Q742" s="131">
        <f t="shared" si="72"/>
        <v>75.130434782608702</v>
      </c>
      <c r="R742" s="33">
        <f t="shared" si="76"/>
        <v>12</v>
      </c>
      <c r="S742" s="132">
        <f t="shared" si="73"/>
        <v>1.5</v>
      </c>
      <c r="T742" s="132">
        <f t="shared" si="77"/>
        <v>1.5</v>
      </c>
      <c r="V742" s="131" t="str">
        <f t="shared" si="75"/>
        <v/>
      </c>
      <c r="W742" s="17"/>
      <c r="X742" s="7"/>
      <c r="Y742" s="161"/>
      <c r="Z742" s="7"/>
      <c r="AA742" s="117"/>
      <c r="AB742" s="117"/>
      <c r="AC742" s="117"/>
      <c r="CH742" s="2"/>
    </row>
    <row r="743" spans="1:88" x14ac:dyDescent="0.3">
      <c r="A743" s="2">
        <v>1711</v>
      </c>
      <c r="B743" s="2" t="s">
        <v>0</v>
      </c>
      <c r="C743" s="2" t="s">
        <v>1</v>
      </c>
      <c r="D743" s="2" t="s">
        <v>1206</v>
      </c>
      <c r="E743" s="2">
        <v>1000</v>
      </c>
      <c r="F743" s="2">
        <v>1.8599999999999998E-2</v>
      </c>
      <c r="G743" s="2">
        <v>1.46E-2</v>
      </c>
      <c r="H743" s="4">
        <f t="shared" si="71"/>
        <v>0.21505376344086014</v>
      </c>
      <c r="I743" s="2" t="s">
        <v>82</v>
      </c>
      <c r="J743" s="2" t="s">
        <v>645</v>
      </c>
      <c r="K743" s="2" t="s">
        <v>105</v>
      </c>
      <c r="L743" s="2" t="s">
        <v>76</v>
      </c>
      <c r="M743" s="155"/>
      <c r="N743" s="155"/>
      <c r="O743" s="2">
        <v>10</v>
      </c>
      <c r="P743" s="6">
        <v>13</v>
      </c>
      <c r="Q743" s="131">
        <f t="shared" si="72"/>
        <v>22.153846153846153</v>
      </c>
      <c r="R743" s="33">
        <f t="shared" si="76"/>
        <v>13</v>
      </c>
      <c r="S743" s="132">
        <f t="shared" si="73"/>
        <v>1.625</v>
      </c>
      <c r="T743" s="132">
        <f t="shared" si="77"/>
        <v>1.625</v>
      </c>
      <c r="V743" s="131" t="str">
        <f t="shared" si="75"/>
        <v/>
      </c>
      <c r="W743" s="17"/>
      <c r="X743" s="7"/>
      <c r="Y743" s="161"/>
      <c r="Z743" s="7"/>
      <c r="AA743" s="117"/>
      <c r="AB743" s="117"/>
      <c r="AC743" s="117"/>
      <c r="CH743" s="2"/>
    </row>
    <row r="744" spans="1:88" x14ac:dyDescent="0.3">
      <c r="A744" s="2">
        <v>1712</v>
      </c>
      <c r="B744" s="2" t="s">
        <v>0</v>
      </c>
      <c r="C744" s="2" t="s">
        <v>1</v>
      </c>
      <c r="D744" s="2" t="s">
        <v>1207</v>
      </c>
      <c r="E744" s="2">
        <v>1000</v>
      </c>
      <c r="F744" s="2">
        <v>2.9100000000000001E-2</v>
      </c>
      <c r="G744" s="2">
        <v>1.9900000000000001E-2</v>
      </c>
      <c r="H744" s="4">
        <f t="shared" si="71"/>
        <v>0.31615120274914088</v>
      </c>
      <c r="I744" s="2" t="s">
        <v>82</v>
      </c>
      <c r="J744" s="2" t="s">
        <v>743</v>
      </c>
      <c r="K744" s="2" t="s">
        <v>105</v>
      </c>
      <c r="L744" s="2" t="s">
        <v>76</v>
      </c>
      <c r="M744" s="155"/>
      <c r="N744" s="155"/>
      <c r="O744" s="2">
        <v>6</v>
      </c>
      <c r="P744" s="6">
        <v>16</v>
      </c>
      <c r="Q744" s="131">
        <f t="shared" si="72"/>
        <v>10.8</v>
      </c>
      <c r="R744" s="33">
        <f t="shared" si="76"/>
        <v>16</v>
      </c>
      <c r="S744" s="132">
        <f t="shared" si="73"/>
        <v>2</v>
      </c>
      <c r="T744" s="132">
        <f t="shared" si="77"/>
        <v>2</v>
      </c>
      <c r="V744" s="131" t="str">
        <f t="shared" si="75"/>
        <v/>
      </c>
      <c r="W744" s="17"/>
      <c r="X744" s="7"/>
      <c r="Y744" s="161"/>
      <c r="Z744" s="7"/>
      <c r="AA744" s="117"/>
      <c r="AB744" s="117"/>
      <c r="AC744" s="117"/>
      <c r="CH744" s="2"/>
      <c r="CI744">
        <v>1000</v>
      </c>
      <c r="CJ744">
        <v>12</v>
      </c>
    </row>
    <row r="745" spans="1:88" x14ac:dyDescent="0.3">
      <c r="A745" s="2">
        <v>1714</v>
      </c>
      <c r="B745" s="2" t="s">
        <v>84</v>
      </c>
      <c r="C745" s="2" t="s">
        <v>1</v>
      </c>
      <c r="D745" s="2" t="s">
        <v>1208</v>
      </c>
      <c r="E745" s="2">
        <v>1440</v>
      </c>
      <c r="F745" s="2">
        <v>1.0200000000000001E-2</v>
      </c>
      <c r="G745" s="2">
        <v>5.8999999999999999E-3</v>
      </c>
      <c r="H745" s="4">
        <f t="shared" si="71"/>
        <v>0.42156862745098045</v>
      </c>
      <c r="I745" s="2" t="s">
        <v>455</v>
      </c>
      <c r="J745" s="2" t="s">
        <v>1209</v>
      </c>
      <c r="K745" s="2" t="s">
        <v>90</v>
      </c>
      <c r="L745" s="2" t="s">
        <v>6</v>
      </c>
      <c r="M745" s="155"/>
      <c r="N745" s="155"/>
      <c r="O745" s="2">
        <v>24</v>
      </c>
      <c r="P745" s="6">
        <v>12</v>
      </c>
      <c r="Q745" s="131">
        <f t="shared" si="72"/>
        <v>40</v>
      </c>
      <c r="R745" s="33">
        <f t="shared" si="76"/>
        <v>12</v>
      </c>
      <c r="S745" s="132">
        <f t="shared" si="73"/>
        <v>1.5</v>
      </c>
      <c r="T745" s="132">
        <f t="shared" si="77"/>
        <v>1.5</v>
      </c>
      <c r="V745" s="131" t="str">
        <f t="shared" si="75"/>
        <v/>
      </c>
      <c r="W745" s="17"/>
      <c r="X745" s="7"/>
      <c r="Y745" s="161"/>
      <c r="Z745" s="7"/>
      <c r="AA745" s="117"/>
      <c r="AB745" s="117"/>
      <c r="AC745" s="117"/>
      <c r="CH745" s="2"/>
    </row>
    <row r="746" spans="1:88" x14ac:dyDescent="0.3">
      <c r="A746" s="2">
        <v>1717</v>
      </c>
      <c r="B746" s="2" t="s">
        <v>0</v>
      </c>
      <c r="C746" s="2" t="s">
        <v>1</v>
      </c>
      <c r="D746" s="2" t="s">
        <v>1210</v>
      </c>
      <c r="E746" s="2">
        <v>4600</v>
      </c>
      <c r="F746" s="2">
        <v>3.5000000000000001E-3</v>
      </c>
      <c r="G746" s="2">
        <v>2.5000000000000001E-3</v>
      </c>
      <c r="H746" s="4">
        <f t="shared" si="71"/>
        <v>0.2857142857142857</v>
      </c>
      <c r="I746" s="2" t="s">
        <v>82</v>
      </c>
      <c r="J746" s="2" t="s">
        <v>598</v>
      </c>
      <c r="K746" s="2"/>
      <c r="L746" s="2"/>
      <c r="M746" s="155"/>
      <c r="N746" s="155"/>
      <c r="O746" s="2">
        <v>72</v>
      </c>
      <c r="P746" s="6">
        <v>7</v>
      </c>
      <c r="Q746" s="131">
        <f t="shared" si="72"/>
        <v>64.397515527950318</v>
      </c>
      <c r="R746" s="33">
        <f t="shared" si="76"/>
        <v>6.9999999999999991</v>
      </c>
      <c r="S746" s="132">
        <f t="shared" si="73"/>
        <v>0.87499999999999989</v>
      </c>
      <c r="T746" s="132">
        <f t="shared" si="77"/>
        <v>0.87499999999999989</v>
      </c>
      <c r="V746" s="131" t="str">
        <f t="shared" si="75"/>
        <v/>
      </c>
      <c r="W746" s="17"/>
      <c r="X746" s="7"/>
      <c r="Y746" s="161"/>
      <c r="Z746" s="7"/>
      <c r="AA746" s="117"/>
      <c r="AB746" s="117"/>
      <c r="AC746" s="117"/>
      <c r="CH746" s="2"/>
    </row>
    <row r="747" spans="1:88" x14ac:dyDescent="0.3">
      <c r="A747" s="2">
        <v>1736</v>
      </c>
      <c r="B747" s="2" t="s">
        <v>0</v>
      </c>
      <c r="C747" s="2" t="s">
        <v>1</v>
      </c>
      <c r="D747" s="2" t="s">
        <v>1211</v>
      </c>
      <c r="E747" s="2">
        <v>2400</v>
      </c>
      <c r="F747" s="2">
        <v>2.5000000000000001E-3</v>
      </c>
      <c r="G747" s="2">
        <v>1.8E-3</v>
      </c>
      <c r="H747" s="4">
        <f t="shared" si="71"/>
        <v>0.28000000000000003</v>
      </c>
      <c r="I747" s="2" t="s">
        <v>82</v>
      </c>
      <c r="J747" s="2" t="s">
        <v>645</v>
      </c>
      <c r="K747" s="2" t="s">
        <v>5</v>
      </c>
      <c r="L747" s="2" t="s">
        <v>6</v>
      </c>
      <c r="M747" s="155"/>
      <c r="N747" s="155"/>
      <c r="O747" s="2">
        <v>48</v>
      </c>
      <c r="P747" s="6">
        <v>16</v>
      </c>
      <c r="Q747" s="131">
        <f t="shared" si="72"/>
        <v>36</v>
      </c>
      <c r="R747" s="33">
        <f t="shared" si="76"/>
        <v>16</v>
      </c>
      <c r="S747" s="132">
        <f t="shared" si="73"/>
        <v>2</v>
      </c>
      <c r="T747" s="132">
        <f t="shared" si="77"/>
        <v>2</v>
      </c>
      <c r="V747" s="131" t="str">
        <f t="shared" si="75"/>
        <v/>
      </c>
      <c r="W747" s="17"/>
      <c r="X747" s="7"/>
      <c r="Y747" s="161"/>
      <c r="Z747" s="7"/>
      <c r="AA747" s="117"/>
      <c r="AB747" s="117"/>
      <c r="AC747" s="117"/>
      <c r="CH747" s="2"/>
    </row>
    <row r="748" spans="1:88" x14ac:dyDescent="0.3">
      <c r="A748" s="2">
        <v>1737</v>
      </c>
      <c r="B748" s="2" t="s">
        <v>0</v>
      </c>
      <c r="C748" s="2" t="s">
        <v>1</v>
      </c>
      <c r="D748" s="2" t="s">
        <v>1212</v>
      </c>
      <c r="E748" s="2">
        <v>4800</v>
      </c>
      <c r="F748" s="2">
        <v>2.5000000000000001E-3</v>
      </c>
      <c r="G748" s="2">
        <v>1.8E-3</v>
      </c>
      <c r="H748" s="4">
        <f t="shared" si="71"/>
        <v>0.28000000000000003</v>
      </c>
      <c r="I748" s="2" t="s">
        <v>82</v>
      </c>
      <c r="J748" s="2" t="s">
        <v>645</v>
      </c>
      <c r="K748" s="2" t="s">
        <v>90</v>
      </c>
      <c r="L748" s="2" t="s">
        <v>6</v>
      </c>
      <c r="M748" s="155"/>
      <c r="N748" s="155"/>
      <c r="O748" s="2">
        <v>48</v>
      </c>
      <c r="P748" s="6">
        <v>8</v>
      </c>
      <c r="Q748" s="131">
        <f t="shared" si="72"/>
        <v>36</v>
      </c>
      <c r="R748" s="33">
        <f t="shared" si="76"/>
        <v>8</v>
      </c>
      <c r="S748" s="132">
        <f t="shared" si="73"/>
        <v>1</v>
      </c>
      <c r="T748" s="132">
        <f t="shared" si="77"/>
        <v>1</v>
      </c>
      <c r="V748" s="131" t="str">
        <f t="shared" si="75"/>
        <v/>
      </c>
      <c r="W748" s="17"/>
      <c r="X748" s="7"/>
      <c r="Y748" s="161"/>
      <c r="Z748" s="7"/>
      <c r="AA748" s="117"/>
      <c r="AB748" s="117"/>
      <c r="AC748" s="117"/>
      <c r="CH748" s="2"/>
    </row>
    <row r="749" spans="1:88" x14ac:dyDescent="0.3">
      <c r="A749" s="2">
        <v>1754</v>
      </c>
      <c r="B749" s="2" t="s">
        <v>0</v>
      </c>
      <c r="C749" s="2" t="s">
        <v>1</v>
      </c>
      <c r="D749" s="2" t="s">
        <v>1213</v>
      </c>
      <c r="E749" s="2">
        <v>300</v>
      </c>
      <c r="F749" s="2">
        <v>9.6799999999999997E-2</v>
      </c>
      <c r="G749" s="2">
        <v>5.96E-2</v>
      </c>
      <c r="H749" s="4">
        <f t="shared" si="71"/>
        <v>0.38429752066115702</v>
      </c>
      <c r="I749" s="2" t="s">
        <v>98</v>
      </c>
      <c r="J749" s="2" t="s">
        <v>631</v>
      </c>
      <c r="K749" s="2" t="s">
        <v>413</v>
      </c>
      <c r="L749" s="2" t="s">
        <v>76</v>
      </c>
      <c r="M749" s="155"/>
      <c r="N749" s="155"/>
      <c r="O749" s="2">
        <v>6</v>
      </c>
      <c r="P749" s="6">
        <v>20</v>
      </c>
      <c r="Q749" s="131">
        <f t="shared" si="72"/>
        <v>28.8</v>
      </c>
      <c r="R749" s="33">
        <f t="shared" si="76"/>
        <v>20</v>
      </c>
      <c r="S749" s="132">
        <f t="shared" si="73"/>
        <v>2.5</v>
      </c>
      <c r="T749" s="132">
        <f t="shared" si="77"/>
        <v>2.5</v>
      </c>
      <c r="V749" s="131" t="str">
        <f t="shared" si="75"/>
        <v/>
      </c>
      <c r="W749" s="17"/>
      <c r="X749" s="7"/>
      <c r="Y749" s="161"/>
      <c r="Z749" s="7"/>
      <c r="AA749" s="117"/>
      <c r="AB749" s="117"/>
      <c r="AC749" s="117"/>
      <c r="CH749" s="2"/>
    </row>
    <row r="750" spans="1:88" x14ac:dyDescent="0.3">
      <c r="A750" s="2">
        <v>1755</v>
      </c>
      <c r="B750" s="2" t="s">
        <v>0</v>
      </c>
      <c r="C750" s="2" t="s">
        <v>1</v>
      </c>
      <c r="D750" s="2" t="s">
        <v>1214</v>
      </c>
      <c r="E750" s="2">
        <v>300</v>
      </c>
      <c r="F750" s="2">
        <v>9.6799999999999997E-2</v>
      </c>
      <c r="G750" s="2">
        <v>5.96E-2</v>
      </c>
      <c r="H750" s="4">
        <f t="shared" si="71"/>
        <v>0.38429752066115702</v>
      </c>
      <c r="I750" s="2" t="s">
        <v>98</v>
      </c>
      <c r="J750" s="2" t="s">
        <v>631</v>
      </c>
      <c r="K750" s="2" t="s">
        <v>413</v>
      </c>
      <c r="L750" s="2" t="s">
        <v>76</v>
      </c>
      <c r="M750" s="155"/>
      <c r="N750" s="155"/>
      <c r="O750" s="2">
        <v>6</v>
      </c>
      <c r="P750" s="6">
        <v>20</v>
      </c>
      <c r="Q750" s="131">
        <f t="shared" si="72"/>
        <v>28.8</v>
      </c>
      <c r="R750" s="33">
        <f t="shared" si="76"/>
        <v>20</v>
      </c>
      <c r="S750" s="132">
        <f t="shared" si="73"/>
        <v>2.5</v>
      </c>
      <c r="T750" s="132">
        <f t="shared" si="77"/>
        <v>2.5</v>
      </c>
      <c r="V750" s="131" t="str">
        <f t="shared" si="75"/>
        <v/>
      </c>
      <c r="W750" s="17"/>
      <c r="X750" s="7"/>
      <c r="Y750" s="161"/>
      <c r="Z750" s="7"/>
      <c r="AA750" s="117"/>
      <c r="AB750" s="117"/>
      <c r="AC750" s="117"/>
      <c r="CH750" s="2"/>
    </row>
    <row r="751" spans="1:88" x14ac:dyDescent="0.3">
      <c r="A751" s="2">
        <v>1756</v>
      </c>
      <c r="B751" s="2" t="s">
        <v>0</v>
      </c>
      <c r="C751" s="2" t="s">
        <v>1</v>
      </c>
      <c r="D751" s="2" t="s">
        <v>1215</v>
      </c>
      <c r="E751" s="2">
        <v>300</v>
      </c>
      <c r="F751" s="2">
        <v>9.6799999999999997E-2</v>
      </c>
      <c r="G751" s="2">
        <v>5.96E-2</v>
      </c>
      <c r="H751" s="4">
        <f t="shared" si="71"/>
        <v>0.38429752066115702</v>
      </c>
      <c r="I751" s="2" t="s">
        <v>98</v>
      </c>
      <c r="J751" s="2" t="s">
        <v>631</v>
      </c>
      <c r="K751" s="2" t="s">
        <v>413</v>
      </c>
      <c r="L751" s="2" t="s">
        <v>76</v>
      </c>
      <c r="M751" s="155"/>
      <c r="N751" s="155"/>
      <c r="O751" s="2">
        <v>6</v>
      </c>
      <c r="P751" s="6">
        <v>20</v>
      </c>
      <c r="Q751" s="131">
        <f t="shared" si="72"/>
        <v>28.8</v>
      </c>
      <c r="R751" s="33">
        <f t="shared" si="76"/>
        <v>20</v>
      </c>
      <c r="S751" s="132">
        <f t="shared" si="73"/>
        <v>2.5</v>
      </c>
      <c r="T751" s="132">
        <f t="shared" si="77"/>
        <v>2.5</v>
      </c>
      <c r="V751" s="131" t="str">
        <f t="shared" si="75"/>
        <v/>
      </c>
      <c r="W751" s="17"/>
      <c r="X751" s="7"/>
      <c r="Y751" s="161"/>
      <c r="Z751" s="7"/>
      <c r="AA751" s="117"/>
      <c r="AB751" s="117"/>
      <c r="AC751" s="117"/>
      <c r="CH751" s="2"/>
    </row>
    <row r="752" spans="1:88" x14ac:dyDescent="0.3">
      <c r="A752" s="2">
        <v>1757</v>
      </c>
      <c r="B752" s="2" t="s">
        <v>0</v>
      </c>
      <c r="C752" s="2" t="s">
        <v>1</v>
      </c>
      <c r="D752" s="2" t="s">
        <v>1216</v>
      </c>
      <c r="E752" s="2">
        <v>300</v>
      </c>
      <c r="F752" s="2">
        <v>9.6799999999999997E-2</v>
      </c>
      <c r="G752" s="2">
        <v>5.96E-2</v>
      </c>
      <c r="H752" s="4">
        <f t="shared" si="71"/>
        <v>0.38429752066115702</v>
      </c>
      <c r="I752" s="2" t="s">
        <v>98</v>
      </c>
      <c r="J752" s="2" t="s">
        <v>1217</v>
      </c>
      <c r="K752" s="2" t="s">
        <v>413</v>
      </c>
      <c r="L752" s="2" t="s">
        <v>76</v>
      </c>
      <c r="M752" s="155"/>
      <c r="N752" s="155"/>
      <c r="O752" s="2">
        <v>6</v>
      </c>
      <c r="P752" s="6">
        <v>20</v>
      </c>
      <c r="Q752" s="131">
        <f t="shared" si="72"/>
        <v>28.8</v>
      </c>
      <c r="R752" s="33">
        <f t="shared" si="76"/>
        <v>20</v>
      </c>
      <c r="S752" s="132">
        <f t="shared" si="73"/>
        <v>2.5</v>
      </c>
      <c r="T752" s="132">
        <f t="shared" si="77"/>
        <v>2.5</v>
      </c>
      <c r="V752" s="131" t="str">
        <f t="shared" si="75"/>
        <v/>
      </c>
      <c r="W752" s="17"/>
      <c r="X752" s="7"/>
      <c r="Y752" s="161"/>
      <c r="Z752" s="7"/>
      <c r="AA752" s="117"/>
      <c r="AB752" s="117"/>
      <c r="AC752" s="117"/>
      <c r="CH752" s="2"/>
    </row>
    <row r="753" spans="1:88" x14ac:dyDescent="0.3">
      <c r="A753" s="2">
        <v>1758</v>
      </c>
      <c r="B753" s="2" t="s">
        <v>84</v>
      </c>
      <c r="C753" s="2" t="s">
        <v>1</v>
      </c>
      <c r="D753" s="2" t="s">
        <v>1218</v>
      </c>
      <c r="E753" s="2">
        <v>540</v>
      </c>
      <c r="F753" s="2">
        <v>5.1700000000000003E-2</v>
      </c>
      <c r="G753" s="2"/>
      <c r="H753" s="4">
        <f t="shared" si="71"/>
        <v>1</v>
      </c>
      <c r="I753" s="2" t="s">
        <v>98</v>
      </c>
      <c r="J753" s="2" t="s">
        <v>1219</v>
      </c>
      <c r="K753" s="2" t="s">
        <v>222</v>
      </c>
      <c r="L753" s="2" t="s">
        <v>76</v>
      </c>
      <c r="M753" s="155"/>
      <c r="N753" s="155"/>
      <c r="O753" s="2">
        <v>6</v>
      </c>
      <c r="P753" s="6">
        <v>22</v>
      </c>
      <c r="Q753" s="131">
        <f t="shared" si="72"/>
        <v>14.545454545454545</v>
      </c>
      <c r="R753" s="33">
        <f t="shared" si="76"/>
        <v>22</v>
      </c>
      <c r="S753" s="132">
        <f t="shared" si="73"/>
        <v>2.75</v>
      </c>
      <c r="T753" s="132">
        <f t="shared" si="77"/>
        <v>2.75</v>
      </c>
      <c r="V753" s="131" t="str">
        <f t="shared" si="75"/>
        <v/>
      </c>
      <c r="W753" s="17"/>
      <c r="X753" s="7"/>
      <c r="Y753" s="161"/>
      <c r="Z753" s="7"/>
      <c r="AA753" s="117"/>
      <c r="AB753" s="117"/>
      <c r="AC753" s="117"/>
      <c r="CH753" s="2"/>
      <c r="CI753">
        <v>540</v>
      </c>
      <c r="CJ753">
        <v>22</v>
      </c>
    </row>
    <row r="754" spans="1:88" x14ac:dyDescent="0.3">
      <c r="A754" s="2">
        <v>1760</v>
      </c>
      <c r="B754" s="2" t="s">
        <v>0</v>
      </c>
      <c r="C754" s="2" t="s">
        <v>1</v>
      </c>
      <c r="D754" s="2" t="s">
        <v>1220</v>
      </c>
      <c r="E754" s="2">
        <v>200</v>
      </c>
      <c r="F754" s="2">
        <v>9.6799999999999997E-2</v>
      </c>
      <c r="G754" s="2">
        <v>5.96E-2</v>
      </c>
      <c r="H754" s="4">
        <f t="shared" si="71"/>
        <v>0.38429752066115702</v>
      </c>
      <c r="I754" s="2" t="s">
        <v>98</v>
      </c>
      <c r="J754" s="2" t="s">
        <v>631</v>
      </c>
      <c r="K754" s="2" t="s">
        <v>413</v>
      </c>
      <c r="L754" s="2" t="s">
        <v>76</v>
      </c>
      <c r="M754" s="155"/>
      <c r="N754" s="155"/>
      <c r="O754" s="2">
        <v>6</v>
      </c>
      <c r="P754" s="6">
        <v>28</v>
      </c>
      <c r="Q754" s="131">
        <f t="shared" si="72"/>
        <v>30.857142857142858</v>
      </c>
      <c r="R754" s="33">
        <f t="shared" si="76"/>
        <v>28</v>
      </c>
      <c r="S754" s="132">
        <f t="shared" si="73"/>
        <v>3.5</v>
      </c>
      <c r="T754" s="132">
        <f t="shared" si="77"/>
        <v>3.5</v>
      </c>
      <c r="V754" s="131" t="str">
        <f t="shared" si="75"/>
        <v/>
      </c>
      <c r="W754" s="17"/>
      <c r="X754" s="7"/>
      <c r="Y754" s="161"/>
      <c r="Z754" s="7"/>
      <c r="AA754" s="117"/>
      <c r="AB754" s="117"/>
      <c r="AC754" s="117"/>
      <c r="CH754" s="2"/>
    </row>
    <row r="755" spans="1:88" x14ac:dyDescent="0.3">
      <c r="A755" s="2">
        <v>1761</v>
      </c>
      <c r="B755" s="2" t="s">
        <v>0</v>
      </c>
      <c r="C755" s="2" t="s">
        <v>1</v>
      </c>
      <c r="D755" s="2" t="s">
        <v>1221</v>
      </c>
      <c r="E755" s="2">
        <v>200</v>
      </c>
      <c r="F755" s="2">
        <v>9.6799999999999997E-2</v>
      </c>
      <c r="G755" s="2">
        <v>5.96E-2</v>
      </c>
      <c r="H755" s="4">
        <f t="shared" si="71"/>
        <v>0.38429752066115702</v>
      </c>
      <c r="I755" s="2" t="s">
        <v>98</v>
      </c>
      <c r="J755" s="2" t="s">
        <v>1217</v>
      </c>
      <c r="K755" s="2" t="s">
        <v>413</v>
      </c>
      <c r="L755" s="2" t="s">
        <v>76</v>
      </c>
      <c r="M755" s="155"/>
      <c r="N755" s="155"/>
      <c r="O755" s="2">
        <v>6</v>
      </c>
      <c r="P755" s="6">
        <v>28</v>
      </c>
      <c r="Q755" s="131">
        <f t="shared" si="72"/>
        <v>30.857142857142858</v>
      </c>
      <c r="R755" s="33">
        <f t="shared" si="76"/>
        <v>28</v>
      </c>
      <c r="S755" s="132">
        <f t="shared" si="73"/>
        <v>3.5</v>
      </c>
      <c r="T755" s="132">
        <f t="shared" si="77"/>
        <v>3.5</v>
      </c>
      <c r="V755" s="131" t="str">
        <f t="shared" si="75"/>
        <v/>
      </c>
      <c r="W755" s="17"/>
      <c r="X755" s="7"/>
      <c r="Y755" s="161"/>
      <c r="Z755" s="7"/>
      <c r="AA755" s="117"/>
      <c r="AB755" s="117"/>
      <c r="AC755" s="117"/>
      <c r="CH755" s="2"/>
    </row>
    <row r="756" spans="1:88" x14ac:dyDescent="0.3">
      <c r="A756" s="2">
        <v>1769</v>
      </c>
      <c r="B756" s="2" t="s">
        <v>84</v>
      </c>
      <c r="C756" s="2" t="s">
        <v>1</v>
      </c>
      <c r="D756" s="2" t="s">
        <v>1222</v>
      </c>
      <c r="E756" s="2">
        <v>1140</v>
      </c>
      <c r="F756" s="2">
        <v>2.7699999999999999E-2</v>
      </c>
      <c r="G756" s="2"/>
      <c r="H756" s="4">
        <f t="shared" si="71"/>
        <v>1</v>
      </c>
      <c r="I756" s="2" t="s">
        <v>98</v>
      </c>
      <c r="J756" s="2" t="s">
        <v>1223</v>
      </c>
      <c r="K756" s="2" t="s">
        <v>413</v>
      </c>
      <c r="L756" s="2" t="s">
        <v>76</v>
      </c>
      <c r="M756" s="155"/>
      <c r="N756" s="155"/>
      <c r="O756" s="2">
        <v>26</v>
      </c>
      <c r="P756" s="6"/>
      <c r="Q756" s="131" t="str">
        <f t="shared" si="72"/>
        <v/>
      </c>
      <c r="R756" s="33" t="str">
        <f t="shared" si="76"/>
        <v/>
      </c>
      <c r="S756" s="132" t="str">
        <f t="shared" si="73"/>
        <v/>
      </c>
      <c r="T756" s="132" t="str">
        <f t="shared" si="77"/>
        <v/>
      </c>
      <c r="V756" s="131" t="str">
        <f t="shared" si="75"/>
        <v/>
      </c>
      <c r="W756" s="17"/>
      <c r="X756" s="7"/>
      <c r="Y756" s="161"/>
      <c r="Z756" s="7"/>
      <c r="AA756" s="117"/>
      <c r="AB756" s="117"/>
      <c r="AC756" s="117"/>
      <c r="CH756" s="2"/>
    </row>
    <row r="757" spans="1:88" x14ac:dyDescent="0.3">
      <c r="A757" s="2">
        <v>1770</v>
      </c>
      <c r="B757" s="2" t="s">
        <v>84</v>
      </c>
      <c r="C757" s="2" t="s">
        <v>1</v>
      </c>
      <c r="D757" s="2" t="s">
        <v>1224</v>
      </c>
      <c r="E757" s="2">
        <v>1140</v>
      </c>
      <c r="F757" s="2">
        <v>2.7699999999999999E-2</v>
      </c>
      <c r="G757" s="2"/>
      <c r="H757" s="4">
        <f t="shared" si="71"/>
        <v>1</v>
      </c>
      <c r="I757" s="2" t="s">
        <v>98</v>
      </c>
      <c r="J757" s="2" t="s">
        <v>1225</v>
      </c>
      <c r="K757" s="2" t="s">
        <v>413</v>
      </c>
      <c r="L757" s="2" t="s">
        <v>76</v>
      </c>
      <c r="M757" s="155"/>
      <c r="N757" s="155"/>
      <c r="O757" s="2">
        <v>26</v>
      </c>
      <c r="P757" s="6">
        <v>10</v>
      </c>
      <c r="Q757" s="131">
        <f t="shared" si="72"/>
        <v>65.684210526315795</v>
      </c>
      <c r="R757" s="33">
        <f t="shared" si="76"/>
        <v>10</v>
      </c>
      <c r="S757" s="132">
        <f t="shared" si="73"/>
        <v>1.25</v>
      </c>
      <c r="T757" s="132">
        <f t="shared" si="77"/>
        <v>1.25</v>
      </c>
      <c r="V757" s="131" t="str">
        <f t="shared" si="75"/>
        <v/>
      </c>
      <c r="W757" s="17"/>
      <c r="X757" s="7"/>
      <c r="Y757" s="161"/>
      <c r="Z757" s="7"/>
      <c r="AA757" s="117"/>
      <c r="AB757" s="117"/>
      <c r="AC757" s="117"/>
      <c r="CH757" s="2"/>
    </row>
    <row r="758" spans="1:88" x14ac:dyDescent="0.3">
      <c r="A758" s="2">
        <v>1771</v>
      </c>
      <c r="B758" s="2" t="s">
        <v>84</v>
      </c>
      <c r="C758" s="2" t="s">
        <v>1</v>
      </c>
      <c r="D758" s="2" t="s">
        <v>1226</v>
      </c>
      <c r="E758" s="2">
        <v>1140</v>
      </c>
      <c r="F758" s="2">
        <v>2.7699999999999999E-2</v>
      </c>
      <c r="G758" s="2"/>
      <c r="H758" s="4">
        <f t="shared" si="71"/>
        <v>1</v>
      </c>
      <c r="I758" s="2" t="s">
        <v>98</v>
      </c>
      <c r="J758" s="2" t="s">
        <v>1227</v>
      </c>
      <c r="K758" s="2" t="s">
        <v>413</v>
      </c>
      <c r="L758" s="2" t="s">
        <v>76</v>
      </c>
      <c r="M758" s="155"/>
      <c r="N758" s="155"/>
      <c r="O758" s="2">
        <v>26</v>
      </c>
      <c r="P758" s="6"/>
      <c r="Q758" s="131" t="str">
        <f t="shared" si="72"/>
        <v/>
      </c>
      <c r="R758" s="33" t="str">
        <f t="shared" si="76"/>
        <v/>
      </c>
      <c r="S758" s="132" t="str">
        <f t="shared" si="73"/>
        <v/>
      </c>
      <c r="T758" s="132" t="str">
        <f t="shared" si="77"/>
        <v/>
      </c>
      <c r="V758" s="131" t="str">
        <f t="shared" si="75"/>
        <v/>
      </c>
      <c r="W758" s="17"/>
      <c r="X758" s="7"/>
      <c r="Y758" s="161"/>
      <c r="Z758" s="7"/>
      <c r="AA758" s="117"/>
      <c r="AB758" s="117"/>
      <c r="AC758" s="117"/>
      <c r="CH758" s="2"/>
    </row>
    <row r="759" spans="1:88" x14ac:dyDescent="0.3">
      <c r="A759" s="2">
        <v>1772</v>
      </c>
      <c r="B759" s="2" t="s">
        <v>84</v>
      </c>
      <c r="C759" s="2" t="s">
        <v>1</v>
      </c>
      <c r="D759" s="2" t="s">
        <v>1228</v>
      </c>
      <c r="E759" s="2">
        <v>1140</v>
      </c>
      <c r="F759" s="2">
        <v>2.7699999999999999E-2</v>
      </c>
      <c r="G759" s="2"/>
      <c r="H759" s="4">
        <f t="shared" si="71"/>
        <v>1</v>
      </c>
      <c r="I759" s="2" t="s">
        <v>98</v>
      </c>
      <c r="J759" s="2" t="s">
        <v>1227</v>
      </c>
      <c r="K759" s="2" t="s">
        <v>413</v>
      </c>
      <c r="L759" s="2" t="s">
        <v>76</v>
      </c>
      <c r="M759" s="155"/>
      <c r="N759" s="155"/>
      <c r="O759" s="2">
        <v>26</v>
      </c>
      <c r="P759" s="6"/>
      <c r="Q759" s="131" t="str">
        <f t="shared" si="72"/>
        <v/>
      </c>
      <c r="R759" s="33" t="str">
        <f t="shared" si="76"/>
        <v/>
      </c>
      <c r="S759" s="132" t="str">
        <f t="shared" si="73"/>
        <v/>
      </c>
      <c r="T759" s="132" t="str">
        <f t="shared" si="77"/>
        <v/>
      </c>
      <c r="V759" s="131" t="str">
        <f t="shared" si="75"/>
        <v/>
      </c>
      <c r="W759" s="17"/>
      <c r="X759" s="7"/>
      <c r="Y759" s="161"/>
      <c r="Z759" s="7"/>
      <c r="AA759" s="117"/>
      <c r="AB759" s="117"/>
      <c r="AC759" s="117"/>
      <c r="CH759" s="2"/>
    </row>
    <row r="760" spans="1:88" x14ac:dyDescent="0.3">
      <c r="A760" s="2">
        <v>1773</v>
      </c>
      <c r="B760" s="2" t="s">
        <v>84</v>
      </c>
      <c r="C760" s="2" t="s">
        <v>1</v>
      </c>
      <c r="D760" s="2" t="s">
        <v>1229</v>
      </c>
      <c r="E760" s="2">
        <v>1140</v>
      </c>
      <c r="F760" s="2">
        <v>2.7699999999999999E-2</v>
      </c>
      <c r="G760" s="2"/>
      <c r="H760" s="4">
        <f t="shared" si="71"/>
        <v>1</v>
      </c>
      <c r="I760" s="2" t="s">
        <v>98</v>
      </c>
      <c r="J760" s="2" t="s">
        <v>1225</v>
      </c>
      <c r="K760" s="2" t="s">
        <v>413</v>
      </c>
      <c r="L760" s="2" t="s">
        <v>76</v>
      </c>
      <c r="M760" s="155"/>
      <c r="N760" s="155"/>
      <c r="O760" s="2">
        <v>26</v>
      </c>
      <c r="P760" s="6"/>
      <c r="Q760" s="131" t="str">
        <f t="shared" si="72"/>
        <v/>
      </c>
      <c r="R760" s="33" t="str">
        <f t="shared" si="76"/>
        <v/>
      </c>
      <c r="S760" s="132" t="str">
        <f t="shared" si="73"/>
        <v/>
      </c>
      <c r="T760" s="132" t="str">
        <f t="shared" si="77"/>
        <v/>
      </c>
      <c r="V760" s="131" t="str">
        <f t="shared" si="75"/>
        <v/>
      </c>
      <c r="W760" s="17"/>
      <c r="X760" s="7"/>
      <c r="Y760" s="161"/>
      <c r="Z760" s="7"/>
      <c r="AA760" s="117"/>
      <c r="AB760" s="117"/>
      <c r="AC760" s="117"/>
      <c r="CH760" s="2"/>
    </row>
    <row r="761" spans="1:88" x14ac:dyDescent="0.3">
      <c r="A761" s="2">
        <v>1774</v>
      </c>
      <c r="B761" s="2" t="s">
        <v>84</v>
      </c>
      <c r="C761" s="2" t="s">
        <v>1</v>
      </c>
      <c r="D761" s="2" t="s">
        <v>1230</v>
      </c>
      <c r="E761" s="2">
        <v>1140</v>
      </c>
      <c r="F761" s="2">
        <v>2.7699999999999999E-2</v>
      </c>
      <c r="G761" s="2"/>
      <c r="H761" s="4">
        <f t="shared" si="71"/>
        <v>1</v>
      </c>
      <c r="I761" s="2" t="s">
        <v>98</v>
      </c>
      <c r="J761" s="2" t="s">
        <v>1231</v>
      </c>
      <c r="K761" s="2" t="s">
        <v>413</v>
      </c>
      <c r="L761" s="2" t="s">
        <v>76</v>
      </c>
      <c r="M761" s="155"/>
      <c r="N761" s="155"/>
      <c r="O761" s="2">
        <v>26</v>
      </c>
      <c r="P761" s="6"/>
      <c r="Q761" s="131" t="str">
        <f t="shared" si="72"/>
        <v/>
      </c>
      <c r="R761" s="33" t="str">
        <f t="shared" si="76"/>
        <v/>
      </c>
      <c r="S761" s="132" t="str">
        <f t="shared" si="73"/>
        <v/>
      </c>
      <c r="T761" s="132" t="str">
        <f t="shared" si="77"/>
        <v/>
      </c>
      <c r="V761" s="131" t="str">
        <f t="shared" si="75"/>
        <v/>
      </c>
      <c r="W761" s="17"/>
      <c r="X761" s="7"/>
      <c r="Y761" s="161"/>
      <c r="Z761" s="7"/>
      <c r="AA761" s="117"/>
      <c r="AB761" s="117"/>
      <c r="AC761" s="117"/>
      <c r="CH761" s="2"/>
    </row>
    <row r="762" spans="1:88" x14ac:dyDescent="0.3">
      <c r="A762" s="2">
        <v>1775</v>
      </c>
      <c r="B762" s="2" t="s">
        <v>84</v>
      </c>
      <c r="C762" s="2" t="s">
        <v>1</v>
      </c>
      <c r="D762" s="2" t="s">
        <v>1232</v>
      </c>
      <c r="E762" s="2">
        <v>1140</v>
      </c>
      <c r="F762" s="2">
        <v>2.7699999999999999E-2</v>
      </c>
      <c r="G762" s="2"/>
      <c r="H762" s="4">
        <f t="shared" si="71"/>
        <v>1</v>
      </c>
      <c r="I762" s="2" t="s">
        <v>98</v>
      </c>
      <c r="J762" s="2" t="s">
        <v>1233</v>
      </c>
      <c r="K762" s="2" t="s">
        <v>413</v>
      </c>
      <c r="L762" s="2" t="s">
        <v>76</v>
      </c>
      <c r="M762" s="155"/>
      <c r="N762" s="155"/>
      <c r="O762" s="2">
        <v>26</v>
      </c>
      <c r="P762" s="6"/>
      <c r="Q762" s="131" t="str">
        <f t="shared" si="72"/>
        <v/>
      </c>
      <c r="R762" s="33" t="str">
        <f t="shared" si="76"/>
        <v/>
      </c>
      <c r="S762" s="132" t="str">
        <f t="shared" si="73"/>
        <v/>
      </c>
      <c r="T762" s="132" t="str">
        <f t="shared" si="77"/>
        <v/>
      </c>
      <c r="V762" s="131" t="str">
        <f t="shared" si="75"/>
        <v/>
      </c>
      <c r="W762" s="17"/>
      <c r="X762" s="7"/>
      <c r="Y762" s="161"/>
      <c r="Z762" s="7"/>
      <c r="AA762" s="117"/>
      <c r="AB762" s="117"/>
      <c r="AC762" s="117"/>
      <c r="CH762" s="2"/>
    </row>
    <row r="763" spans="1:88" x14ac:dyDescent="0.3">
      <c r="A763" s="2">
        <v>1776</v>
      </c>
      <c r="B763" s="2" t="s">
        <v>84</v>
      </c>
      <c r="C763" s="2" t="s">
        <v>1</v>
      </c>
      <c r="D763" s="2" t="s">
        <v>1234</v>
      </c>
      <c r="E763" s="2">
        <v>1140</v>
      </c>
      <c r="F763" s="2">
        <v>2.7699999999999999E-2</v>
      </c>
      <c r="G763" s="2"/>
      <c r="H763" s="4">
        <f t="shared" ref="H763:H786" si="78">(F763-G763)/F763</f>
        <v>1</v>
      </c>
      <c r="I763" s="2" t="s">
        <v>98</v>
      </c>
      <c r="J763" s="2" t="s">
        <v>1235</v>
      </c>
      <c r="K763" s="2" t="s">
        <v>413</v>
      </c>
      <c r="L763" s="2" t="s">
        <v>76</v>
      </c>
      <c r="M763" s="155"/>
      <c r="N763" s="155"/>
      <c r="O763" s="2">
        <v>26</v>
      </c>
      <c r="P763" s="6"/>
      <c r="Q763" s="131" t="str">
        <f t="shared" ref="Q763:Q811" si="79">IFERROR(60*60*8*O763/E763/P763,"")</f>
        <v/>
      </c>
      <c r="R763" s="33" t="str">
        <f t="shared" si="76"/>
        <v/>
      </c>
      <c r="S763" s="132" t="str">
        <f t="shared" ref="S763:S811" si="80">IFERROR(R763/8,"")</f>
        <v/>
      </c>
      <c r="T763" s="132" t="str">
        <f t="shared" si="77"/>
        <v/>
      </c>
      <c r="V763" s="131" t="str">
        <f t="shared" ref="V763:V811" si="81">IF(X763&gt;10,X763*O763/E763,"")</f>
        <v/>
      </c>
      <c r="W763" s="17"/>
      <c r="X763" s="7"/>
      <c r="Y763" s="161"/>
      <c r="Z763" s="7"/>
      <c r="AA763" s="117"/>
      <c r="AB763" s="117"/>
      <c r="AC763" s="117"/>
      <c r="CH763" s="2"/>
    </row>
    <row r="764" spans="1:88" x14ac:dyDescent="0.3">
      <c r="A764" s="2">
        <v>1777</v>
      </c>
      <c r="B764" s="2" t="s">
        <v>84</v>
      </c>
      <c r="C764" s="2" t="s">
        <v>1</v>
      </c>
      <c r="D764" s="2" t="s">
        <v>1236</v>
      </c>
      <c r="E764" s="2">
        <v>1140</v>
      </c>
      <c r="F764" s="2">
        <v>2.7699999999999999E-2</v>
      </c>
      <c r="G764" s="2"/>
      <c r="H764" s="4">
        <f t="shared" si="78"/>
        <v>1</v>
      </c>
      <c r="I764" s="2" t="s">
        <v>98</v>
      </c>
      <c r="J764" s="2" t="s">
        <v>1237</v>
      </c>
      <c r="K764" s="2" t="s">
        <v>413</v>
      </c>
      <c r="L764" s="2" t="s">
        <v>76</v>
      </c>
      <c r="M764" s="155"/>
      <c r="N764" s="155"/>
      <c r="O764" s="2">
        <v>26</v>
      </c>
      <c r="P764" s="6"/>
      <c r="Q764" s="131" t="str">
        <f t="shared" si="79"/>
        <v/>
      </c>
      <c r="R764" s="33" t="str">
        <f t="shared" si="76"/>
        <v/>
      </c>
      <c r="S764" s="132" t="str">
        <f t="shared" si="80"/>
        <v/>
      </c>
      <c r="T764" s="132" t="str">
        <f t="shared" si="77"/>
        <v/>
      </c>
      <c r="V764" s="131" t="str">
        <f t="shared" si="81"/>
        <v/>
      </c>
      <c r="W764" s="17"/>
      <c r="X764" s="7"/>
      <c r="Y764" s="161"/>
      <c r="Z764" s="7"/>
      <c r="AA764" s="117"/>
      <c r="AB764" s="117"/>
      <c r="AC764" s="117"/>
      <c r="CH764" s="2"/>
    </row>
    <row r="765" spans="1:88" x14ac:dyDescent="0.3">
      <c r="A765" s="2">
        <v>1778</v>
      </c>
      <c r="B765" s="2" t="s">
        <v>84</v>
      </c>
      <c r="C765" s="2" t="s">
        <v>1</v>
      </c>
      <c r="D765" s="2" t="s">
        <v>1238</v>
      </c>
      <c r="E765" s="2">
        <v>1140</v>
      </c>
      <c r="F765" s="2">
        <v>2.7699999999999999E-2</v>
      </c>
      <c r="G765" s="2"/>
      <c r="H765" s="4">
        <f t="shared" si="78"/>
        <v>1</v>
      </c>
      <c r="I765" s="2" t="s">
        <v>98</v>
      </c>
      <c r="J765" s="2" t="s">
        <v>1237</v>
      </c>
      <c r="K765" s="2" t="s">
        <v>413</v>
      </c>
      <c r="L765" s="2" t="s">
        <v>76</v>
      </c>
      <c r="M765" s="155"/>
      <c r="N765" s="155"/>
      <c r="O765" s="2">
        <v>26</v>
      </c>
      <c r="P765" s="6"/>
      <c r="Q765" s="131" t="str">
        <f t="shared" si="79"/>
        <v/>
      </c>
      <c r="R765" s="33" t="str">
        <f t="shared" si="76"/>
        <v/>
      </c>
      <c r="S765" s="132" t="str">
        <f t="shared" si="80"/>
        <v/>
      </c>
      <c r="T765" s="132" t="str">
        <f t="shared" si="77"/>
        <v/>
      </c>
      <c r="V765" s="131" t="str">
        <f t="shared" si="81"/>
        <v/>
      </c>
      <c r="W765" s="17"/>
      <c r="X765" s="7"/>
      <c r="Y765" s="161"/>
      <c r="Z765" s="7"/>
      <c r="AA765" s="117"/>
      <c r="AB765" s="117"/>
      <c r="AC765" s="117"/>
      <c r="CH765" s="2"/>
    </row>
    <row r="766" spans="1:88" x14ac:dyDescent="0.3">
      <c r="A766" s="2">
        <v>1779</v>
      </c>
      <c r="B766" s="2" t="s">
        <v>0</v>
      </c>
      <c r="C766" s="2" t="s">
        <v>1</v>
      </c>
      <c r="D766" s="2" t="s">
        <v>1239</v>
      </c>
      <c r="E766" s="2">
        <v>200</v>
      </c>
      <c r="F766" s="2">
        <v>9.6799999999999997E-2</v>
      </c>
      <c r="G766" s="2">
        <v>5.96E-2</v>
      </c>
      <c r="H766" s="4">
        <f t="shared" si="78"/>
        <v>0.38429752066115702</v>
      </c>
      <c r="I766" s="2" t="s">
        <v>98</v>
      </c>
      <c r="J766" s="2" t="s">
        <v>1240</v>
      </c>
      <c r="K766" s="2" t="s">
        <v>413</v>
      </c>
      <c r="L766" s="2" t="s">
        <v>76</v>
      </c>
      <c r="M766" s="155"/>
      <c r="N766" s="155"/>
      <c r="O766" s="2">
        <v>6</v>
      </c>
      <c r="P766" s="6">
        <v>28</v>
      </c>
      <c r="Q766" s="131">
        <f t="shared" si="79"/>
        <v>30.857142857142858</v>
      </c>
      <c r="R766" s="33">
        <f t="shared" si="76"/>
        <v>28</v>
      </c>
      <c r="S766" s="132">
        <f t="shared" si="80"/>
        <v>3.5</v>
      </c>
      <c r="T766" s="132">
        <f t="shared" si="77"/>
        <v>3.5</v>
      </c>
      <c r="V766" s="131" t="str">
        <f t="shared" si="81"/>
        <v/>
      </c>
      <c r="W766" s="17"/>
      <c r="X766" s="7"/>
      <c r="Y766" s="161"/>
      <c r="Z766" s="7"/>
      <c r="AA766" s="117"/>
      <c r="AB766" s="117"/>
      <c r="AC766" s="117"/>
      <c r="CH766" s="2"/>
    </row>
    <row r="767" spans="1:88" x14ac:dyDescent="0.3">
      <c r="A767" s="2">
        <v>1782</v>
      </c>
      <c r="B767" s="2" t="s">
        <v>84</v>
      </c>
      <c r="C767" s="2" t="s">
        <v>1</v>
      </c>
      <c r="D767" s="2" t="s">
        <v>1241</v>
      </c>
      <c r="E767" s="2">
        <v>360</v>
      </c>
      <c r="F767" s="2">
        <v>5.8999999999999997E-2</v>
      </c>
      <c r="G767" s="2"/>
      <c r="H767" s="4">
        <f t="shared" si="78"/>
        <v>1</v>
      </c>
      <c r="I767" s="2" t="s">
        <v>98</v>
      </c>
      <c r="J767" s="2" t="s">
        <v>1242</v>
      </c>
      <c r="K767" s="2" t="s">
        <v>105</v>
      </c>
      <c r="L767" s="2" t="s">
        <v>76</v>
      </c>
      <c r="M767" s="155"/>
      <c r="N767" s="155"/>
      <c r="O767" s="2">
        <v>6</v>
      </c>
      <c r="P767" s="6">
        <v>20</v>
      </c>
      <c r="Q767" s="131">
        <f t="shared" si="79"/>
        <v>24</v>
      </c>
      <c r="R767" s="33">
        <f t="shared" si="76"/>
        <v>20</v>
      </c>
      <c r="S767" s="132">
        <f t="shared" si="80"/>
        <v>2.5</v>
      </c>
      <c r="T767" s="132">
        <f t="shared" si="77"/>
        <v>2.5</v>
      </c>
      <c r="V767" s="131" t="str">
        <f t="shared" si="81"/>
        <v/>
      </c>
      <c r="W767" s="17"/>
      <c r="X767" s="7"/>
      <c r="Y767" s="161"/>
      <c r="Z767" s="7"/>
      <c r="AA767" s="117"/>
      <c r="AB767" s="117"/>
      <c r="AC767" s="117"/>
      <c r="CH767" s="2"/>
    </row>
    <row r="768" spans="1:88" x14ac:dyDescent="0.3">
      <c r="A768" s="2">
        <v>1788</v>
      </c>
      <c r="B768" s="2" t="s">
        <v>84</v>
      </c>
      <c r="C768" s="2" t="s">
        <v>1</v>
      </c>
      <c r="D768" s="2" t="s">
        <v>1243</v>
      </c>
      <c r="E768" s="2">
        <v>1440</v>
      </c>
      <c r="F768" s="2">
        <v>1.41E-2</v>
      </c>
      <c r="G768" s="2"/>
      <c r="H768" s="4">
        <f t="shared" si="78"/>
        <v>1</v>
      </c>
      <c r="I768" s="2" t="s">
        <v>82</v>
      </c>
      <c r="J768" s="2" t="s">
        <v>743</v>
      </c>
      <c r="K768" s="2" t="s">
        <v>105</v>
      </c>
      <c r="L768" s="2" t="s">
        <v>76</v>
      </c>
      <c r="M768" s="155"/>
      <c r="N768" s="155"/>
      <c r="O768" s="2">
        <v>26</v>
      </c>
      <c r="P768" s="6">
        <v>18</v>
      </c>
      <c r="Q768" s="131">
        <f t="shared" si="79"/>
        <v>28.888888888888889</v>
      </c>
      <c r="R768" s="33">
        <f t="shared" si="76"/>
        <v>18</v>
      </c>
      <c r="S768" s="132">
        <f t="shared" si="80"/>
        <v>2.25</v>
      </c>
      <c r="T768" s="132">
        <f t="shared" si="77"/>
        <v>2.25</v>
      </c>
      <c r="V768" s="131" t="str">
        <f t="shared" si="81"/>
        <v/>
      </c>
      <c r="W768" s="17"/>
      <c r="X768" s="7"/>
      <c r="Y768" s="161"/>
      <c r="Z768" s="7"/>
      <c r="AA768" s="117"/>
      <c r="AB768" s="117"/>
      <c r="AC768" s="117"/>
      <c r="CH768" s="2"/>
    </row>
    <row r="769" spans="1:86" x14ac:dyDescent="0.3">
      <c r="A769" s="2">
        <v>1794</v>
      </c>
      <c r="B769" s="2" t="s">
        <v>0</v>
      </c>
      <c r="C769" s="2" t="s">
        <v>1</v>
      </c>
      <c r="D769" s="2" t="s">
        <v>1244</v>
      </c>
      <c r="E769" s="2">
        <v>540</v>
      </c>
      <c r="F769" s="2">
        <v>1.6500000000000001E-2</v>
      </c>
      <c r="G769" s="2">
        <v>1.01E-2</v>
      </c>
      <c r="H769" s="4">
        <f t="shared" si="78"/>
        <v>0.38787878787878793</v>
      </c>
      <c r="I769" s="2" t="s">
        <v>82</v>
      </c>
      <c r="J769" s="2" t="s">
        <v>600</v>
      </c>
      <c r="K769" s="2" t="s">
        <v>105</v>
      </c>
      <c r="L769" s="2" t="s">
        <v>76</v>
      </c>
      <c r="M769" s="155"/>
      <c r="N769" s="155"/>
      <c r="O769" s="2">
        <v>15</v>
      </c>
      <c r="P769" s="6">
        <v>20</v>
      </c>
      <c r="Q769" s="131">
        <f t="shared" si="79"/>
        <v>40</v>
      </c>
      <c r="R769" s="33">
        <f t="shared" si="76"/>
        <v>20</v>
      </c>
      <c r="S769" s="132">
        <f t="shared" si="80"/>
        <v>2.5</v>
      </c>
      <c r="T769" s="132">
        <f t="shared" si="77"/>
        <v>2.5</v>
      </c>
      <c r="V769" s="131" t="str">
        <f t="shared" si="81"/>
        <v/>
      </c>
      <c r="W769" s="17"/>
      <c r="X769" s="7"/>
      <c r="Y769" s="161"/>
      <c r="Z769" s="7"/>
      <c r="AA769" s="117"/>
      <c r="AB769" s="117"/>
      <c r="AC769" s="117"/>
      <c r="CH769" s="2"/>
    </row>
    <row r="770" spans="1:86" x14ac:dyDescent="0.3">
      <c r="A770" s="2">
        <v>1799</v>
      </c>
      <c r="B770" s="2" t="s">
        <v>0</v>
      </c>
      <c r="C770" s="2" t="s">
        <v>1</v>
      </c>
      <c r="D770" s="2" t="s">
        <v>1245</v>
      </c>
      <c r="E770" s="2">
        <v>10500</v>
      </c>
      <c r="F770" s="2">
        <v>1.9E-3</v>
      </c>
      <c r="G770" s="2">
        <v>1.1999999999999999E-3</v>
      </c>
      <c r="H770" s="4">
        <f t="shared" si="78"/>
        <v>0.36842105263157898</v>
      </c>
      <c r="I770" s="2" t="s">
        <v>82</v>
      </c>
      <c r="J770" s="2" t="s">
        <v>645</v>
      </c>
      <c r="K770" s="2" t="s">
        <v>5</v>
      </c>
      <c r="L770" s="2" t="s">
        <v>6</v>
      </c>
      <c r="M770" s="155"/>
      <c r="N770" s="155"/>
      <c r="O770" s="2">
        <v>70</v>
      </c>
      <c r="P770" s="6">
        <v>7</v>
      </c>
      <c r="Q770" s="131">
        <f t="shared" si="79"/>
        <v>27.428571428571427</v>
      </c>
      <c r="R770" s="33">
        <f t="shared" ref="R770:R811" si="82">IFERROR(60*60*8*O770/E770/Q770,"")</f>
        <v>7</v>
      </c>
      <c r="S770" s="132">
        <f t="shared" si="80"/>
        <v>0.875</v>
      </c>
      <c r="T770" s="132">
        <f t="shared" si="77"/>
        <v>0.875</v>
      </c>
      <c r="V770" s="131" t="str">
        <f t="shared" si="81"/>
        <v/>
      </c>
      <c r="W770" s="17"/>
      <c r="X770" s="7"/>
      <c r="Y770" s="161"/>
      <c r="Z770" s="7"/>
      <c r="AA770" s="117"/>
      <c r="AB770" s="117"/>
      <c r="AC770" s="117"/>
      <c r="CH770" s="2"/>
    </row>
    <row r="771" spans="1:86" x14ac:dyDescent="0.3">
      <c r="A771" s="2">
        <v>1801</v>
      </c>
      <c r="B771" s="2" t="s">
        <v>0</v>
      </c>
      <c r="C771" s="2" t="s">
        <v>1</v>
      </c>
      <c r="D771" s="2" t="s">
        <v>1246</v>
      </c>
      <c r="E771" s="2">
        <v>2500</v>
      </c>
      <c r="F771" s="2">
        <v>5.7000000000000002E-3</v>
      </c>
      <c r="G771" s="2">
        <v>4.0000000000000001E-3</v>
      </c>
      <c r="H771" s="4">
        <f t="shared" si="78"/>
        <v>0.2982456140350877</v>
      </c>
      <c r="I771" s="2" t="s">
        <v>98</v>
      </c>
      <c r="J771" s="2" t="s">
        <v>1089</v>
      </c>
      <c r="K771" s="2" t="s">
        <v>105</v>
      </c>
      <c r="L771" s="2" t="s">
        <v>76</v>
      </c>
      <c r="M771" s="155"/>
      <c r="N771" s="155"/>
      <c r="O771" s="2">
        <v>27</v>
      </c>
      <c r="P771" s="6">
        <v>20</v>
      </c>
      <c r="Q771" s="131">
        <f t="shared" si="79"/>
        <v>15.552000000000001</v>
      </c>
      <c r="R771" s="33">
        <f t="shared" si="82"/>
        <v>20</v>
      </c>
      <c r="S771" s="132">
        <f t="shared" si="80"/>
        <v>2.5</v>
      </c>
      <c r="T771" s="132">
        <f t="shared" si="77"/>
        <v>2.5</v>
      </c>
      <c r="V771" s="131" t="str">
        <f t="shared" si="81"/>
        <v/>
      </c>
      <c r="W771" s="17"/>
      <c r="X771" s="7"/>
      <c r="Y771" s="161"/>
      <c r="Z771" s="7"/>
      <c r="AA771" s="117"/>
      <c r="AB771" s="117"/>
      <c r="AC771" s="117"/>
      <c r="CH771" s="2"/>
    </row>
    <row r="772" spans="1:86" x14ac:dyDescent="0.3">
      <c r="A772" s="2">
        <v>1804</v>
      </c>
      <c r="B772" s="2" t="s">
        <v>0</v>
      </c>
      <c r="C772" s="2" t="s">
        <v>1</v>
      </c>
      <c r="D772" s="2" t="s">
        <v>1247</v>
      </c>
      <c r="E772" s="2">
        <v>1200</v>
      </c>
      <c r="F772" s="2">
        <v>2.5399999999999999E-2</v>
      </c>
      <c r="G772" s="2">
        <v>1.8100000000000002E-2</v>
      </c>
      <c r="H772" s="4">
        <f t="shared" si="78"/>
        <v>0.28740157480314954</v>
      </c>
      <c r="I772" s="2" t="s">
        <v>98</v>
      </c>
      <c r="J772" s="2" t="s">
        <v>596</v>
      </c>
      <c r="K772" s="2" t="s">
        <v>105</v>
      </c>
      <c r="L772" s="2" t="s">
        <v>76</v>
      </c>
      <c r="M772" s="155"/>
      <c r="N772" s="155"/>
      <c r="O772" s="2">
        <v>12</v>
      </c>
      <c r="P772" s="6">
        <v>8</v>
      </c>
      <c r="Q772" s="131">
        <f t="shared" si="79"/>
        <v>36</v>
      </c>
      <c r="R772" s="33">
        <f t="shared" si="82"/>
        <v>8</v>
      </c>
      <c r="S772" s="132">
        <f t="shared" si="80"/>
        <v>1</v>
      </c>
      <c r="T772" s="132">
        <f t="shared" si="77"/>
        <v>1</v>
      </c>
      <c r="V772" s="131" t="str">
        <f t="shared" si="81"/>
        <v/>
      </c>
      <c r="W772" s="17"/>
      <c r="X772" s="7"/>
      <c r="Y772" s="161"/>
      <c r="Z772" s="7"/>
      <c r="AA772" s="117"/>
      <c r="AB772" s="117"/>
      <c r="AC772" s="117"/>
      <c r="CH772" s="2"/>
    </row>
    <row r="773" spans="1:86" x14ac:dyDescent="0.3">
      <c r="A773" s="2">
        <v>1805</v>
      </c>
      <c r="B773" s="2" t="s">
        <v>0</v>
      </c>
      <c r="C773" s="2" t="s">
        <v>1</v>
      </c>
      <c r="D773" s="2" t="s">
        <v>1248</v>
      </c>
      <c r="E773" s="2">
        <v>1200</v>
      </c>
      <c r="F773" s="2">
        <v>1.24E-2</v>
      </c>
      <c r="G773" s="2">
        <v>7.1000000000000004E-3</v>
      </c>
      <c r="H773" s="4">
        <f t="shared" si="78"/>
        <v>0.42741935483870963</v>
      </c>
      <c r="I773" s="2" t="s">
        <v>98</v>
      </c>
      <c r="J773" s="2" t="s">
        <v>499</v>
      </c>
      <c r="K773" s="2" t="s">
        <v>5</v>
      </c>
      <c r="L773" s="2" t="s">
        <v>6</v>
      </c>
      <c r="M773" s="155"/>
      <c r="N773" s="155"/>
      <c r="O773" s="2">
        <v>12</v>
      </c>
      <c r="P773" s="6">
        <v>15</v>
      </c>
      <c r="Q773" s="131">
        <f t="shared" si="79"/>
        <v>19.2</v>
      </c>
      <c r="R773" s="33">
        <f t="shared" si="82"/>
        <v>15</v>
      </c>
      <c r="S773" s="132">
        <f t="shared" si="80"/>
        <v>1.875</v>
      </c>
      <c r="T773" s="132">
        <f t="shared" si="77"/>
        <v>1.875</v>
      </c>
      <c r="V773" s="131" t="str">
        <f t="shared" si="81"/>
        <v/>
      </c>
      <c r="W773" s="17"/>
      <c r="X773" s="7"/>
      <c r="Y773" s="161"/>
      <c r="Z773" s="7"/>
      <c r="AA773" s="117"/>
      <c r="AB773" s="117"/>
      <c r="AC773" s="117"/>
      <c r="CH773" s="2"/>
    </row>
    <row r="774" spans="1:86" x14ac:dyDescent="0.3">
      <c r="A774" s="2">
        <v>1806</v>
      </c>
      <c r="B774" s="2" t="s">
        <v>0</v>
      </c>
      <c r="C774" s="2" t="s">
        <v>1</v>
      </c>
      <c r="D774" s="2" t="s">
        <v>1249</v>
      </c>
      <c r="E774" s="2">
        <v>4800</v>
      </c>
      <c r="F774" s="2">
        <v>3.3E-3</v>
      </c>
      <c r="G774" s="2">
        <v>1.9E-3</v>
      </c>
      <c r="H774" s="4">
        <f t="shared" si="78"/>
        <v>0.42424242424242425</v>
      </c>
      <c r="I774" s="2" t="s">
        <v>98</v>
      </c>
      <c r="J774" s="2" t="s">
        <v>1250</v>
      </c>
      <c r="K774" s="2" t="s">
        <v>105</v>
      </c>
      <c r="L774" s="2" t="s">
        <v>76</v>
      </c>
      <c r="M774" s="155"/>
      <c r="N774" s="155"/>
      <c r="O774" s="2">
        <v>96</v>
      </c>
      <c r="P774" s="6">
        <v>7</v>
      </c>
      <c r="Q774" s="131">
        <f t="shared" si="79"/>
        <v>82.285714285714292</v>
      </c>
      <c r="R774" s="33">
        <f t="shared" si="82"/>
        <v>6.9999999999999991</v>
      </c>
      <c r="S774" s="132">
        <f t="shared" si="80"/>
        <v>0.87499999999999989</v>
      </c>
      <c r="T774" s="132">
        <f t="shared" si="77"/>
        <v>0.87499999999999989</v>
      </c>
      <c r="V774" s="131" t="str">
        <f t="shared" si="81"/>
        <v/>
      </c>
      <c r="W774" s="17"/>
      <c r="X774" s="7"/>
      <c r="Y774" s="161"/>
      <c r="Z774" s="7"/>
      <c r="AA774" s="117"/>
      <c r="AB774" s="117"/>
      <c r="AC774" s="117"/>
      <c r="CH774" s="2"/>
    </row>
    <row r="775" spans="1:86" x14ac:dyDescent="0.3">
      <c r="A775" s="2">
        <v>1807</v>
      </c>
      <c r="B775" s="2" t="s">
        <v>0</v>
      </c>
      <c r="C775" s="2" t="s">
        <v>1</v>
      </c>
      <c r="D775" s="2" t="s">
        <v>1251</v>
      </c>
      <c r="E775" s="2">
        <v>5600</v>
      </c>
      <c r="F775" s="2">
        <v>3.0000000000000001E-3</v>
      </c>
      <c r="G775" s="2">
        <v>1.5E-3</v>
      </c>
      <c r="H775" s="4">
        <f t="shared" si="78"/>
        <v>0.5</v>
      </c>
      <c r="I775" s="2" t="s">
        <v>98</v>
      </c>
      <c r="J775" s="2" t="s">
        <v>1250</v>
      </c>
      <c r="K775" s="2" t="s">
        <v>105</v>
      </c>
      <c r="L775" s="2" t="s">
        <v>76</v>
      </c>
      <c r="M775" s="155"/>
      <c r="N775" s="155"/>
      <c r="O775" s="2">
        <v>112</v>
      </c>
      <c r="P775" s="6">
        <v>6</v>
      </c>
      <c r="Q775" s="131">
        <f t="shared" si="79"/>
        <v>96</v>
      </c>
      <c r="R775" s="33">
        <f t="shared" si="82"/>
        <v>6</v>
      </c>
      <c r="S775" s="132">
        <f t="shared" si="80"/>
        <v>0.75</v>
      </c>
      <c r="T775" s="132">
        <f t="shared" si="77"/>
        <v>0.75</v>
      </c>
      <c r="V775" s="131" t="str">
        <f t="shared" si="81"/>
        <v/>
      </c>
      <c r="W775" s="17"/>
      <c r="X775" s="7"/>
      <c r="Y775" s="161"/>
      <c r="Z775" s="7"/>
      <c r="AA775" s="117"/>
      <c r="AB775" s="117"/>
      <c r="AC775" s="117"/>
      <c r="CH775" s="2"/>
    </row>
    <row r="776" spans="1:86" x14ac:dyDescent="0.3">
      <c r="A776" s="23">
        <v>1836</v>
      </c>
      <c r="B776" s="2" t="s">
        <v>0</v>
      </c>
      <c r="C776" s="2" t="s">
        <v>1</v>
      </c>
      <c r="D776" s="2" t="s">
        <v>1252</v>
      </c>
      <c r="E776" s="2">
        <v>2100</v>
      </c>
      <c r="F776" s="2">
        <v>5.8999999999999999E-3</v>
      </c>
      <c r="G776" s="2">
        <v>4.7000000000000002E-3</v>
      </c>
      <c r="H776" s="4">
        <f t="shared" si="78"/>
        <v>0.20338983050847453</v>
      </c>
      <c r="I776" s="2" t="s">
        <v>98</v>
      </c>
      <c r="J776" s="2" t="s">
        <v>1253</v>
      </c>
      <c r="K776" s="2" t="s">
        <v>105</v>
      </c>
      <c r="L776" s="2" t="s">
        <v>76</v>
      </c>
      <c r="M776" s="155"/>
      <c r="N776" s="155"/>
      <c r="O776" s="2">
        <v>30</v>
      </c>
      <c r="P776" s="6">
        <v>22</v>
      </c>
      <c r="Q776" s="131">
        <f t="shared" si="79"/>
        <v>18.7012987012987</v>
      </c>
      <c r="R776" s="33">
        <f t="shared" si="82"/>
        <v>22.000000000000004</v>
      </c>
      <c r="S776" s="132">
        <f t="shared" si="80"/>
        <v>2.7500000000000004</v>
      </c>
      <c r="T776" s="132">
        <f t="shared" si="77"/>
        <v>2.7500000000000004</v>
      </c>
      <c r="V776" s="131">
        <f t="shared" si="81"/>
        <v>15.238095238095239</v>
      </c>
      <c r="W776" s="17">
        <v>27</v>
      </c>
      <c r="X776" s="8">
        <f>60*60*8/W776</f>
        <v>1066.6666666666667</v>
      </c>
      <c r="Y776" s="161">
        <v>45314</v>
      </c>
      <c r="Z776" s="7" t="s">
        <v>704</v>
      </c>
      <c r="AA776" s="117"/>
      <c r="AB776" s="117"/>
      <c r="AC776" s="117"/>
      <c r="AD776" s="24">
        <v>45504</v>
      </c>
      <c r="AE776">
        <v>3</v>
      </c>
      <c r="AF776">
        <v>3.6</v>
      </c>
      <c r="AH776">
        <v>3</v>
      </c>
      <c r="AI776">
        <v>0.5</v>
      </c>
      <c r="AK776">
        <v>6</v>
      </c>
      <c r="AL776">
        <v>5.5</v>
      </c>
      <c r="AN776">
        <v>6</v>
      </c>
      <c r="AO776">
        <v>0.3</v>
      </c>
      <c r="AS776">
        <v>27</v>
      </c>
      <c r="AT776">
        <v>7</v>
      </c>
      <c r="AU776">
        <v>18</v>
      </c>
      <c r="AV776">
        <v>132</v>
      </c>
      <c r="AW776">
        <v>144</v>
      </c>
      <c r="AX776">
        <v>20.5</v>
      </c>
      <c r="AY776">
        <v>52</v>
      </c>
      <c r="AZ776">
        <v>94.5</v>
      </c>
      <c r="BA776">
        <v>115.5</v>
      </c>
      <c r="BB776">
        <v>420</v>
      </c>
      <c r="CH776" s="2"/>
    </row>
    <row r="777" spans="1:86" x14ac:dyDescent="0.3">
      <c r="A777" s="23">
        <v>1870</v>
      </c>
      <c r="B777" s="2" t="s">
        <v>0</v>
      </c>
      <c r="C777" s="2" t="s">
        <v>1</v>
      </c>
      <c r="D777" s="2" t="s">
        <v>1254</v>
      </c>
      <c r="E777" s="2">
        <v>2100</v>
      </c>
      <c r="F777" s="2">
        <v>5.8999999999999999E-3</v>
      </c>
      <c r="G777" s="2">
        <v>4.7000000000000002E-3</v>
      </c>
      <c r="H777" s="4">
        <f t="shared" si="78"/>
        <v>0.20338983050847453</v>
      </c>
      <c r="I777" s="2" t="s">
        <v>98</v>
      </c>
      <c r="J777" s="2" t="s">
        <v>1253</v>
      </c>
      <c r="K777" s="2" t="s">
        <v>105</v>
      </c>
      <c r="L777" s="2" t="s">
        <v>76</v>
      </c>
      <c r="M777" s="155"/>
      <c r="N777" s="155"/>
      <c r="O777" s="2">
        <v>30</v>
      </c>
      <c r="P777" s="6">
        <v>22</v>
      </c>
      <c r="Q777" s="131">
        <f t="shared" si="79"/>
        <v>18.7012987012987</v>
      </c>
      <c r="R777" s="33">
        <f t="shared" si="82"/>
        <v>22.000000000000004</v>
      </c>
      <c r="S777" s="132">
        <f t="shared" si="80"/>
        <v>2.7500000000000004</v>
      </c>
      <c r="T777" s="132">
        <f t="shared" si="77"/>
        <v>2.7500000000000004</v>
      </c>
      <c r="V777" s="131">
        <f t="shared" si="81"/>
        <v>15.306122448979593</v>
      </c>
      <c r="W777" s="17">
        <v>26.88</v>
      </c>
      <c r="X777" s="8">
        <f>60*60*8/W777</f>
        <v>1071.4285714285716</v>
      </c>
      <c r="Y777" s="161">
        <v>45308</v>
      </c>
      <c r="Z777" s="7" t="s">
        <v>704</v>
      </c>
      <c r="AA777" s="117"/>
      <c r="AB777" s="117"/>
      <c r="AC777" s="117"/>
      <c r="CH777" s="2"/>
    </row>
    <row r="778" spans="1:86" x14ac:dyDescent="0.3">
      <c r="A778" s="2">
        <v>1871</v>
      </c>
      <c r="B778" s="2" t="s">
        <v>0</v>
      </c>
      <c r="C778" s="2" t="s">
        <v>1</v>
      </c>
      <c r="D778" s="2" t="s">
        <v>1255</v>
      </c>
      <c r="E778" s="2">
        <v>450</v>
      </c>
      <c r="F778" s="2">
        <v>3.5000000000000003E-2</v>
      </c>
      <c r="G778" s="2">
        <v>2.5700000000000001E-2</v>
      </c>
      <c r="H778" s="4">
        <f t="shared" si="78"/>
        <v>0.26571428571428579</v>
      </c>
      <c r="I778" s="2" t="s">
        <v>73</v>
      </c>
      <c r="J778" s="2" t="s">
        <v>1256</v>
      </c>
      <c r="K778" s="2" t="s">
        <v>105</v>
      </c>
      <c r="L778" s="2" t="s">
        <v>76</v>
      </c>
      <c r="M778" s="155"/>
      <c r="N778" s="155"/>
      <c r="O778" s="2">
        <v>12</v>
      </c>
      <c r="P778" s="6">
        <v>20</v>
      </c>
      <c r="Q778" s="131">
        <f t="shared" si="79"/>
        <v>38.4</v>
      </c>
      <c r="R778" s="33">
        <f t="shared" si="82"/>
        <v>20</v>
      </c>
      <c r="S778" s="132">
        <f t="shared" si="80"/>
        <v>2.5</v>
      </c>
      <c r="T778" s="132">
        <f t="shared" si="77"/>
        <v>2.5</v>
      </c>
      <c r="V778" s="131" t="str">
        <f t="shared" si="81"/>
        <v/>
      </c>
      <c r="W778" s="17"/>
      <c r="X778" s="7"/>
      <c r="Y778" s="161"/>
      <c r="Z778" s="7"/>
      <c r="AA778" s="117"/>
      <c r="AB778" s="117"/>
      <c r="AC778" s="117"/>
      <c r="CH778" s="2"/>
    </row>
    <row r="779" spans="1:86" x14ac:dyDescent="0.3">
      <c r="A779" s="2">
        <v>1872</v>
      </c>
      <c r="B779" s="2" t="s">
        <v>0</v>
      </c>
      <c r="C779" s="2" t="s">
        <v>1</v>
      </c>
      <c r="D779" s="2" t="s">
        <v>1257</v>
      </c>
      <c r="E779" s="2">
        <v>1920</v>
      </c>
      <c r="F779" s="2">
        <v>1.0699999999999999E-2</v>
      </c>
      <c r="G779" s="2">
        <v>8.0999999999999996E-3</v>
      </c>
      <c r="H779" s="4">
        <f t="shared" si="78"/>
        <v>0.24299065420560748</v>
      </c>
      <c r="I779" s="2" t="s">
        <v>98</v>
      </c>
      <c r="J779" s="2" t="s">
        <v>755</v>
      </c>
      <c r="K779" s="2" t="s">
        <v>105</v>
      </c>
      <c r="L779" s="2" t="s">
        <v>76</v>
      </c>
      <c r="M779" s="155"/>
      <c r="N779" s="155"/>
      <c r="O779" s="2">
        <v>20</v>
      </c>
      <c r="P779" s="6">
        <v>16</v>
      </c>
      <c r="Q779" s="131">
        <f t="shared" si="79"/>
        <v>18.75</v>
      </c>
      <c r="R779" s="33">
        <f t="shared" si="82"/>
        <v>16</v>
      </c>
      <c r="S779" s="132">
        <f t="shared" si="80"/>
        <v>2</v>
      </c>
      <c r="T779" s="132">
        <f t="shared" si="77"/>
        <v>2</v>
      </c>
      <c r="V779" s="131" t="str">
        <f t="shared" si="81"/>
        <v/>
      </c>
      <c r="W779" s="17"/>
      <c r="X779" s="7"/>
      <c r="Y779" s="161"/>
      <c r="Z779" s="7"/>
      <c r="AA779" s="117"/>
      <c r="AB779" s="117"/>
      <c r="AC779" s="117"/>
      <c r="CH779" s="2"/>
    </row>
    <row r="780" spans="1:86" x14ac:dyDescent="0.3">
      <c r="A780" s="2">
        <v>1898</v>
      </c>
      <c r="B780" s="2" t="s">
        <v>0</v>
      </c>
      <c r="C780" s="2" t="s">
        <v>1</v>
      </c>
      <c r="D780" s="2" t="s">
        <v>1258</v>
      </c>
      <c r="E780" s="2">
        <v>300</v>
      </c>
      <c r="F780" s="2">
        <v>2.5700000000000001E-2</v>
      </c>
      <c r="G780" s="2">
        <v>2.0199999999999999E-2</v>
      </c>
      <c r="H780" s="4">
        <f t="shared" si="78"/>
        <v>0.21400778210116736</v>
      </c>
      <c r="I780" s="2" t="s">
        <v>82</v>
      </c>
      <c r="J780" s="2" t="s">
        <v>581</v>
      </c>
      <c r="K780" s="2" t="s">
        <v>5</v>
      </c>
      <c r="L780" s="2" t="s">
        <v>6</v>
      </c>
      <c r="M780" s="155"/>
      <c r="N780" s="155"/>
      <c r="O780" s="2">
        <v>14</v>
      </c>
      <c r="P780" s="6">
        <v>24</v>
      </c>
      <c r="Q780" s="131">
        <f t="shared" si="79"/>
        <v>56</v>
      </c>
      <c r="R780" s="33">
        <f t="shared" si="82"/>
        <v>24</v>
      </c>
      <c r="S780" s="132">
        <f t="shared" si="80"/>
        <v>3</v>
      </c>
      <c r="T780" s="132">
        <f t="shared" si="77"/>
        <v>3</v>
      </c>
      <c r="V780" s="131" t="str">
        <f t="shared" si="81"/>
        <v/>
      </c>
      <c r="W780" s="17"/>
      <c r="X780" s="7"/>
      <c r="Y780" s="161"/>
      <c r="Z780" s="7"/>
      <c r="AA780" s="117"/>
      <c r="AB780" s="117"/>
      <c r="AC780" s="117"/>
      <c r="CH780" s="2"/>
    </row>
    <row r="781" spans="1:86" x14ac:dyDescent="0.3">
      <c r="A781" s="2">
        <v>1899</v>
      </c>
      <c r="B781" s="2" t="s">
        <v>0</v>
      </c>
      <c r="C781" s="2" t="s">
        <v>1</v>
      </c>
      <c r="D781" s="2" t="s">
        <v>1259</v>
      </c>
      <c r="E781" s="2">
        <v>300</v>
      </c>
      <c r="F781" s="2">
        <v>2.5700000000000001E-2</v>
      </c>
      <c r="G781" s="2">
        <v>2.0199999999999999E-2</v>
      </c>
      <c r="H781" s="4">
        <f t="shared" si="78"/>
        <v>0.21400778210116736</v>
      </c>
      <c r="I781" s="2" t="s">
        <v>98</v>
      </c>
      <c r="J781" s="2" t="s">
        <v>1260</v>
      </c>
      <c r="K781" s="2" t="s">
        <v>5</v>
      </c>
      <c r="L781" s="2" t="s">
        <v>6</v>
      </c>
      <c r="M781" s="155"/>
      <c r="N781" s="155"/>
      <c r="O781" s="2">
        <v>14</v>
      </c>
      <c r="P781" s="6">
        <v>24</v>
      </c>
      <c r="Q781" s="131">
        <f t="shared" si="79"/>
        <v>56</v>
      </c>
      <c r="R781" s="33">
        <f t="shared" si="82"/>
        <v>24</v>
      </c>
      <c r="S781" s="132">
        <f t="shared" si="80"/>
        <v>3</v>
      </c>
      <c r="T781" s="132">
        <f t="shared" si="77"/>
        <v>3</v>
      </c>
      <c r="V781" s="131" t="str">
        <f t="shared" si="81"/>
        <v/>
      </c>
      <c r="W781" s="17"/>
      <c r="X781" s="7"/>
      <c r="Y781" s="161"/>
      <c r="Z781" s="7"/>
      <c r="AA781" s="117"/>
      <c r="AB781" s="117"/>
      <c r="AC781" s="117"/>
      <c r="CH781" s="2"/>
    </row>
    <row r="782" spans="1:86" x14ac:dyDescent="0.3">
      <c r="A782" s="2">
        <v>1901</v>
      </c>
      <c r="B782" s="2" t="s">
        <v>0</v>
      </c>
      <c r="C782" s="2" t="s">
        <v>1</v>
      </c>
      <c r="D782" s="2" t="s">
        <v>1261</v>
      </c>
      <c r="E782" s="2">
        <v>300</v>
      </c>
      <c r="F782" s="2">
        <v>2.06E-2</v>
      </c>
      <c r="G782" s="2">
        <v>1.21E-2</v>
      </c>
      <c r="H782" s="4">
        <f t="shared" si="78"/>
        <v>0.41262135922330101</v>
      </c>
      <c r="I782" s="2" t="s">
        <v>98</v>
      </c>
      <c r="J782" s="2" t="s">
        <v>1262</v>
      </c>
      <c r="K782" s="2" t="s">
        <v>5</v>
      </c>
      <c r="L782" s="2" t="s">
        <v>6</v>
      </c>
      <c r="M782" s="155"/>
      <c r="N782" s="155"/>
      <c r="O782" s="2">
        <v>14</v>
      </c>
      <c r="P782" s="6">
        <v>26</v>
      </c>
      <c r="Q782" s="131">
        <f t="shared" si="79"/>
        <v>51.692307692307693</v>
      </c>
      <c r="R782" s="33">
        <f t="shared" si="82"/>
        <v>26</v>
      </c>
      <c r="S782" s="132">
        <f t="shared" si="80"/>
        <v>3.25</v>
      </c>
      <c r="T782" s="132">
        <f t="shared" si="77"/>
        <v>3.25</v>
      </c>
      <c r="V782" s="131" t="str">
        <f t="shared" si="81"/>
        <v/>
      </c>
      <c r="W782" s="17"/>
      <c r="X782" s="7"/>
      <c r="Y782" s="161"/>
      <c r="Z782" s="7"/>
      <c r="AA782" s="117"/>
      <c r="AB782" s="117"/>
      <c r="AC782" s="117"/>
      <c r="CH782" s="2"/>
    </row>
    <row r="783" spans="1:86" x14ac:dyDescent="0.3">
      <c r="A783" s="2">
        <v>1903</v>
      </c>
      <c r="B783" s="2" t="s">
        <v>0</v>
      </c>
      <c r="C783" s="2" t="s">
        <v>1</v>
      </c>
      <c r="D783" s="2" t="s">
        <v>1263</v>
      </c>
      <c r="E783" s="2">
        <v>300</v>
      </c>
      <c r="F783" s="2">
        <v>2.64E-2</v>
      </c>
      <c r="G783" s="2">
        <v>1.7299999999999999E-2</v>
      </c>
      <c r="H783" s="4">
        <f t="shared" si="78"/>
        <v>0.34469696969696972</v>
      </c>
      <c r="I783" s="2" t="s">
        <v>98</v>
      </c>
      <c r="J783" s="2" t="s">
        <v>229</v>
      </c>
      <c r="K783" s="2" t="s">
        <v>5</v>
      </c>
      <c r="L783" s="2" t="s">
        <v>6</v>
      </c>
      <c r="M783" s="155"/>
      <c r="N783" s="155"/>
      <c r="O783" s="2">
        <v>12</v>
      </c>
      <c r="P783" s="6">
        <v>26</v>
      </c>
      <c r="Q783" s="131">
        <f t="shared" si="79"/>
        <v>44.307692307692307</v>
      </c>
      <c r="R783" s="33">
        <f t="shared" si="82"/>
        <v>26</v>
      </c>
      <c r="S783" s="132">
        <f t="shared" si="80"/>
        <v>3.25</v>
      </c>
      <c r="T783" s="132">
        <f t="shared" si="77"/>
        <v>3.25</v>
      </c>
      <c r="V783" s="131" t="str">
        <f t="shared" si="81"/>
        <v/>
      </c>
      <c r="W783" s="17"/>
      <c r="X783" s="7"/>
      <c r="Y783" s="161"/>
      <c r="Z783" s="7"/>
      <c r="AA783" s="117"/>
      <c r="AB783" s="117"/>
      <c r="AC783" s="117"/>
      <c r="CH783" s="2"/>
    </row>
    <row r="784" spans="1:86" x14ac:dyDescent="0.3">
      <c r="A784" s="2">
        <v>1904</v>
      </c>
      <c r="B784" s="2" t="s">
        <v>0</v>
      </c>
      <c r="C784" s="2" t="s">
        <v>1</v>
      </c>
      <c r="D784" s="2" t="s">
        <v>1264</v>
      </c>
      <c r="E784" s="2">
        <v>300</v>
      </c>
      <c r="F784" s="2">
        <v>2.1000000000000001E-2</v>
      </c>
      <c r="G784" s="2">
        <v>1.52E-2</v>
      </c>
      <c r="H784" s="4">
        <f t="shared" si="78"/>
        <v>0.27619047619047626</v>
      </c>
      <c r="I784" s="2" t="s">
        <v>82</v>
      </c>
      <c r="J784" s="2" t="s">
        <v>600</v>
      </c>
      <c r="K784" s="2" t="s">
        <v>5</v>
      </c>
      <c r="L784" s="2" t="s">
        <v>6</v>
      </c>
      <c r="M784" s="155"/>
      <c r="N784" s="155"/>
      <c r="O784" s="2">
        <v>12</v>
      </c>
      <c r="P784" s="6">
        <v>24</v>
      </c>
      <c r="Q784" s="131">
        <f t="shared" si="79"/>
        <v>48</v>
      </c>
      <c r="R784" s="33">
        <f t="shared" si="82"/>
        <v>24</v>
      </c>
      <c r="S784" s="132">
        <f t="shared" si="80"/>
        <v>3</v>
      </c>
      <c r="T784" s="132">
        <f t="shared" si="77"/>
        <v>3</v>
      </c>
      <c r="V784" s="131" t="str">
        <f t="shared" si="81"/>
        <v/>
      </c>
      <c r="W784" s="17"/>
      <c r="X784" s="7"/>
      <c r="Y784" s="161"/>
      <c r="Z784" s="7"/>
      <c r="AA784" s="117"/>
      <c r="AB784" s="117"/>
      <c r="AC784" s="117"/>
      <c r="CH784" s="2"/>
    </row>
    <row r="785" spans="1:86" x14ac:dyDescent="0.3">
      <c r="A785" s="2">
        <v>1938</v>
      </c>
      <c r="B785" s="2" t="s">
        <v>0</v>
      </c>
      <c r="C785" s="2" t="s">
        <v>1</v>
      </c>
      <c r="D785" s="2" t="s">
        <v>607</v>
      </c>
      <c r="E785" s="2">
        <v>300</v>
      </c>
      <c r="F785" s="2">
        <v>1.5800000000000002E-2</v>
      </c>
      <c r="G785" s="2">
        <v>1.17E-2</v>
      </c>
      <c r="H785" s="4">
        <f t="shared" si="78"/>
        <v>0.259493670886076</v>
      </c>
      <c r="I785" s="2" t="s">
        <v>82</v>
      </c>
      <c r="J785" s="2" t="s">
        <v>587</v>
      </c>
      <c r="K785" s="2" t="s">
        <v>5</v>
      </c>
      <c r="L785" s="2" t="s">
        <v>6</v>
      </c>
      <c r="M785" s="155"/>
      <c r="N785" s="155"/>
      <c r="O785" s="2">
        <v>14</v>
      </c>
      <c r="P785" s="6">
        <v>24</v>
      </c>
      <c r="Q785" s="131">
        <f t="shared" si="79"/>
        <v>56</v>
      </c>
      <c r="R785" s="33">
        <f t="shared" si="82"/>
        <v>24</v>
      </c>
      <c r="S785" s="132">
        <f t="shared" si="80"/>
        <v>3</v>
      </c>
      <c r="T785" s="132">
        <f t="shared" si="77"/>
        <v>3</v>
      </c>
      <c r="V785" s="131" t="str">
        <f t="shared" si="81"/>
        <v/>
      </c>
      <c r="W785" s="17"/>
      <c r="X785" s="7"/>
      <c r="Y785" s="161"/>
      <c r="Z785" s="7"/>
      <c r="AA785" s="117"/>
      <c r="AB785" s="117"/>
      <c r="AC785" s="117"/>
      <c r="CH785" s="2"/>
    </row>
    <row r="786" spans="1:86" x14ac:dyDescent="0.3">
      <c r="A786" s="2">
        <v>1939</v>
      </c>
      <c r="B786" s="2" t="s">
        <v>0</v>
      </c>
      <c r="C786" s="2" t="s">
        <v>1</v>
      </c>
      <c r="D786" s="2" t="s">
        <v>617</v>
      </c>
      <c r="E786" s="2">
        <v>300</v>
      </c>
      <c r="F786" s="2">
        <v>2.8899999999999999E-2</v>
      </c>
      <c r="G786" s="2">
        <v>1.84E-2</v>
      </c>
      <c r="H786" s="4">
        <f t="shared" si="78"/>
        <v>0.36332179930795844</v>
      </c>
      <c r="I786" s="2" t="s">
        <v>82</v>
      </c>
      <c r="J786" s="2" t="s">
        <v>610</v>
      </c>
      <c r="K786" s="2" t="s">
        <v>5</v>
      </c>
      <c r="L786" s="2" t="s">
        <v>6</v>
      </c>
      <c r="M786" s="155"/>
      <c r="N786" s="155"/>
      <c r="O786" s="2">
        <v>12</v>
      </c>
      <c r="P786" s="6">
        <v>24</v>
      </c>
      <c r="Q786" s="131">
        <f t="shared" si="79"/>
        <v>48</v>
      </c>
      <c r="R786" s="33">
        <f t="shared" si="82"/>
        <v>24</v>
      </c>
      <c r="S786" s="132">
        <f t="shared" si="80"/>
        <v>3</v>
      </c>
      <c r="T786" s="132">
        <f t="shared" si="77"/>
        <v>3</v>
      </c>
      <c r="V786" s="131" t="str">
        <f t="shared" si="81"/>
        <v/>
      </c>
      <c r="W786" s="17"/>
      <c r="X786" s="7"/>
      <c r="Y786" s="161"/>
      <c r="Z786" s="7"/>
      <c r="AA786" s="117"/>
      <c r="AB786" s="117"/>
      <c r="AC786" s="117"/>
      <c r="CH786" s="2"/>
    </row>
    <row r="787" spans="1:86" x14ac:dyDescent="0.3">
      <c r="A787" s="2">
        <v>1943</v>
      </c>
      <c r="B787" s="2" t="s">
        <v>0</v>
      </c>
      <c r="C787" s="2" t="s">
        <v>1</v>
      </c>
      <c r="D787" s="2" t="s">
        <v>1265</v>
      </c>
      <c r="E787" s="2">
        <v>342</v>
      </c>
      <c r="F787" s="2"/>
      <c r="G787" s="2">
        <v>2.2800000000000001E-2</v>
      </c>
      <c r="H787" s="4"/>
      <c r="I787" s="2" t="s">
        <v>73</v>
      </c>
      <c r="J787" s="2" t="s">
        <v>1266</v>
      </c>
      <c r="K787" s="2" t="s">
        <v>1267</v>
      </c>
      <c r="L787" s="2" t="s">
        <v>1268</v>
      </c>
      <c r="M787" s="155"/>
      <c r="N787" s="155"/>
      <c r="O787" s="2">
        <v>24</v>
      </c>
      <c r="P787" s="6">
        <v>18</v>
      </c>
      <c r="Q787" s="131">
        <f t="shared" si="79"/>
        <v>112.28070175438596</v>
      </c>
      <c r="R787" s="33">
        <f t="shared" si="82"/>
        <v>18</v>
      </c>
      <c r="S787" s="132">
        <f t="shared" si="80"/>
        <v>2.25</v>
      </c>
      <c r="T787" s="132">
        <f t="shared" si="77"/>
        <v>2.25</v>
      </c>
      <c r="V787" s="131" t="str">
        <f t="shared" si="81"/>
        <v/>
      </c>
      <c r="W787" s="17"/>
      <c r="X787" s="7"/>
      <c r="Y787" s="161"/>
      <c r="Z787" s="7"/>
      <c r="AA787" s="117"/>
      <c r="AB787" s="117"/>
      <c r="AC787" s="117"/>
      <c r="CH787" s="2"/>
    </row>
    <row r="788" spans="1:86" x14ac:dyDescent="0.3">
      <c r="A788" s="23">
        <v>1953</v>
      </c>
      <c r="B788" s="2" t="s">
        <v>0</v>
      </c>
      <c r="C788" s="2" t="s">
        <v>1</v>
      </c>
      <c r="D788" s="2" t="s">
        <v>1269</v>
      </c>
      <c r="E788" s="2">
        <v>760</v>
      </c>
      <c r="F788" s="2">
        <v>2.3300000000000001E-2</v>
      </c>
      <c r="G788" s="2">
        <v>1.6799999999999999E-2</v>
      </c>
      <c r="H788" s="4">
        <f t="shared" ref="H788:H811" si="83">(F788-G788)/F788</f>
        <v>0.27896995708154515</v>
      </c>
      <c r="I788" s="2" t="s">
        <v>73</v>
      </c>
      <c r="J788" s="2" t="s">
        <v>656</v>
      </c>
      <c r="K788" s="2" t="s">
        <v>105</v>
      </c>
      <c r="L788" s="2" t="s">
        <v>76</v>
      </c>
      <c r="M788" s="155"/>
      <c r="N788" s="155"/>
      <c r="O788" s="2">
        <v>24</v>
      </c>
      <c r="P788" s="6">
        <v>14</v>
      </c>
      <c r="Q788" s="131">
        <f t="shared" si="79"/>
        <v>64.962406015037601</v>
      </c>
      <c r="R788" s="33">
        <f t="shared" si="82"/>
        <v>14</v>
      </c>
      <c r="S788" s="132">
        <f t="shared" si="80"/>
        <v>1.75</v>
      </c>
      <c r="T788" s="132">
        <f t="shared" si="77"/>
        <v>1.75</v>
      </c>
      <c r="V788" s="131">
        <f t="shared" si="81"/>
        <v>25.58294470353098</v>
      </c>
      <c r="W788" s="17">
        <v>35.549999999999997</v>
      </c>
      <c r="X788" s="8">
        <f>60*60*8/W788</f>
        <v>810.12658227848112</v>
      </c>
      <c r="Y788" s="161">
        <v>45376</v>
      </c>
      <c r="Z788" s="7" t="s">
        <v>7</v>
      </c>
      <c r="AA788" s="117"/>
      <c r="AB788" s="117"/>
      <c r="AC788" s="117"/>
      <c r="CH788" s="2"/>
    </row>
    <row r="789" spans="1:86" x14ac:dyDescent="0.3">
      <c r="A789" s="2">
        <v>1954</v>
      </c>
      <c r="B789" s="2" t="s">
        <v>0</v>
      </c>
      <c r="C789" s="2" t="s">
        <v>1</v>
      </c>
      <c r="D789" s="2" t="s">
        <v>1270</v>
      </c>
      <c r="E789" s="2">
        <v>760</v>
      </c>
      <c r="F789" s="2">
        <v>2.3300000000000001E-2</v>
      </c>
      <c r="G789" s="2">
        <v>1.6799999999999999E-2</v>
      </c>
      <c r="H789" s="4">
        <f t="shared" si="83"/>
        <v>0.27896995708154515</v>
      </c>
      <c r="I789" s="2" t="s">
        <v>73</v>
      </c>
      <c r="J789" s="2" t="s">
        <v>656</v>
      </c>
      <c r="K789" s="2" t="s">
        <v>105</v>
      </c>
      <c r="L789" s="2" t="s">
        <v>76</v>
      </c>
      <c r="M789" s="155"/>
      <c r="N789" s="155"/>
      <c r="O789" s="2">
        <v>24</v>
      </c>
      <c r="P789" s="6">
        <v>14</v>
      </c>
      <c r="Q789" s="131">
        <f t="shared" si="79"/>
        <v>64.962406015037601</v>
      </c>
      <c r="R789" s="33">
        <f t="shared" si="82"/>
        <v>14</v>
      </c>
      <c r="S789" s="132">
        <f t="shared" si="80"/>
        <v>1.75</v>
      </c>
      <c r="T789" s="132">
        <f t="shared" si="77"/>
        <v>1.75</v>
      </c>
      <c r="V789" s="131" t="str">
        <f t="shared" si="81"/>
        <v/>
      </c>
      <c r="W789" s="17"/>
      <c r="X789" s="8"/>
      <c r="Y789" s="161"/>
      <c r="Z789" s="7"/>
      <c r="AA789" s="117"/>
      <c r="AB789" s="117"/>
      <c r="AC789" s="117"/>
      <c r="CH789" s="2"/>
    </row>
    <row r="790" spans="1:86" x14ac:dyDescent="0.3">
      <c r="A790" s="2">
        <v>1955</v>
      </c>
      <c r="B790" s="2" t="s">
        <v>0</v>
      </c>
      <c r="C790" s="2" t="s">
        <v>1</v>
      </c>
      <c r="D790" s="2" t="s">
        <v>1255</v>
      </c>
      <c r="E790" s="2">
        <v>450</v>
      </c>
      <c r="F790" s="2">
        <v>3.5000000000000003E-2</v>
      </c>
      <c r="G790" s="2">
        <v>2.5700000000000001E-2</v>
      </c>
      <c r="H790" s="4">
        <f t="shared" si="83"/>
        <v>0.26571428571428579</v>
      </c>
      <c r="I790" s="2" t="s">
        <v>73</v>
      </c>
      <c r="J790" s="2" t="s">
        <v>1256</v>
      </c>
      <c r="K790" s="2" t="s">
        <v>105</v>
      </c>
      <c r="L790" s="2" t="s">
        <v>76</v>
      </c>
      <c r="M790" s="155"/>
      <c r="N790" s="155"/>
      <c r="O790" s="2">
        <v>12</v>
      </c>
      <c r="P790" s="6">
        <v>20</v>
      </c>
      <c r="Q790" s="131">
        <f t="shared" si="79"/>
        <v>38.4</v>
      </c>
      <c r="R790" s="33">
        <f t="shared" si="82"/>
        <v>20</v>
      </c>
      <c r="S790" s="132">
        <f t="shared" si="80"/>
        <v>2.5</v>
      </c>
      <c r="T790" s="132">
        <f t="shared" si="77"/>
        <v>2.5</v>
      </c>
      <c r="V790" s="131" t="str">
        <f t="shared" si="81"/>
        <v/>
      </c>
      <c r="W790" s="17"/>
      <c r="X790" s="8"/>
      <c r="Y790" s="161"/>
      <c r="Z790" s="7"/>
      <c r="AA790" s="117"/>
      <c r="AB790" s="117"/>
      <c r="AC790" s="117"/>
      <c r="CH790" s="2"/>
    </row>
    <row r="791" spans="1:86" x14ac:dyDescent="0.3">
      <c r="A791" s="2">
        <v>1973</v>
      </c>
      <c r="B791" s="2" t="s">
        <v>0</v>
      </c>
      <c r="C791" s="2" t="s">
        <v>1</v>
      </c>
      <c r="D791" s="2" t="s">
        <v>1271</v>
      </c>
      <c r="E791" s="2">
        <v>100</v>
      </c>
      <c r="F791" s="2">
        <v>2.18E-2</v>
      </c>
      <c r="G791" s="2">
        <v>1.49E-2</v>
      </c>
      <c r="H791" s="4">
        <f t="shared" si="83"/>
        <v>0.3165137614678899</v>
      </c>
      <c r="I791" s="2" t="s">
        <v>3</v>
      </c>
      <c r="J791" s="2" t="s">
        <v>99</v>
      </c>
      <c r="K791" s="2"/>
      <c r="L791" s="2" t="s">
        <v>96</v>
      </c>
      <c r="M791" s="155"/>
      <c r="N791" s="155"/>
      <c r="O791" s="2">
        <v>12</v>
      </c>
      <c r="P791" s="6">
        <v>100</v>
      </c>
      <c r="Q791" s="131">
        <f t="shared" si="79"/>
        <v>34.56</v>
      </c>
      <c r="R791" s="33">
        <f t="shared" si="82"/>
        <v>100</v>
      </c>
      <c r="S791" s="132">
        <f t="shared" si="80"/>
        <v>12.5</v>
      </c>
      <c r="T791" s="132">
        <f t="shared" si="77"/>
        <v>12.5</v>
      </c>
      <c r="V791" s="131" t="str">
        <f t="shared" si="81"/>
        <v/>
      </c>
      <c r="W791" s="17"/>
      <c r="X791" s="8"/>
      <c r="Y791" s="161"/>
      <c r="Z791" s="7"/>
      <c r="AA791" s="117"/>
      <c r="AB791" s="117"/>
      <c r="AC791" s="117"/>
      <c r="CH791" s="2"/>
    </row>
    <row r="792" spans="1:86" x14ac:dyDescent="0.3">
      <c r="A792" s="2">
        <v>1974</v>
      </c>
      <c r="B792" s="2" t="s">
        <v>0</v>
      </c>
      <c r="C792" s="2" t="s">
        <v>1</v>
      </c>
      <c r="D792" s="2" t="s">
        <v>1272</v>
      </c>
      <c r="E792" s="2">
        <v>100</v>
      </c>
      <c r="F792" s="2">
        <v>3.1600000000000003E-2</v>
      </c>
      <c r="G792" s="2">
        <v>2.0400000000000001E-2</v>
      </c>
      <c r="H792" s="4">
        <f t="shared" si="83"/>
        <v>0.35443037974683544</v>
      </c>
      <c r="I792" s="2" t="s">
        <v>82</v>
      </c>
      <c r="J792" s="2" t="s">
        <v>579</v>
      </c>
      <c r="K792" s="2"/>
      <c r="L792" s="2" t="s">
        <v>96</v>
      </c>
      <c r="M792" s="155"/>
      <c r="N792" s="155"/>
      <c r="O792" s="2">
        <v>12</v>
      </c>
      <c r="P792" s="6">
        <v>80</v>
      </c>
      <c r="Q792" s="131">
        <f t="shared" si="79"/>
        <v>43.2</v>
      </c>
      <c r="R792" s="33">
        <f t="shared" si="82"/>
        <v>80</v>
      </c>
      <c r="S792" s="132">
        <f t="shared" si="80"/>
        <v>10</v>
      </c>
      <c r="T792" s="132">
        <f t="shared" si="77"/>
        <v>10</v>
      </c>
      <c r="V792" s="131" t="str">
        <f t="shared" si="81"/>
        <v/>
      </c>
      <c r="W792" s="17"/>
      <c r="X792" s="8"/>
      <c r="Y792" s="161"/>
      <c r="Z792" s="7"/>
      <c r="AA792" s="117"/>
      <c r="AB792" s="117"/>
      <c r="AC792" s="117"/>
      <c r="CH792" s="2"/>
    </row>
    <row r="793" spans="1:86" x14ac:dyDescent="0.3">
      <c r="A793" s="2">
        <v>1975</v>
      </c>
      <c r="B793" s="2" t="s">
        <v>0</v>
      </c>
      <c r="C793" s="2" t="s">
        <v>1</v>
      </c>
      <c r="D793" s="2" t="s">
        <v>1273</v>
      </c>
      <c r="E793" s="2">
        <v>100</v>
      </c>
      <c r="F793" s="2">
        <v>5.3400000000000003E-2</v>
      </c>
      <c r="G793" s="2">
        <v>3.5299999999999998E-2</v>
      </c>
      <c r="H793" s="4">
        <f t="shared" si="83"/>
        <v>0.33895131086142327</v>
      </c>
      <c r="I793" s="2" t="s">
        <v>208</v>
      </c>
      <c r="J793" s="2" t="s">
        <v>1274</v>
      </c>
      <c r="K793" s="2" t="s">
        <v>163</v>
      </c>
      <c r="L793" s="2" t="s">
        <v>96</v>
      </c>
      <c r="M793" s="155"/>
      <c r="N793" s="155"/>
      <c r="O793" s="2">
        <v>1</v>
      </c>
      <c r="P793" s="6" t="s">
        <v>210</v>
      </c>
      <c r="Q793" s="131" t="str">
        <f t="shared" si="79"/>
        <v/>
      </c>
      <c r="R793" s="33" t="str">
        <f t="shared" si="82"/>
        <v/>
      </c>
      <c r="S793" s="132" t="str">
        <f t="shared" si="80"/>
        <v/>
      </c>
      <c r="T793" s="132" t="str">
        <f t="shared" si="77"/>
        <v/>
      </c>
      <c r="V793" s="131" t="str">
        <f t="shared" si="81"/>
        <v/>
      </c>
      <c r="W793" s="17"/>
      <c r="X793" s="8"/>
      <c r="Y793" s="161"/>
      <c r="Z793" s="7"/>
      <c r="AA793" s="117"/>
      <c r="AB793" s="117"/>
      <c r="AC793" s="117"/>
      <c r="CH793" s="2"/>
    </row>
    <row r="794" spans="1:86" x14ac:dyDescent="0.3">
      <c r="A794" s="23">
        <v>1976</v>
      </c>
      <c r="B794" s="2" t="s">
        <v>0</v>
      </c>
      <c r="C794" s="2" t="s">
        <v>1</v>
      </c>
      <c r="D794" s="2" t="s">
        <v>1275</v>
      </c>
      <c r="E794" s="2">
        <v>100</v>
      </c>
      <c r="F794" s="2">
        <v>1.5800000000000002E-2</v>
      </c>
      <c r="G794" s="2">
        <v>1.2699999999999999E-2</v>
      </c>
      <c r="H794" s="4">
        <f t="shared" si="83"/>
        <v>0.19620253164556972</v>
      </c>
      <c r="I794" s="2" t="s">
        <v>82</v>
      </c>
      <c r="J794" s="2" t="s">
        <v>581</v>
      </c>
      <c r="K794" s="2" t="s">
        <v>163</v>
      </c>
      <c r="L794" s="2" t="s">
        <v>6</v>
      </c>
      <c r="M794" s="155">
        <v>1</v>
      </c>
      <c r="N794" s="155">
        <v>100</v>
      </c>
      <c r="O794" s="2">
        <v>18</v>
      </c>
      <c r="P794" s="6">
        <v>130</v>
      </c>
      <c r="Q794" s="131">
        <f t="shared" si="79"/>
        <v>39.876923076923077</v>
      </c>
      <c r="R794" s="33">
        <f t="shared" si="82"/>
        <v>130</v>
      </c>
      <c r="S794" s="132">
        <f t="shared" si="80"/>
        <v>16.25</v>
      </c>
      <c r="T794" s="132">
        <f t="shared" ref="T794:T811" si="84">IFERROR(IF(R794&gt;2,S794,""),"")</f>
        <v>16.25</v>
      </c>
      <c r="V794" s="131">
        <f t="shared" si="81"/>
        <v>115.71428571428572</v>
      </c>
      <c r="W794" s="17">
        <v>44.8</v>
      </c>
      <c r="X794" s="8">
        <f>60*60*8/W794</f>
        <v>642.85714285714289</v>
      </c>
      <c r="Y794" s="161">
        <v>45499</v>
      </c>
      <c r="Z794" s="7" t="s">
        <v>7</v>
      </c>
      <c r="AA794" s="117"/>
      <c r="AB794" s="117"/>
      <c r="AC794" s="117"/>
      <c r="CH794" s="2"/>
    </row>
    <row r="795" spans="1:86" x14ac:dyDescent="0.3">
      <c r="A795" s="2">
        <v>1977</v>
      </c>
      <c r="B795" s="2" t="s">
        <v>0</v>
      </c>
      <c r="C795" s="2" t="s">
        <v>1</v>
      </c>
      <c r="D795" s="2" t="s">
        <v>1276</v>
      </c>
      <c r="E795" s="2">
        <v>100</v>
      </c>
      <c r="F795" s="2">
        <v>3.6799999999999999E-2</v>
      </c>
      <c r="G795" s="2">
        <v>2.1600000000000001E-2</v>
      </c>
      <c r="H795" s="4">
        <f t="shared" si="83"/>
        <v>0.41304347826086951</v>
      </c>
      <c r="I795" s="2" t="s">
        <v>208</v>
      </c>
      <c r="J795" s="2" t="s">
        <v>1274</v>
      </c>
      <c r="K795" s="2" t="s">
        <v>163</v>
      </c>
      <c r="L795" s="2" t="s">
        <v>96</v>
      </c>
      <c r="M795" s="155"/>
      <c r="N795" s="155"/>
      <c r="O795" s="2">
        <v>1</v>
      </c>
      <c r="P795" s="6" t="s">
        <v>210</v>
      </c>
      <c r="Q795" s="131" t="str">
        <f t="shared" si="79"/>
        <v/>
      </c>
      <c r="R795" s="33" t="str">
        <f t="shared" si="82"/>
        <v/>
      </c>
      <c r="S795" s="132" t="str">
        <f t="shared" si="80"/>
        <v/>
      </c>
      <c r="T795" s="132" t="str">
        <f t="shared" si="84"/>
        <v/>
      </c>
      <c r="V795" s="131" t="str">
        <f t="shared" si="81"/>
        <v/>
      </c>
      <c r="W795" s="17"/>
      <c r="X795" s="8"/>
      <c r="Y795" s="161"/>
      <c r="Z795" s="7"/>
      <c r="AA795" s="117"/>
      <c r="AB795" s="117"/>
      <c r="AC795" s="117"/>
      <c r="CH795" s="2"/>
    </row>
    <row r="796" spans="1:86" x14ac:dyDescent="0.3">
      <c r="A796" s="23">
        <v>1978</v>
      </c>
      <c r="B796" s="2" t="s">
        <v>0</v>
      </c>
      <c r="C796" s="2" t="s">
        <v>1</v>
      </c>
      <c r="D796" s="2" t="s">
        <v>1277</v>
      </c>
      <c r="E796" s="2">
        <v>1000</v>
      </c>
      <c r="F796" s="2">
        <v>9.4999999999999998E-3</v>
      </c>
      <c r="G796" s="2">
        <v>5.5999999999999999E-3</v>
      </c>
      <c r="H796" s="4">
        <f t="shared" si="83"/>
        <v>0.41052631578947368</v>
      </c>
      <c r="I796" s="2" t="s">
        <v>82</v>
      </c>
      <c r="J796" s="2" t="s">
        <v>579</v>
      </c>
      <c r="K796" s="2" t="s">
        <v>163</v>
      </c>
      <c r="L796" s="2" t="s">
        <v>6</v>
      </c>
      <c r="M796" s="155">
        <v>13</v>
      </c>
      <c r="N796" s="155">
        <v>77</v>
      </c>
      <c r="O796" s="2">
        <v>36</v>
      </c>
      <c r="P796" s="6">
        <v>12</v>
      </c>
      <c r="Q796" s="131">
        <f t="shared" si="79"/>
        <v>86.399999999999991</v>
      </c>
      <c r="R796" s="33">
        <f t="shared" si="82"/>
        <v>12</v>
      </c>
      <c r="S796" s="132">
        <f t="shared" si="80"/>
        <v>1.5</v>
      </c>
      <c r="T796" s="132">
        <f t="shared" si="84"/>
        <v>1.5</v>
      </c>
      <c r="V796" s="131">
        <f t="shared" si="81"/>
        <v>23.671232876712331</v>
      </c>
      <c r="W796" s="17">
        <v>43.8</v>
      </c>
      <c r="X796" s="8">
        <f t="shared" ref="X796:X801" si="85">60*60*8/W796</f>
        <v>657.53424657534254</v>
      </c>
      <c r="Y796" s="161">
        <v>45569</v>
      </c>
      <c r="Z796" s="7" t="s">
        <v>7</v>
      </c>
      <c r="AA796" s="117"/>
      <c r="AB796" s="117"/>
      <c r="AC796" s="117"/>
      <c r="AD796" s="24">
        <v>45569</v>
      </c>
      <c r="AE796">
        <v>8</v>
      </c>
      <c r="AF796">
        <v>7.6</v>
      </c>
      <c r="AH796">
        <v>3</v>
      </c>
      <c r="AI796">
        <v>0.8</v>
      </c>
      <c r="AJ796">
        <v>0.6</v>
      </c>
      <c r="AK796">
        <v>8</v>
      </c>
      <c r="AL796">
        <v>7.5</v>
      </c>
      <c r="AN796">
        <v>14</v>
      </c>
      <c r="AO796">
        <v>1.2</v>
      </c>
      <c r="AS796">
        <v>43.8</v>
      </c>
      <c r="AT796">
        <v>8</v>
      </c>
      <c r="AU796">
        <v>17</v>
      </c>
      <c r="AV796">
        <v>112</v>
      </c>
      <c r="AW796">
        <v>122</v>
      </c>
      <c r="AX796">
        <v>12</v>
      </c>
      <c r="AY796">
        <v>24</v>
      </c>
      <c r="AZ796">
        <v>101</v>
      </c>
      <c r="BA796">
        <v>112</v>
      </c>
      <c r="BB796">
        <v>420</v>
      </c>
      <c r="CH796" s="2"/>
    </row>
    <row r="797" spans="1:86" x14ac:dyDescent="0.3">
      <c r="A797" s="23">
        <v>2005</v>
      </c>
      <c r="B797" s="2" t="s">
        <v>0</v>
      </c>
      <c r="C797" s="2" t="s">
        <v>1</v>
      </c>
      <c r="D797" s="2" t="s">
        <v>1278</v>
      </c>
      <c r="E797" s="2">
        <v>670</v>
      </c>
      <c r="F797" s="2">
        <v>1.7500000000000002E-2</v>
      </c>
      <c r="G797" s="2">
        <v>1.44E-2</v>
      </c>
      <c r="H797" s="4">
        <f t="shared" si="83"/>
        <v>0.17714285714285724</v>
      </c>
      <c r="I797" s="2" t="s">
        <v>3</v>
      </c>
      <c r="J797" s="2" t="s">
        <v>664</v>
      </c>
      <c r="K797" s="2" t="s">
        <v>105</v>
      </c>
      <c r="L797" s="2" t="s">
        <v>76</v>
      </c>
      <c r="M797" s="155"/>
      <c r="N797" s="155"/>
      <c r="O797" s="2">
        <v>16</v>
      </c>
      <c r="P797" s="6">
        <v>15</v>
      </c>
      <c r="Q797" s="131">
        <f t="shared" si="79"/>
        <v>45.850746268656721</v>
      </c>
      <c r="R797" s="33">
        <f t="shared" si="82"/>
        <v>15</v>
      </c>
      <c r="S797" s="132">
        <f t="shared" si="80"/>
        <v>1.875</v>
      </c>
      <c r="T797" s="132">
        <f t="shared" si="84"/>
        <v>1.875</v>
      </c>
      <c r="V797" s="131">
        <f t="shared" si="81"/>
        <v>21.973201087215678</v>
      </c>
      <c r="W797" s="17">
        <v>31.3</v>
      </c>
      <c r="X797" s="8">
        <f t="shared" si="85"/>
        <v>920.12779552715654</v>
      </c>
      <c r="Y797" s="161">
        <v>45513</v>
      </c>
      <c r="Z797" s="7" t="s">
        <v>7</v>
      </c>
      <c r="AA797" s="117"/>
      <c r="AB797" s="117"/>
      <c r="AC797" s="117"/>
      <c r="CH797" s="2"/>
    </row>
    <row r="798" spans="1:86" x14ac:dyDescent="0.3">
      <c r="A798" s="23">
        <v>2013</v>
      </c>
      <c r="B798" s="2" t="s">
        <v>0</v>
      </c>
      <c r="C798" s="2" t="s">
        <v>1</v>
      </c>
      <c r="D798" s="2" t="s">
        <v>2</v>
      </c>
      <c r="E798" s="2">
        <v>2000</v>
      </c>
      <c r="F798" s="2">
        <v>4.7999999999999996E-3</v>
      </c>
      <c r="G798" s="2">
        <v>3.5000000000000001E-3</v>
      </c>
      <c r="H798" s="4">
        <f t="shared" si="83"/>
        <v>0.27083333333333326</v>
      </c>
      <c r="I798" s="2" t="s">
        <v>3</v>
      </c>
      <c r="J798" s="2" t="s">
        <v>4</v>
      </c>
      <c r="K798" s="2" t="s">
        <v>5</v>
      </c>
      <c r="L798" s="2" t="s">
        <v>6</v>
      </c>
      <c r="M798" s="155"/>
      <c r="N798" s="155"/>
      <c r="O798" s="2">
        <v>35</v>
      </c>
      <c r="P798" s="6">
        <f>17/0.8</f>
        <v>21.25</v>
      </c>
      <c r="Q798" s="131">
        <f t="shared" si="79"/>
        <v>23.71764705882353</v>
      </c>
      <c r="R798" s="33">
        <v>20</v>
      </c>
      <c r="S798" s="132">
        <f t="shared" si="80"/>
        <v>2.5</v>
      </c>
      <c r="T798" s="132">
        <f t="shared" si="84"/>
        <v>2.5</v>
      </c>
      <c r="V798" s="131">
        <f t="shared" si="81"/>
        <v>19.45945945945946</v>
      </c>
      <c r="W798" s="17">
        <v>25.9</v>
      </c>
      <c r="X798" s="8">
        <f t="shared" si="85"/>
        <v>1111.969111969112</v>
      </c>
      <c r="Y798" s="161">
        <v>45553</v>
      </c>
      <c r="Z798" s="7" t="s">
        <v>7</v>
      </c>
      <c r="AA798" s="117"/>
      <c r="AB798" s="117"/>
      <c r="AC798" s="117"/>
      <c r="CH798" s="2"/>
    </row>
    <row r="799" spans="1:86" x14ac:dyDescent="0.3">
      <c r="A799" s="23">
        <v>2014</v>
      </c>
      <c r="B799" s="2" t="s">
        <v>0</v>
      </c>
      <c r="C799" s="2" t="s">
        <v>1</v>
      </c>
      <c r="D799" s="2" t="s">
        <v>1279</v>
      </c>
      <c r="E799" s="2">
        <v>3570</v>
      </c>
      <c r="F799" s="2">
        <v>4.7999999999999996E-3</v>
      </c>
      <c r="G799" s="2">
        <v>3.5000000000000001E-3</v>
      </c>
      <c r="H799" s="4">
        <f t="shared" si="83"/>
        <v>0.27083333333333326</v>
      </c>
      <c r="I799" s="2" t="s">
        <v>3</v>
      </c>
      <c r="J799" s="2" t="s">
        <v>4</v>
      </c>
      <c r="K799" s="2" t="s">
        <v>5</v>
      </c>
      <c r="L799" s="2" t="s">
        <v>6</v>
      </c>
      <c r="M799" s="155" t="s">
        <v>1280</v>
      </c>
      <c r="N799" s="155"/>
      <c r="O799" s="2">
        <v>35</v>
      </c>
      <c r="P799" s="6">
        <v>11</v>
      </c>
      <c r="Q799" s="131">
        <f t="shared" si="79"/>
        <v>25.668449197860966</v>
      </c>
      <c r="R799" s="33">
        <f t="shared" si="82"/>
        <v>11</v>
      </c>
      <c r="S799" s="132">
        <f t="shared" si="80"/>
        <v>1.375</v>
      </c>
      <c r="T799" s="132">
        <f t="shared" si="84"/>
        <v>1.375</v>
      </c>
      <c r="V799" s="131">
        <f t="shared" si="81"/>
        <v>10.90165796048149</v>
      </c>
      <c r="W799" s="17">
        <v>25.9</v>
      </c>
      <c r="X799" s="8">
        <f t="shared" si="85"/>
        <v>1111.969111969112</v>
      </c>
      <c r="Y799" s="161">
        <v>45621</v>
      </c>
      <c r="Z799" s="7" t="s">
        <v>7</v>
      </c>
      <c r="AA799" s="117"/>
      <c r="AB799" s="117"/>
      <c r="AC799" s="117"/>
      <c r="CH799" s="2"/>
    </row>
    <row r="800" spans="1:86" x14ac:dyDescent="0.3">
      <c r="A800" s="23">
        <v>2019</v>
      </c>
      <c r="B800" s="2" t="s">
        <v>0</v>
      </c>
      <c r="C800" s="2" t="s">
        <v>1</v>
      </c>
      <c r="D800" s="2" t="s">
        <v>1281</v>
      </c>
      <c r="E800" s="2">
        <v>700</v>
      </c>
      <c r="F800" s="2">
        <v>1.6299999999999999E-2</v>
      </c>
      <c r="G800" s="2">
        <v>1.21E-2</v>
      </c>
      <c r="H800" s="4">
        <f t="shared" si="83"/>
        <v>0.25766871165644167</v>
      </c>
      <c r="I800" s="2" t="s">
        <v>73</v>
      </c>
      <c r="J800" s="2" t="s">
        <v>1282</v>
      </c>
      <c r="K800" s="2" t="s">
        <v>105</v>
      </c>
      <c r="L800" s="2" t="s">
        <v>76</v>
      </c>
      <c r="M800" s="155"/>
      <c r="N800" s="155"/>
      <c r="O800" s="2">
        <v>24</v>
      </c>
      <c r="P800" s="6">
        <v>17</v>
      </c>
      <c r="Q800" s="131">
        <f t="shared" si="79"/>
        <v>58.084033613445378</v>
      </c>
      <c r="R800" s="33">
        <f t="shared" si="82"/>
        <v>17</v>
      </c>
      <c r="S800" s="132">
        <f t="shared" si="80"/>
        <v>2.125</v>
      </c>
      <c r="T800" s="132">
        <f t="shared" si="84"/>
        <v>2.125</v>
      </c>
      <c r="V800" s="131">
        <f t="shared" si="81"/>
        <v>27.277032359905284</v>
      </c>
      <c r="W800" s="17">
        <v>36.200000000000003</v>
      </c>
      <c r="X800" s="8">
        <f t="shared" si="85"/>
        <v>795.58011049723746</v>
      </c>
      <c r="Y800" s="161">
        <v>45596</v>
      </c>
      <c r="Z800" s="7" t="s">
        <v>7</v>
      </c>
      <c r="AA800" s="117"/>
      <c r="AB800" s="117"/>
      <c r="AC800" s="117"/>
      <c r="CH800" s="2"/>
    </row>
    <row r="801" spans="1:86" x14ac:dyDescent="0.3">
      <c r="A801" s="23">
        <v>2018</v>
      </c>
      <c r="B801" s="2" t="s">
        <v>0</v>
      </c>
      <c r="C801" s="2" t="s">
        <v>1</v>
      </c>
      <c r="D801" s="23" t="s">
        <v>1283</v>
      </c>
      <c r="E801" s="2">
        <v>360</v>
      </c>
      <c r="F801" s="2">
        <v>2.9000000000000001E-2</v>
      </c>
      <c r="G801" s="2">
        <v>2.18E-2</v>
      </c>
      <c r="H801" s="91">
        <f t="shared" si="83"/>
        <v>0.24827586206896557</v>
      </c>
      <c r="I801" s="2" t="s">
        <v>73</v>
      </c>
      <c r="J801" s="2" t="s">
        <v>1284</v>
      </c>
      <c r="K801" s="2" t="s">
        <v>105</v>
      </c>
      <c r="L801" s="2" t="s">
        <v>76</v>
      </c>
      <c r="M801" s="155"/>
      <c r="N801" s="155"/>
      <c r="O801" s="2">
        <v>12</v>
      </c>
      <c r="P801" s="6">
        <v>24</v>
      </c>
      <c r="Q801" s="131">
        <f t="shared" si="79"/>
        <v>40</v>
      </c>
      <c r="R801" s="33">
        <f t="shared" si="82"/>
        <v>24</v>
      </c>
      <c r="S801" s="132">
        <f t="shared" si="80"/>
        <v>3</v>
      </c>
      <c r="T801" s="132">
        <f t="shared" si="84"/>
        <v>3</v>
      </c>
      <c r="V801" s="131">
        <f t="shared" si="81"/>
        <v>24</v>
      </c>
      <c r="W801" s="17">
        <v>40</v>
      </c>
      <c r="X801" s="8">
        <f t="shared" si="85"/>
        <v>720</v>
      </c>
      <c r="Y801" s="161">
        <v>45612</v>
      </c>
      <c r="Z801" s="7" t="s">
        <v>7</v>
      </c>
      <c r="AA801" s="117"/>
      <c r="AB801" s="117"/>
      <c r="AC801" s="117"/>
      <c r="CH801" s="2"/>
    </row>
    <row r="802" spans="1:86" x14ac:dyDescent="0.3">
      <c r="A802" s="2">
        <v>2048</v>
      </c>
      <c r="B802" s="2" t="s">
        <v>0</v>
      </c>
      <c r="C802" s="2" t="s">
        <v>1</v>
      </c>
      <c r="D802" t="s">
        <v>1285</v>
      </c>
      <c r="E802" s="2">
        <v>1000</v>
      </c>
      <c r="F802" s="2">
        <v>2.4199999999999999E-2</v>
      </c>
      <c r="G802" s="2">
        <v>2.0400000000000001E-2</v>
      </c>
      <c r="H802" s="4">
        <f t="shared" si="83"/>
        <v>0.15702479338842967</v>
      </c>
      <c r="I802" s="2" t="s">
        <v>98</v>
      </c>
      <c r="J802" s="2" t="s">
        <v>964</v>
      </c>
      <c r="K802" s="2" t="s">
        <v>75</v>
      </c>
      <c r="L802" s="2" t="s">
        <v>76</v>
      </c>
      <c r="M802" s="155"/>
      <c r="N802" s="155"/>
      <c r="O802" s="2">
        <v>4</v>
      </c>
      <c r="P802" s="6">
        <v>45</v>
      </c>
      <c r="Q802" s="131">
        <f t="shared" si="79"/>
        <v>2.56</v>
      </c>
      <c r="R802" s="33">
        <f t="shared" si="82"/>
        <v>45</v>
      </c>
      <c r="S802" s="132">
        <f t="shared" si="80"/>
        <v>5.625</v>
      </c>
      <c r="T802" s="132">
        <f t="shared" si="84"/>
        <v>5.625</v>
      </c>
      <c r="V802" s="131" t="str">
        <f t="shared" si="81"/>
        <v/>
      </c>
      <c r="W802" s="17"/>
      <c r="X802" s="7"/>
      <c r="Y802" s="161"/>
      <c r="Z802" s="7"/>
      <c r="AA802" s="117"/>
      <c r="AB802" s="117"/>
      <c r="AC802" s="117"/>
      <c r="CH802" s="2"/>
    </row>
    <row r="803" spans="1:86" x14ac:dyDescent="0.3">
      <c r="A803" s="2">
        <v>2050</v>
      </c>
      <c r="B803" s="2" t="s">
        <v>0</v>
      </c>
      <c r="C803" s="2" t="s">
        <v>1</v>
      </c>
      <c r="D803" s="2" t="s">
        <v>1286</v>
      </c>
      <c r="E803" s="2">
        <v>1000</v>
      </c>
      <c r="F803" s="2">
        <v>2.4199999999999999E-2</v>
      </c>
      <c r="G803" s="2">
        <v>2.0400000000000001E-2</v>
      </c>
      <c r="H803" s="4">
        <f t="shared" si="83"/>
        <v>0.15702479338842967</v>
      </c>
      <c r="I803" s="2" t="s">
        <v>98</v>
      </c>
      <c r="J803" s="2" t="s">
        <v>964</v>
      </c>
      <c r="K803" s="2" t="s">
        <v>75</v>
      </c>
      <c r="L803" s="2" t="s">
        <v>76</v>
      </c>
      <c r="M803" s="155"/>
      <c r="N803" s="155"/>
      <c r="O803" s="2">
        <v>4</v>
      </c>
      <c r="P803" s="6">
        <v>45</v>
      </c>
      <c r="Q803" s="131">
        <f t="shared" si="79"/>
        <v>2.56</v>
      </c>
      <c r="R803" s="33">
        <f t="shared" si="82"/>
        <v>45</v>
      </c>
      <c r="S803" s="132">
        <f t="shared" si="80"/>
        <v>5.625</v>
      </c>
      <c r="T803" s="132">
        <f t="shared" si="84"/>
        <v>5.625</v>
      </c>
      <c r="V803" s="131">
        <f t="shared" si="81"/>
        <v>4.6639676113360329</v>
      </c>
      <c r="W803" s="17">
        <v>24.7</v>
      </c>
      <c r="X803" s="8">
        <f>60*60*8/W803</f>
        <v>1165.9919028340082</v>
      </c>
      <c r="Y803" s="161">
        <v>45596</v>
      </c>
      <c r="Z803" s="7" t="s">
        <v>7</v>
      </c>
      <c r="AA803" s="117"/>
      <c r="AB803" s="117"/>
      <c r="AC803" s="117"/>
      <c r="CH803" s="2"/>
    </row>
    <row r="804" spans="1:86" x14ac:dyDescent="0.3">
      <c r="A804" s="2">
        <v>2051</v>
      </c>
      <c r="B804" s="2" t="s">
        <v>0</v>
      </c>
      <c r="C804" s="2" t="s">
        <v>1</v>
      </c>
      <c r="D804" s="2" t="s">
        <v>1287</v>
      </c>
      <c r="E804" s="2">
        <v>1000</v>
      </c>
      <c r="F804" s="2">
        <v>2.4199999999999999E-2</v>
      </c>
      <c r="G804" s="2">
        <v>2.0400000000000001E-2</v>
      </c>
      <c r="H804" s="4">
        <f t="shared" si="83"/>
        <v>0.15702479338842967</v>
      </c>
      <c r="I804" s="2" t="s">
        <v>98</v>
      </c>
      <c r="J804" s="2" t="s">
        <v>964</v>
      </c>
      <c r="K804" s="2" t="s">
        <v>75</v>
      </c>
      <c r="L804" s="2" t="s">
        <v>76</v>
      </c>
      <c r="M804" s="155"/>
      <c r="N804" s="155"/>
      <c r="O804" s="2">
        <v>4</v>
      </c>
      <c r="P804" s="6">
        <v>45</v>
      </c>
      <c r="Q804" s="131">
        <f t="shared" si="79"/>
        <v>2.56</v>
      </c>
      <c r="R804" s="33">
        <f t="shared" si="82"/>
        <v>45</v>
      </c>
      <c r="S804" s="132">
        <f t="shared" si="80"/>
        <v>5.625</v>
      </c>
      <c r="T804" s="132">
        <f t="shared" si="84"/>
        <v>5.625</v>
      </c>
      <c r="V804" s="131">
        <f t="shared" si="81"/>
        <v>4.6639676113360329</v>
      </c>
      <c r="W804" s="17">
        <v>24.7</v>
      </c>
      <c r="X804" s="8">
        <f>60*60*8/W804</f>
        <v>1165.9919028340082</v>
      </c>
      <c r="Y804" s="161">
        <v>45596</v>
      </c>
      <c r="Z804" s="7" t="s">
        <v>7</v>
      </c>
      <c r="AA804" s="117"/>
      <c r="AB804" s="117"/>
      <c r="AC804" s="117"/>
      <c r="CH804" s="2"/>
    </row>
    <row r="805" spans="1:86" x14ac:dyDescent="0.3">
      <c r="A805" s="2">
        <v>2052</v>
      </c>
      <c r="B805" s="2" t="s">
        <v>0</v>
      </c>
      <c r="C805" s="2" t="s">
        <v>1</v>
      </c>
      <c r="D805" s="2" t="s">
        <v>1288</v>
      </c>
      <c r="E805" s="2">
        <v>1000</v>
      </c>
      <c r="F805" s="2">
        <v>2.4199999999999999E-2</v>
      </c>
      <c r="G805" s="2">
        <v>2.0400000000000001E-2</v>
      </c>
      <c r="H805" s="4">
        <f t="shared" si="83"/>
        <v>0.15702479338842967</v>
      </c>
      <c r="I805" s="2" t="s">
        <v>98</v>
      </c>
      <c r="J805" s="2" t="s">
        <v>964</v>
      </c>
      <c r="K805" s="2" t="s">
        <v>75</v>
      </c>
      <c r="L805" s="2" t="s">
        <v>76</v>
      </c>
      <c r="M805" s="155"/>
      <c r="N805" s="155"/>
      <c r="O805" s="2">
        <v>4</v>
      </c>
      <c r="P805" s="6">
        <v>45</v>
      </c>
      <c r="Q805" s="131">
        <f t="shared" si="79"/>
        <v>2.56</v>
      </c>
      <c r="R805" s="33">
        <f t="shared" si="82"/>
        <v>45</v>
      </c>
      <c r="S805" s="132">
        <f t="shared" si="80"/>
        <v>5.625</v>
      </c>
      <c r="T805" s="132">
        <f t="shared" si="84"/>
        <v>5.625</v>
      </c>
      <c r="V805" s="131">
        <f t="shared" si="81"/>
        <v>4.6639676113360329</v>
      </c>
      <c r="W805" s="17">
        <v>24.7</v>
      </c>
      <c r="X805" s="8">
        <f>60*60*8/W805</f>
        <v>1165.9919028340082</v>
      </c>
      <c r="Y805" s="161">
        <v>45596</v>
      </c>
      <c r="Z805" s="7" t="s">
        <v>7</v>
      </c>
      <c r="AA805" s="117"/>
      <c r="AB805" s="117"/>
      <c r="AC805" s="117"/>
      <c r="CH805" s="2"/>
    </row>
    <row r="806" spans="1:86" x14ac:dyDescent="0.3">
      <c r="A806" s="2">
        <v>2055</v>
      </c>
      <c r="B806" s="2" t="s">
        <v>0</v>
      </c>
      <c r="C806" s="2" t="s">
        <v>1</v>
      </c>
      <c r="D806" s="2" t="s">
        <v>1289</v>
      </c>
      <c r="E806" s="2">
        <v>1000</v>
      </c>
      <c r="F806" s="2">
        <v>2.4199999999999999E-2</v>
      </c>
      <c r="G806" s="2">
        <v>2.0400000000000001E-2</v>
      </c>
      <c r="H806" s="4">
        <f t="shared" si="83"/>
        <v>0.15702479338842967</v>
      </c>
      <c r="I806" s="2" t="s">
        <v>98</v>
      </c>
      <c r="J806" s="2" t="s">
        <v>964</v>
      </c>
      <c r="K806" s="2" t="s">
        <v>75</v>
      </c>
      <c r="L806" s="2" t="s">
        <v>76</v>
      </c>
      <c r="M806" s="155"/>
      <c r="N806" s="155"/>
      <c r="O806" s="2">
        <v>4</v>
      </c>
      <c r="P806" s="6">
        <v>45</v>
      </c>
      <c r="Q806" s="131">
        <f t="shared" si="79"/>
        <v>2.56</v>
      </c>
      <c r="R806" s="33">
        <f t="shared" si="82"/>
        <v>45</v>
      </c>
      <c r="S806" s="132">
        <f t="shared" si="80"/>
        <v>5.625</v>
      </c>
      <c r="T806" s="132">
        <f t="shared" si="84"/>
        <v>5.625</v>
      </c>
      <c r="V806" s="131">
        <f t="shared" si="81"/>
        <v>4.6639676113360329</v>
      </c>
      <c r="W806" s="17">
        <v>24.7</v>
      </c>
      <c r="X806" s="8">
        <f>60*60*8/W806</f>
        <v>1165.9919028340082</v>
      </c>
      <c r="Y806" s="161">
        <v>45596</v>
      </c>
      <c r="Z806" s="7" t="s">
        <v>7</v>
      </c>
      <c r="AA806" s="117"/>
      <c r="AB806" s="117"/>
      <c r="AC806" s="117"/>
      <c r="AD806" t="s">
        <v>969</v>
      </c>
      <c r="CH806" s="2"/>
    </row>
    <row r="807" spans="1:86" x14ac:dyDescent="0.3">
      <c r="A807" s="2">
        <v>2058</v>
      </c>
      <c r="B807" s="2" t="s">
        <v>0</v>
      </c>
      <c r="C807" s="2" t="s">
        <v>1</v>
      </c>
      <c r="D807" s="2" t="s">
        <v>1290</v>
      </c>
      <c r="E807" s="2">
        <v>1000</v>
      </c>
      <c r="F807" s="2">
        <v>2.4199999999999999E-2</v>
      </c>
      <c r="G807" s="2">
        <v>2.0400000000000001E-2</v>
      </c>
      <c r="H807" s="4">
        <f t="shared" si="83"/>
        <v>0.15702479338842967</v>
      </c>
      <c r="I807" s="2" t="s">
        <v>98</v>
      </c>
      <c r="J807" s="2" t="s">
        <v>964</v>
      </c>
      <c r="K807" s="2" t="s">
        <v>75</v>
      </c>
      <c r="L807" s="2" t="s">
        <v>76</v>
      </c>
      <c r="M807" s="155"/>
      <c r="N807" s="155"/>
      <c r="O807" s="2">
        <v>4</v>
      </c>
      <c r="P807" s="6">
        <v>45</v>
      </c>
      <c r="Q807" s="131">
        <f t="shared" si="79"/>
        <v>2.56</v>
      </c>
      <c r="R807" s="33">
        <f t="shared" si="82"/>
        <v>45</v>
      </c>
      <c r="S807" s="132">
        <f t="shared" si="80"/>
        <v>5.625</v>
      </c>
      <c r="T807" s="132">
        <f t="shared" si="84"/>
        <v>5.625</v>
      </c>
      <c r="V807" s="131" t="str">
        <f t="shared" si="81"/>
        <v/>
      </c>
      <c r="W807" s="17"/>
      <c r="X807" s="7"/>
      <c r="Y807" s="161"/>
      <c r="Z807" s="7"/>
      <c r="AA807" s="117"/>
      <c r="AB807" s="117"/>
      <c r="AC807" s="117"/>
      <c r="CH807" s="2"/>
    </row>
    <row r="808" spans="1:86" x14ac:dyDescent="0.3">
      <c r="A808" s="2">
        <v>2058</v>
      </c>
      <c r="B808" s="2" t="s">
        <v>0</v>
      </c>
      <c r="C808" s="2" t="s">
        <v>1</v>
      </c>
      <c r="D808" s="2" t="s">
        <v>1290</v>
      </c>
      <c r="E808" s="2">
        <v>1000</v>
      </c>
      <c r="F808" s="2">
        <v>2.4199999999999999E-2</v>
      </c>
      <c r="G808" s="2">
        <v>2.0400000000000001E-2</v>
      </c>
      <c r="H808" s="4">
        <f t="shared" si="83"/>
        <v>0.15702479338842967</v>
      </c>
      <c r="I808" s="2" t="s">
        <v>98</v>
      </c>
      <c r="J808" s="2" t="s">
        <v>964</v>
      </c>
      <c r="K808" s="2" t="s">
        <v>75</v>
      </c>
      <c r="L808" s="2" t="s">
        <v>76</v>
      </c>
      <c r="M808" s="155"/>
      <c r="N808" s="155"/>
      <c r="O808" s="2">
        <v>4</v>
      </c>
      <c r="P808" s="6">
        <v>45</v>
      </c>
      <c r="Q808" s="131">
        <f t="shared" si="79"/>
        <v>2.56</v>
      </c>
      <c r="R808" s="33">
        <f t="shared" si="82"/>
        <v>45</v>
      </c>
      <c r="S808" s="132">
        <f t="shared" si="80"/>
        <v>5.625</v>
      </c>
      <c r="T808" s="132">
        <f t="shared" si="84"/>
        <v>5.625</v>
      </c>
      <c r="V808" s="131" t="str">
        <f t="shared" si="81"/>
        <v/>
      </c>
      <c r="W808" s="17"/>
      <c r="X808" s="7"/>
      <c r="Y808" s="161"/>
      <c r="Z808" s="7"/>
      <c r="AA808" s="117"/>
      <c r="AB808" s="117"/>
      <c r="AC808" s="117"/>
      <c r="CH808" s="2"/>
    </row>
    <row r="809" spans="1:86" x14ac:dyDescent="0.3">
      <c r="A809" s="2">
        <v>2080</v>
      </c>
      <c r="B809" s="2" t="s">
        <v>0</v>
      </c>
      <c r="C809" s="2" t="s">
        <v>1</v>
      </c>
      <c r="D809" s="2" t="s">
        <v>1291</v>
      </c>
      <c r="E809" s="2">
        <v>1100</v>
      </c>
      <c r="F809" s="2">
        <v>9.4999999999999998E-3</v>
      </c>
      <c r="G809" s="23">
        <v>2.0400000000000001E-2</v>
      </c>
      <c r="H809" s="154">
        <f t="shared" si="83"/>
        <v>-1.1473684210526318</v>
      </c>
      <c r="I809" s="2" t="s">
        <v>82</v>
      </c>
      <c r="J809" s="2" t="s">
        <v>698</v>
      </c>
      <c r="K809" s="2" t="s">
        <v>357</v>
      </c>
      <c r="L809" s="2" t="s">
        <v>6</v>
      </c>
      <c r="M809" s="155" t="s">
        <v>1292</v>
      </c>
      <c r="N809" s="155"/>
      <c r="O809" s="2">
        <v>18</v>
      </c>
      <c r="P809" s="6">
        <v>20</v>
      </c>
      <c r="Q809" s="131">
        <f t="shared" si="79"/>
        <v>23.563636363636363</v>
      </c>
      <c r="R809" s="33">
        <f t="shared" si="82"/>
        <v>20</v>
      </c>
      <c r="S809" s="132">
        <f t="shared" si="80"/>
        <v>2.5</v>
      </c>
      <c r="T809" s="132">
        <f t="shared" si="84"/>
        <v>2.5</v>
      </c>
      <c r="V809" s="131">
        <f t="shared" si="81"/>
        <v>11.752437089095443</v>
      </c>
      <c r="W809" s="17">
        <v>40.1</v>
      </c>
      <c r="X809" s="8">
        <f>60*60*8/W809</f>
        <v>718.20448877805484</v>
      </c>
      <c r="Y809" s="161">
        <v>45688</v>
      </c>
      <c r="Z809" s="7" t="s">
        <v>7</v>
      </c>
      <c r="AA809" s="117"/>
      <c r="AB809" s="117"/>
      <c r="AC809" s="117"/>
      <c r="CH809" s="2"/>
    </row>
    <row r="810" spans="1:86" x14ac:dyDescent="0.3">
      <c r="A810" s="2">
        <v>2092</v>
      </c>
      <c r="B810" s="2" t="s">
        <v>0</v>
      </c>
      <c r="C810" s="2" t="s">
        <v>1</v>
      </c>
      <c r="D810" s="23" t="s">
        <v>1293</v>
      </c>
      <c r="E810" s="2">
        <v>3100</v>
      </c>
      <c r="F810" s="2">
        <v>2.7000000000000001E-3</v>
      </c>
      <c r="G810" s="2">
        <v>2.3E-3</v>
      </c>
      <c r="H810" s="4">
        <f t="shared" si="83"/>
        <v>0.1481481481481482</v>
      </c>
      <c r="I810" s="2" t="s">
        <v>98</v>
      </c>
      <c r="J810" s="2" t="s">
        <v>1294</v>
      </c>
      <c r="K810" s="2" t="s">
        <v>95</v>
      </c>
      <c r="L810" s="2" t="s">
        <v>96</v>
      </c>
      <c r="M810" s="155"/>
      <c r="N810" s="155"/>
      <c r="O810" s="2">
        <v>48</v>
      </c>
      <c r="P810" s="6">
        <v>14</v>
      </c>
      <c r="Q810" s="131">
        <f t="shared" si="79"/>
        <v>31.852534562211982</v>
      </c>
      <c r="R810" s="33">
        <f t="shared" si="82"/>
        <v>14</v>
      </c>
      <c r="S810" s="132">
        <f t="shared" si="80"/>
        <v>1.75</v>
      </c>
      <c r="T810" s="132">
        <f t="shared" si="84"/>
        <v>1.75</v>
      </c>
      <c r="V810" s="131">
        <f t="shared" si="81"/>
        <v>17.284321080270068</v>
      </c>
      <c r="W810" s="17">
        <v>25.8</v>
      </c>
      <c r="X810" s="8">
        <f>60*60*8/W810</f>
        <v>1116.2790697674418</v>
      </c>
      <c r="Y810" s="161">
        <v>45547</v>
      </c>
      <c r="Z810" s="7" t="s">
        <v>7</v>
      </c>
      <c r="AA810" s="117"/>
      <c r="AB810" s="117"/>
      <c r="AC810" s="117"/>
      <c r="AD810" s="24">
        <v>45547</v>
      </c>
      <c r="AE810">
        <v>8</v>
      </c>
      <c r="AF810">
        <v>3</v>
      </c>
      <c r="AG810">
        <v>1.6</v>
      </c>
      <c r="AI810">
        <v>0.2</v>
      </c>
      <c r="AJ810">
        <v>0.2</v>
      </c>
      <c r="AK810">
        <v>5</v>
      </c>
      <c r="AL810">
        <v>4.5</v>
      </c>
      <c r="AO810">
        <v>0.5</v>
      </c>
      <c r="AS810">
        <v>25.8</v>
      </c>
      <c r="AT810">
        <v>6.5</v>
      </c>
      <c r="AU810">
        <v>16</v>
      </c>
      <c r="AV810">
        <v>123</v>
      </c>
      <c r="AW810">
        <v>133</v>
      </c>
      <c r="AX810">
        <v>12</v>
      </c>
      <c r="AY810">
        <v>23.5</v>
      </c>
      <c r="AZ810">
        <v>101</v>
      </c>
      <c r="BA810">
        <v>112</v>
      </c>
      <c r="BB810">
        <v>420</v>
      </c>
      <c r="CH810" s="2"/>
    </row>
    <row r="811" spans="1:86" x14ac:dyDescent="0.3">
      <c r="A811" s="2">
        <v>2091</v>
      </c>
      <c r="B811" s="2" t="s">
        <v>0</v>
      </c>
      <c r="C811" s="2" t="s">
        <v>1</v>
      </c>
      <c r="D811" s="23" t="s">
        <v>1295</v>
      </c>
      <c r="E811" s="2">
        <v>760</v>
      </c>
      <c r="F811" s="2">
        <v>1.6299999999999999E-2</v>
      </c>
      <c r="G811" s="2">
        <v>1.2E-2</v>
      </c>
      <c r="H811" s="4">
        <f t="shared" si="83"/>
        <v>0.26380368098159501</v>
      </c>
      <c r="I811" s="2" t="s">
        <v>73</v>
      </c>
      <c r="J811" s="2" t="s">
        <v>1282</v>
      </c>
      <c r="K811" s="2" t="s">
        <v>105</v>
      </c>
      <c r="L811" s="2" t="s">
        <v>76</v>
      </c>
      <c r="M811" s="155"/>
      <c r="N811" s="155"/>
      <c r="O811" s="2">
        <v>24</v>
      </c>
      <c r="P811" s="6">
        <v>17</v>
      </c>
      <c r="Q811" s="131">
        <f t="shared" si="79"/>
        <v>53.4984520123839</v>
      </c>
      <c r="R811" s="33">
        <f t="shared" si="82"/>
        <v>17</v>
      </c>
      <c r="S811" s="132">
        <f t="shared" si="80"/>
        <v>2.125</v>
      </c>
      <c r="T811" s="132">
        <f t="shared" si="84"/>
        <v>2.125</v>
      </c>
      <c r="V811" s="131" t="str">
        <f t="shared" si="81"/>
        <v/>
      </c>
      <c r="W811" s="17"/>
      <c r="X811" s="7"/>
      <c r="Y811" s="161"/>
      <c r="Z811" s="7"/>
      <c r="BE811"/>
      <c r="CH811" s="2"/>
    </row>
    <row r="813" spans="1:86" ht="43.2" x14ac:dyDescent="0.3">
      <c r="A813" s="5"/>
      <c r="B813" s="5"/>
      <c r="C813" s="5"/>
      <c r="D813" s="5"/>
      <c r="E813" s="5"/>
      <c r="F813" s="5"/>
      <c r="G813" s="1">
        <f>F817*400</f>
        <v>7.48</v>
      </c>
      <c r="H813" s="1">
        <f>E817*G817</f>
        <v>4.5199999999999996</v>
      </c>
      <c r="I813" s="5"/>
      <c r="J813" s="5"/>
      <c r="K813" s="5"/>
      <c r="L813" s="5"/>
      <c r="M813" s="5"/>
      <c r="N813" s="5"/>
      <c r="O813" s="5">
        <f>1.867*2000*35/60/60</f>
        <v>36.302777777777777</v>
      </c>
      <c r="R813" s="5">
        <f>R814*0.8</f>
        <v>212.67692307692312</v>
      </c>
      <c r="U813" s="166" t="s">
        <v>1296</v>
      </c>
      <c r="V813" s="5" t="s">
        <v>1297</v>
      </c>
      <c r="W813" s="18" t="s">
        <v>1298</v>
      </c>
      <c r="X813" s="18" t="s">
        <v>1299</v>
      </c>
      <c r="Y813" s="160" t="s">
        <v>1300</v>
      </c>
      <c r="Z813" s="18" t="s">
        <v>1301</v>
      </c>
      <c r="AA813" s="18"/>
      <c r="AB813" s="18"/>
      <c r="AC813" s="18"/>
      <c r="AD813" s="18" t="s">
        <v>1302</v>
      </c>
    </row>
    <row r="814" spans="1:86" x14ac:dyDescent="0.3">
      <c r="A814" s="2">
        <v>692</v>
      </c>
      <c r="B814" s="2" t="s">
        <v>0</v>
      </c>
      <c r="C814" s="2" t="s">
        <v>1303</v>
      </c>
      <c r="D814" s="2" t="s">
        <v>1304</v>
      </c>
      <c r="E814" s="2">
        <v>500</v>
      </c>
      <c r="F814" s="2">
        <v>1.7000000000000001E-2</v>
      </c>
      <c r="G814" s="2">
        <v>0.01</v>
      </c>
      <c r="H814" s="4">
        <f t="shared" ref="H814:H857" si="86">(F814-G814)/F814</f>
        <v>0.41176470588235298</v>
      </c>
      <c r="I814" s="2" t="s">
        <v>73</v>
      </c>
      <c r="J814" s="2" t="s">
        <v>1305</v>
      </c>
      <c r="K814" s="2" t="s">
        <v>1306</v>
      </c>
      <c r="L814" s="2" t="s">
        <v>96</v>
      </c>
      <c r="M814" s="163">
        <f>E814/N814</f>
        <v>10</v>
      </c>
      <c r="N814" s="163">
        <v>50</v>
      </c>
      <c r="O814" s="2">
        <v>24</v>
      </c>
      <c r="P814" s="6">
        <v>180</v>
      </c>
      <c r="Q814" s="131">
        <v>5.2</v>
      </c>
      <c r="R814" s="33">
        <f t="shared" ref="R814:R857" si="87">60*60*8*O814/E814/Q814</f>
        <v>265.84615384615387</v>
      </c>
      <c r="S814" s="132">
        <f t="shared" ref="S814:S857" si="88">IFERROR(R814/8,"")</f>
        <v>33.230769230769234</v>
      </c>
      <c r="T814" s="132">
        <f t="shared" ref="T814:T857" si="89">IFERROR(IF(R814&gt;2,S814,""),"")</f>
        <v>33.230769230769234</v>
      </c>
      <c r="U814" s="28">
        <f>1000/R814</f>
        <v>3.761574074074074</v>
      </c>
      <c r="V814" s="28">
        <f t="shared" ref="V814:V828" si="90">U814/0.85</f>
        <v>4.4253812636165577</v>
      </c>
      <c r="W814" s="15">
        <f t="shared" ref="W814:W857" si="91">P814/Z814</f>
        <v>0.83333333333333337</v>
      </c>
      <c r="X814" s="16">
        <v>125</v>
      </c>
      <c r="Y814" s="162">
        <f>X814/Z814</f>
        <v>0.57870370370370372</v>
      </c>
      <c r="Z814" s="5">
        <f t="shared" ref="Z814:Z857" si="92">60*60*O814/E814/AD814*7.5</f>
        <v>216</v>
      </c>
      <c r="AA814" s="5"/>
      <c r="AB814" s="5"/>
      <c r="AC814" s="5"/>
      <c r="AD814" s="29">
        <v>6</v>
      </c>
      <c r="AG814" s="20">
        <v>0.83333333333333337</v>
      </c>
      <c r="AI814" s="20">
        <f t="shared" ref="AI814:AI819" si="93">X814/Z814</f>
        <v>0.57870370370370372</v>
      </c>
    </row>
    <row r="815" spans="1:86" x14ac:dyDescent="0.3">
      <c r="A815" s="2">
        <v>2002</v>
      </c>
      <c r="B815" s="2" t="s">
        <v>0</v>
      </c>
      <c r="C815" s="2" t="s">
        <v>1303</v>
      </c>
      <c r="D815" s="2" t="s">
        <v>1307</v>
      </c>
      <c r="E815" s="2">
        <v>400</v>
      </c>
      <c r="F815" s="2">
        <v>1.7000000000000001E-2</v>
      </c>
      <c r="G815" s="2">
        <v>0.01</v>
      </c>
      <c r="H815" s="4">
        <f t="shared" si="86"/>
        <v>0.41176470588235298</v>
      </c>
      <c r="I815" s="2" t="s">
        <v>73</v>
      </c>
      <c r="J815" s="2" t="s">
        <v>1305</v>
      </c>
      <c r="K815" s="2" t="s">
        <v>1308</v>
      </c>
      <c r="L815" s="2" t="s">
        <v>6</v>
      </c>
      <c r="M815" s="163">
        <f t="shared" ref="M815:M819" si="94">E815/N815</f>
        <v>8</v>
      </c>
      <c r="N815" s="163">
        <v>50</v>
      </c>
      <c r="O815" s="2">
        <v>24</v>
      </c>
      <c r="P815" s="6">
        <f>180*500/400</f>
        <v>225</v>
      </c>
      <c r="Q815" s="131">
        <v>5.2</v>
      </c>
      <c r="R815" s="33">
        <f t="shared" si="87"/>
        <v>332.30769230769232</v>
      </c>
      <c r="S815" s="132">
        <f t="shared" si="88"/>
        <v>41.53846153846154</v>
      </c>
      <c r="T815" s="132">
        <f t="shared" si="89"/>
        <v>41.53846153846154</v>
      </c>
      <c r="U815" s="28">
        <f t="shared" ref="U815:U857" si="95">1000/R815</f>
        <v>3.0092592592592591</v>
      </c>
      <c r="V815" s="28">
        <f t="shared" si="90"/>
        <v>3.5403050108932459</v>
      </c>
      <c r="W815" s="15">
        <f t="shared" si="91"/>
        <v>0.83333333333333337</v>
      </c>
      <c r="X815" s="16">
        <v>125</v>
      </c>
      <c r="Y815" s="162">
        <f>X815/Z815</f>
        <v>0.46296296296296297</v>
      </c>
      <c r="Z815" s="5">
        <f t="shared" si="92"/>
        <v>270</v>
      </c>
      <c r="AA815" s="5"/>
      <c r="AB815" s="5"/>
      <c r="AC815" s="5"/>
      <c r="AD815" s="29">
        <v>6</v>
      </c>
      <c r="AG815" s="20">
        <v>0.83333333333333337</v>
      </c>
      <c r="AI815" s="20">
        <f t="shared" si="93"/>
        <v>0.46296296296296297</v>
      </c>
    </row>
    <row r="816" spans="1:86" x14ac:dyDescent="0.3">
      <c r="A816" s="2">
        <v>8</v>
      </c>
      <c r="B816" s="2" t="s">
        <v>0</v>
      </c>
      <c r="C816" s="2" t="s">
        <v>1303</v>
      </c>
      <c r="D816" s="2" t="s">
        <v>1309</v>
      </c>
      <c r="E816" s="2">
        <v>500</v>
      </c>
      <c r="F816" s="2">
        <v>1.8700000000000001E-2</v>
      </c>
      <c r="G816" s="2">
        <v>1.1299999999999999E-2</v>
      </c>
      <c r="H816" s="4">
        <f t="shared" si="86"/>
        <v>0.39572192513368992</v>
      </c>
      <c r="I816" s="2" t="s">
        <v>73</v>
      </c>
      <c r="J816" s="2" t="s">
        <v>1310</v>
      </c>
      <c r="K816" s="2" t="s">
        <v>1306</v>
      </c>
      <c r="L816" s="2" t="s">
        <v>96</v>
      </c>
      <c r="M816" s="163">
        <f t="shared" si="94"/>
        <v>10</v>
      </c>
      <c r="N816" s="163">
        <v>50</v>
      </c>
      <c r="O816" s="2">
        <v>24</v>
      </c>
      <c r="P816" s="6">
        <v>180</v>
      </c>
      <c r="Q816" s="131">
        <v>5.2</v>
      </c>
      <c r="R816" s="33">
        <f t="shared" si="87"/>
        <v>265.84615384615387</v>
      </c>
      <c r="S816" s="132">
        <f t="shared" si="88"/>
        <v>33.230769230769234</v>
      </c>
      <c r="T816" s="132">
        <f t="shared" si="89"/>
        <v>33.230769230769234</v>
      </c>
      <c r="U816" s="28">
        <f t="shared" si="95"/>
        <v>3.761574074074074</v>
      </c>
      <c r="V816" s="28">
        <f t="shared" si="90"/>
        <v>4.4253812636165577</v>
      </c>
      <c r="W816" s="15">
        <f t="shared" si="91"/>
        <v>0.83333333333333337</v>
      </c>
      <c r="X816" s="16">
        <v>120</v>
      </c>
      <c r="Y816" s="162">
        <f t="shared" ref="Y816:Y857" si="96">X816/Z816</f>
        <v>0.55555555555555558</v>
      </c>
      <c r="Z816" s="5">
        <f t="shared" si="92"/>
        <v>216</v>
      </c>
      <c r="AA816" s="5"/>
      <c r="AB816" s="5"/>
      <c r="AC816" s="5"/>
      <c r="AD816" s="29">
        <v>6</v>
      </c>
      <c r="AG816" s="20">
        <v>0.81944444444444442</v>
      </c>
      <c r="AI816" s="20">
        <f t="shared" si="93"/>
        <v>0.55555555555555558</v>
      </c>
    </row>
    <row r="817" spans="1:35" x14ac:dyDescent="0.3">
      <c r="A817" s="146">
        <v>2003</v>
      </c>
      <c r="B817" s="146" t="s">
        <v>0</v>
      </c>
      <c r="C817" s="146" t="s">
        <v>1303</v>
      </c>
      <c r="D817" s="146" t="s">
        <v>1311</v>
      </c>
      <c r="E817" s="146">
        <v>400</v>
      </c>
      <c r="F817" s="146">
        <v>1.8700000000000001E-2</v>
      </c>
      <c r="G817" s="146">
        <v>1.1299999999999999E-2</v>
      </c>
      <c r="H817" s="4">
        <f t="shared" si="86"/>
        <v>0.39572192513368992</v>
      </c>
      <c r="I817" s="2" t="s">
        <v>73</v>
      </c>
      <c r="J817" s="2" t="s">
        <v>1310</v>
      </c>
      <c r="K817" s="2" t="s">
        <v>1308</v>
      </c>
      <c r="L817" s="2" t="s">
        <v>6</v>
      </c>
      <c r="M817" s="163">
        <f t="shared" si="94"/>
        <v>8</v>
      </c>
      <c r="N817" s="163">
        <v>50</v>
      </c>
      <c r="O817" s="2">
        <v>24</v>
      </c>
      <c r="P817" s="6">
        <f>180*500/400</f>
        <v>225</v>
      </c>
      <c r="Q817" s="131">
        <v>5.2</v>
      </c>
      <c r="R817" s="33">
        <f t="shared" si="87"/>
        <v>332.30769230769232</v>
      </c>
      <c r="S817" s="132">
        <f t="shared" si="88"/>
        <v>41.53846153846154</v>
      </c>
      <c r="T817" s="132">
        <f t="shared" si="89"/>
        <v>41.53846153846154</v>
      </c>
      <c r="U817" s="28">
        <f t="shared" si="95"/>
        <v>3.0092592592592591</v>
      </c>
      <c r="V817" s="28">
        <f t="shared" si="90"/>
        <v>3.5403050108932459</v>
      </c>
      <c r="W817" s="15">
        <f t="shared" si="91"/>
        <v>0.83333333333333337</v>
      </c>
      <c r="X817" s="16">
        <v>120</v>
      </c>
      <c r="Y817" s="162">
        <f t="shared" si="96"/>
        <v>0.44444444444444442</v>
      </c>
      <c r="Z817" s="5">
        <f t="shared" si="92"/>
        <v>270</v>
      </c>
      <c r="AA817" s="5"/>
      <c r="AB817" s="5"/>
      <c r="AC817" s="5"/>
      <c r="AD817" s="29">
        <v>6</v>
      </c>
      <c r="AG817" s="20">
        <v>0.81944444444444442</v>
      </c>
      <c r="AI817" s="20">
        <f t="shared" si="93"/>
        <v>0.44444444444444442</v>
      </c>
    </row>
    <row r="818" spans="1:35" x14ac:dyDescent="0.3">
      <c r="A818" s="2">
        <v>694</v>
      </c>
      <c r="B818" s="2" t="s">
        <v>0</v>
      </c>
      <c r="C818" s="2" t="s">
        <v>1303</v>
      </c>
      <c r="D818" s="2" t="s">
        <v>1312</v>
      </c>
      <c r="E818" s="2">
        <v>500</v>
      </c>
      <c r="F818" s="2">
        <v>2.3800000000000002E-2</v>
      </c>
      <c r="G818" s="2">
        <v>1.3899999999999999E-2</v>
      </c>
      <c r="H818" s="4">
        <f t="shared" si="86"/>
        <v>0.41596638655462193</v>
      </c>
      <c r="I818" s="2" t="s">
        <v>73</v>
      </c>
      <c r="J818" s="2" t="s">
        <v>1313</v>
      </c>
      <c r="K818" s="2" t="s">
        <v>1306</v>
      </c>
      <c r="L818" s="2" t="s">
        <v>96</v>
      </c>
      <c r="M818" s="163">
        <f t="shared" si="94"/>
        <v>10</v>
      </c>
      <c r="N818" s="163">
        <v>50</v>
      </c>
      <c r="O818" s="2">
        <v>24</v>
      </c>
      <c r="P818" s="6">
        <v>170</v>
      </c>
      <c r="Q818" s="131">
        <v>5.2</v>
      </c>
      <c r="R818" s="33">
        <f t="shared" si="87"/>
        <v>265.84615384615387</v>
      </c>
      <c r="S818" s="132">
        <f t="shared" si="88"/>
        <v>33.230769230769234</v>
      </c>
      <c r="T818" s="132">
        <f t="shared" si="89"/>
        <v>33.230769230769234</v>
      </c>
      <c r="U818" s="28">
        <f t="shared" si="95"/>
        <v>3.761574074074074</v>
      </c>
      <c r="V818" s="28">
        <f t="shared" si="90"/>
        <v>4.4253812636165577</v>
      </c>
      <c r="W818" s="15">
        <f t="shared" si="91"/>
        <v>0.78703703703703709</v>
      </c>
      <c r="X818" s="16">
        <v>116</v>
      </c>
      <c r="Y818" s="162">
        <f t="shared" si="96"/>
        <v>0.53703703703703709</v>
      </c>
      <c r="Z818" s="5">
        <f t="shared" si="92"/>
        <v>216</v>
      </c>
      <c r="AA818" s="5"/>
      <c r="AB818" s="5"/>
      <c r="AC818" s="5"/>
      <c r="AD818" s="29">
        <v>6</v>
      </c>
      <c r="AG818" s="20">
        <v>0.76080246913580241</v>
      </c>
      <c r="AI818" s="20">
        <f t="shared" si="93"/>
        <v>0.53703703703703709</v>
      </c>
    </row>
    <row r="819" spans="1:35" x14ac:dyDescent="0.3">
      <c r="A819" s="2">
        <v>2004</v>
      </c>
      <c r="B819" s="2" t="s">
        <v>0</v>
      </c>
      <c r="C819" s="2" t="s">
        <v>1303</v>
      </c>
      <c r="D819" s="2" t="s">
        <v>1314</v>
      </c>
      <c r="E819" s="2">
        <v>400</v>
      </c>
      <c r="F819" s="2">
        <v>2.3800000000000002E-2</v>
      </c>
      <c r="G819" s="2">
        <v>1.3899999999999999E-2</v>
      </c>
      <c r="H819" s="4">
        <f t="shared" si="86"/>
        <v>0.41596638655462193</v>
      </c>
      <c r="I819" s="2" t="s">
        <v>73</v>
      </c>
      <c r="J819" s="2" t="s">
        <v>1313</v>
      </c>
      <c r="K819" s="2" t="s">
        <v>1308</v>
      </c>
      <c r="L819" s="2" t="s">
        <v>6</v>
      </c>
      <c r="M819" s="163">
        <f t="shared" si="94"/>
        <v>8</v>
      </c>
      <c r="N819" s="163">
        <v>50</v>
      </c>
      <c r="O819" s="2">
        <v>24</v>
      </c>
      <c r="P819" s="6">
        <f>180*500/400</f>
        <v>225</v>
      </c>
      <c r="Q819" s="131">
        <v>5.2</v>
      </c>
      <c r="R819" s="33">
        <f t="shared" si="87"/>
        <v>332.30769230769232</v>
      </c>
      <c r="S819" s="132">
        <f t="shared" si="88"/>
        <v>41.53846153846154</v>
      </c>
      <c r="T819" s="132">
        <f t="shared" si="89"/>
        <v>41.53846153846154</v>
      </c>
      <c r="U819" s="28">
        <f t="shared" si="95"/>
        <v>3.0092592592592591</v>
      </c>
      <c r="V819" s="28">
        <f t="shared" si="90"/>
        <v>3.5403050108932459</v>
      </c>
      <c r="W819" s="15">
        <f t="shared" si="91"/>
        <v>0.83333333333333337</v>
      </c>
      <c r="X819" s="16">
        <v>116</v>
      </c>
      <c r="Y819" s="162">
        <f t="shared" si="96"/>
        <v>0.42962962962962964</v>
      </c>
      <c r="Z819" s="5">
        <f t="shared" si="92"/>
        <v>270</v>
      </c>
      <c r="AA819" s="5"/>
      <c r="AB819" s="5"/>
      <c r="AC819" s="5"/>
      <c r="AD819" s="29">
        <v>6</v>
      </c>
      <c r="AG819" s="20">
        <v>0.76080246913580241</v>
      </c>
      <c r="AI819" s="20">
        <f t="shared" si="93"/>
        <v>0.42962962962962964</v>
      </c>
    </row>
    <row r="820" spans="1:35" x14ac:dyDescent="0.3">
      <c r="A820" s="2">
        <v>865</v>
      </c>
      <c r="B820" s="2" t="s">
        <v>0</v>
      </c>
      <c r="C820" s="2" t="s">
        <v>1303</v>
      </c>
      <c r="D820" s="123" t="s">
        <v>1315</v>
      </c>
      <c r="E820" s="123">
        <v>800</v>
      </c>
      <c r="F820" s="2">
        <v>1.9300000000000001E-2</v>
      </c>
      <c r="G820" s="2">
        <v>1.11E-2</v>
      </c>
      <c r="H820" s="4">
        <f t="shared" si="86"/>
        <v>0.42487046632124353</v>
      </c>
      <c r="I820" s="2" t="s">
        <v>73</v>
      </c>
      <c r="J820" s="2" t="s">
        <v>1316</v>
      </c>
      <c r="K820" s="2" t="s">
        <v>213</v>
      </c>
      <c r="L820" s="2" t="s">
        <v>76</v>
      </c>
      <c r="M820" s="163"/>
      <c r="N820" s="163"/>
      <c r="O820" s="2">
        <v>24</v>
      </c>
      <c r="P820" s="6">
        <v>117</v>
      </c>
      <c r="Q820" s="131">
        <v>5.2</v>
      </c>
      <c r="R820" s="33">
        <f t="shared" si="87"/>
        <v>166.15384615384616</v>
      </c>
      <c r="S820" s="132">
        <f t="shared" si="88"/>
        <v>20.76923076923077</v>
      </c>
      <c r="T820" s="132">
        <f t="shared" si="89"/>
        <v>20.76923076923077</v>
      </c>
      <c r="U820" s="28">
        <f t="shared" si="95"/>
        <v>6.0185185185185182</v>
      </c>
      <c r="V820" s="28">
        <f t="shared" si="90"/>
        <v>7.0806100217864918</v>
      </c>
      <c r="W820" s="15">
        <f t="shared" si="91"/>
        <v>0.8666666666666667</v>
      </c>
      <c r="X820" s="16"/>
      <c r="Y820" s="162">
        <f t="shared" si="96"/>
        <v>0</v>
      </c>
      <c r="Z820" s="5">
        <f t="shared" si="92"/>
        <v>135</v>
      </c>
      <c r="AA820" s="5"/>
      <c r="AB820" s="5"/>
      <c r="AC820" s="5"/>
      <c r="AD820" s="29">
        <v>6</v>
      </c>
      <c r="AG820" s="20">
        <v>0.8666666666666667</v>
      </c>
      <c r="AI820" s="20"/>
    </row>
    <row r="821" spans="1:35" x14ac:dyDescent="0.3">
      <c r="A821" s="2">
        <v>866</v>
      </c>
      <c r="B821" s="2" t="s">
        <v>0</v>
      </c>
      <c r="C821" s="2" t="s">
        <v>1303</v>
      </c>
      <c r="D821" s="123" t="s">
        <v>1317</v>
      </c>
      <c r="E821" s="123">
        <v>800</v>
      </c>
      <c r="F821" s="2">
        <v>2.2100000000000002E-2</v>
      </c>
      <c r="G821" s="2">
        <v>1.2999999999999999E-2</v>
      </c>
      <c r="H821" s="4">
        <f t="shared" si="86"/>
        <v>0.41176470588235303</v>
      </c>
      <c r="I821" s="2" t="s">
        <v>73</v>
      </c>
      <c r="J821" s="2" t="s">
        <v>1318</v>
      </c>
      <c r="K821" s="2" t="s">
        <v>213</v>
      </c>
      <c r="L821" s="2" t="s">
        <v>76</v>
      </c>
      <c r="M821" s="163"/>
      <c r="N821" s="163"/>
      <c r="O821" s="2">
        <v>24</v>
      </c>
      <c r="P821" s="6">
        <v>115</v>
      </c>
      <c r="Q821" s="131">
        <v>5.2</v>
      </c>
      <c r="R821" s="33">
        <f t="shared" si="87"/>
        <v>166.15384615384616</v>
      </c>
      <c r="S821" s="132">
        <f t="shared" si="88"/>
        <v>20.76923076923077</v>
      </c>
      <c r="T821" s="132">
        <f t="shared" si="89"/>
        <v>20.76923076923077</v>
      </c>
      <c r="U821" s="28">
        <f t="shared" si="95"/>
        <v>6.0185185185185182</v>
      </c>
      <c r="V821" s="28">
        <f t="shared" si="90"/>
        <v>7.0806100217864918</v>
      </c>
      <c r="W821" s="15">
        <f t="shared" si="91"/>
        <v>0.85185185185185186</v>
      </c>
      <c r="X821" s="16"/>
      <c r="Y821" s="162">
        <f t="shared" si="96"/>
        <v>0</v>
      </c>
      <c r="Z821" s="5">
        <f t="shared" si="92"/>
        <v>135</v>
      </c>
      <c r="AA821" s="5"/>
      <c r="AB821" s="5"/>
      <c r="AC821" s="5"/>
      <c r="AD821" s="29">
        <v>6</v>
      </c>
      <c r="AG821" s="20">
        <v>0.83765432098765447</v>
      </c>
      <c r="AI821" s="20"/>
    </row>
    <row r="822" spans="1:35" x14ac:dyDescent="0.3">
      <c r="A822" s="2">
        <v>867</v>
      </c>
      <c r="B822" s="2" t="s">
        <v>0</v>
      </c>
      <c r="C822" s="2" t="s">
        <v>1303</v>
      </c>
      <c r="D822" s="123" t="s">
        <v>1319</v>
      </c>
      <c r="E822" s="123">
        <v>800</v>
      </c>
      <c r="F822" s="2">
        <v>2.6599999999999999E-2</v>
      </c>
      <c r="G822" s="2">
        <v>1.47E-2</v>
      </c>
      <c r="H822" s="4">
        <f t="shared" si="86"/>
        <v>0.44736842105263158</v>
      </c>
      <c r="I822" s="2" t="s">
        <v>73</v>
      </c>
      <c r="J822" s="2" t="s">
        <v>568</v>
      </c>
      <c r="K822" s="2" t="s">
        <v>213</v>
      </c>
      <c r="L822" s="2" t="s">
        <v>76</v>
      </c>
      <c r="M822" s="163"/>
      <c r="N822" s="163"/>
      <c r="O822" s="2">
        <v>24</v>
      </c>
      <c r="P822" s="6">
        <v>113</v>
      </c>
      <c r="Q822" s="131">
        <v>5.2</v>
      </c>
      <c r="R822" s="33">
        <f t="shared" si="87"/>
        <v>166.15384615384616</v>
      </c>
      <c r="S822" s="132">
        <f t="shared" si="88"/>
        <v>20.76923076923077</v>
      </c>
      <c r="T822" s="132">
        <f t="shared" si="89"/>
        <v>20.76923076923077</v>
      </c>
      <c r="U822" s="28">
        <f t="shared" si="95"/>
        <v>6.0185185185185182</v>
      </c>
      <c r="V822" s="28">
        <f t="shared" si="90"/>
        <v>7.0806100217864918</v>
      </c>
      <c r="W822" s="15">
        <f t="shared" si="91"/>
        <v>0.83703703703703702</v>
      </c>
      <c r="X822" s="16"/>
      <c r="Y822" s="162">
        <f t="shared" si="96"/>
        <v>0</v>
      </c>
      <c r="Z822" s="5">
        <f t="shared" si="92"/>
        <v>135</v>
      </c>
      <c r="AA822" s="5"/>
      <c r="AB822" s="5"/>
      <c r="AC822" s="5"/>
      <c r="AD822" s="29">
        <v>6</v>
      </c>
      <c r="AG822" s="20">
        <v>0.8230864197530865</v>
      </c>
      <c r="AI822" s="20"/>
    </row>
    <row r="823" spans="1:35" x14ac:dyDescent="0.3">
      <c r="A823" s="2">
        <v>1008</v>
      </c>
      <c r="B823" s="2" t="s">
        <v>0</v>
      </c>
      <c r="C823" s="2" t="s">
        <v>1303</v>
      </c>
      <c r="D823" s="2" t="s">
        <v>1320</v>
      </c>
      <c r="E823" s="2">
        <v>400</v>
      </c>
      <c r="F823" s="2">
        <v>4.1599999999999998E-2</v>
      </c>
      <c r="G823" s="2">
        <v>3.2300000000000002E-2</v>
      </c>
      <c r="H823" s="4">
        <f t="shared" si="86"/>
        <v>0.22355769230769221</v>
      </c>
      <c r="I823" s="2" t="s">
        <v>73</v>
      </c>
      <c r="J823" s="2" t="s">
        <v>1321</v>
      </c>
      <c r="K823" s="2" t="s">
        <v>105</v>
      </c>
      <c r="L823" s="2" t="s">
        <v>76</v>
      </c>
      <c r="M823" s="163">
        <v>4</v>
      </c>
      <c r="N823" s="163">
        <v>100</v>
      </c>
      <c r="O823" s="2">
        <v>15</v>
      </c>
      <c r="P823" s="6"/>
      <c r="Q823" s="131">
        <v>7.6</v>
      </c>
      <c r="R823" s="33">
        <f t="shared" si="87"/>
        <v>142.10526315789474</v>
      </c>
      <c r="S823" s="132">
        <f t="shared" si="88"/>
        <v>17.763157894736842</v>
      </c>
      <c r="T823" s="132">
        <f t="shared" si="89"/>
        <v>17.763157894736842</v>
      </c>
      <c r="U823" s="28">
        <f t="shared" si="95"/>
        <v>7.0370370370370372</v>
      </c>
      <c r="V823" s="28">
        <f t="shared" si="90"/>
        <v>8.2788671023965144</v>
      </c>
      <c r="W823" s="15">
        <f t="shared" si="91"/>
        <v>0</v>
      </c>
      <c r="X823" s="16"/>
      <c r="Y823" s="162">
        <f t="shared" si="96"/>
        <v>0</v>
      </c>
      <c r="Z823" s="5">
        <f t="shared" si="92"/>
        <v>133.22368421052633</v>
      </c>
      <c r="AA823" s="5"/>
      <c r="AB823" s="5"/>
      <c r="AC823" s="5"/>
      <c r="AD823" s="29">
        <v>7.6</v>
      </c>
      <c r="AG823" s="20"/>
      <c r="AI823" s="20"/>
    </row>
    <row r="824" spans="1:35" x14ac:dyDescent="0.3">
      <c r="A824" s="2">
        <v>1009</v>
      </c>
      <c r="B824" s="2" t="s">
        <v>0</v>
      </c>
      <c r="C824" s="2" t="s">
        <v>1303</v>
      </c>
      <c r="D824" s="2" t="s">
        <v>1322</v>
      </c>
      <c r="E824" s="2">
        <v>720</v>
      </c>
      <c r="F824" s="2">
        <v>1.84E-2</v>
      </c>
      <c r="G824" s="2">
        <v>1.2E-2</v>
      </c>
      <c r="H824" s="4">
        <f t="shared" si="86"/>
        <v>0.34782608695652173</v>
      </c>
      <c r="I824" s="2" t="s">
        <v>73</v>
      </c>
      <c r="J824" s="2" t="s">
        <v>1323</v>
      </c>
      <c r="K824" s="2" t="s">
        <v>95</v>
      </c>
      <c r="L824" s="2" t="s">
        <v>6</v>
      </c>
      <c r="M824" s="163">
        <v>10</v>
      </c>
      <c r="N824" s="163">
        <v>72</v>
      </c>
      <c r="O824" s="2">
        <v>24</v>
      </c>
      <c r="P824" s="6">
        <v>150</v>
      </c>
      <c r="Q824" s="131">
        <v>6.6</v>
      </c>
      <c r="R824" s="33">
        <f t="shared" si="87"/>
        <v>145.45454545454547</v>
      </c>
      <c r="S824" s="132">
        <f t="shared" si="88"/>
        <v>18.181818181818183</v>
      </c>
      <c r="T824" s="132">
        <f t="shared" si="89"/>
        <v>18.181818181818183</v>
      </c>
      <c r="U824" s="28">
        <f t="shared" si="95"/>
        <v>6.8749999999999991</v>
      </c>
      <c r="V824" s="28">
        <f t="shared" si="90"/>
        <v>8.0882352941176467</v>
      </c>
      <c r="W824" s="19">
        <f t="shared" si="91"/>
        <v>1.0999999999999999</v>
      </c>
      <c r="X824" s="16"/>
      <c r="Y824" s="162">
        <f t="shared" si="96"/>
        <v>0</v>
      </c>
      <c r="Z824" s="5">
        <f t="shared" si="92"/>
        <v>136.36363636363637</v>
      </c>
      <c r="AA824" s="5"/>
      <c r="AB824" s="5"/>
      <c r="AC824" s="5"/>
      <c r="AD824" s="29">
        <v>6.6</v>
      </c>
      <c r="AG824" s="20"/>
      <c r="AI824" s="20"/>
    </row>
    <row r="825" spans="1:35" x14ac:dyDescent="0.3">
      <c r="A825" s="2">
        <v>2039</v>
      </c>
      <c r="B825" s="2" t="s">
        <v>0</v>
      </c>
      <c r="C825" s="2" t="s">
        <v>1303</v>
      </c>
      <c r="D825" s="2" t="s">
        <v>1324</v>
      </c>
      <c r="E825" s="2">
        <v>1000</v>
      </c>
      <c r="F825" s="2">
        <v>1.84E-2</v>
      </c>
      <c r="G825" s="2">
        <v>1.2E-2</v>
      </c>
      <c r="H825" s="4">
        <f t="shared" si="86"/>
        <v>0.34782608695652173</v>
      </c>
      <c r="I825" s="2" t="s">
        <v>73</v>
      </c>
      <c r="J825" s="2" t="s">
        <v>1323</v>
      </c>
      <c r="K825" s="2" t="s">
        <v>1325</v>
      </c>
      <c r="L825" s="2" t="s">
        <v>76</v>
      </c>
      <c r="M825" s="163">
        <v>8</v>
      </c>
      <c r="N825" s="163">
        <v>125</v>
      </c>
      <c r="O825" s="2">
        <v>24</v>
      </c>
      <c r="P825" s="6">
        <v>150</v>
      </c>
      <c r="Q825" s="131">
        <v>6.6</v>
      </c>
      <c r="R825" s="33">
        <f t="shared" si="87"/>
        <v>104.72727272727273</v>
      </c>
      <c r="S825" s="132">
        <f t="shared" si="88"/>
        <v>13.090909090909092</v>
      </c>
      <c r="T825" s="132">
        <f t="shared" si="89"/>
        <v>13.090909090909092</v>
      </c>
      <c r="U825" s="28">
        <f t="shared" si="95"/>
        <v>9.5486111111111107</v>
      </c>
      <c r="V825" s="28">
        <f t="shared" si="90"/>
        <v>11.233660130718954</v>
      </c>
      <c r="W825" s="19">
        <f t="shared" si="91"/>
        <v>1.5277777777777777</v>
      </c>
      <c r="X825" s="16"/>
      <c r="Y825" s="162">
        <f t="shared" si="96"/>
        <v>0</v>
      </c>
      <c r="Z825" s="5">
        <f t="shared" si="92"/>
        <v>98.181818181818187</v>
      </c>
      <c r="AA825" s="5"/>
      <c r="AB825" s="5"/>
      <c r="AC825" s="5"/>
      <c r="AD825" s="29">
        <v>6.6</v>
      </c>
      <c r="AG825" s="20"/>
      <c r="AI825" s="20"/>
    </row>
    <row r="826" spans="1:35" x14ac:dyDescent="0.3">
      <c r="A826" s="2">
        <v>1010</v>
      </c>
      <c r="B826" s="2" t="s">
        <v>0</v>
      </c>
      <c r="C826" s="2" t="s">
        <v>1303</v>
      </c>
      <c r="D826" s="2" t="s">
        <v>1326</v>
      </c>
      <c r="E826" s="2">
        <v>720</v>
      </c>
      <c r="F826" s="2">
        <v>1.67E-2</v>
      </c>
      <c r="G826" s="2">
        <v>1.2E-2</v>
      </c>
      <c r="H826" s="4">
        <f t="shared" si="86"/>
        <v>0.28143712574850294</v>
      </c>
      <c r="I826" s="2" t="s">
        <v>73</v>
      </c>
      <c r="J826" s="2" t="s">
        <v>1327</v>
      </c>
      <c r="K826" s="2" t="s">
        <v>95</v>
      </c>
      <c r="L826" s="2" t="s">
        <v>6</v>
      </c>
      <c r="M826" s="163">
        <v>10</v>
      </c>
      <c r="N826" s="163">
        <v>72</v>
      </c>
      <c r="O826" s="2">
        <v>24</v>
      </c>
      <c r="P826" s="6">
        <v>150</v>
      </c>
      <c r="Q826" s="131">
        <v>7</v>
      </c>
      <c r="R826" s="33">
        <f t="shared" si="87"/>
        <v>137.14285714285714</v>
      </c>
      <c r="S826" s="132">
        <f t="shared" si="88"/>
        <v>17.142857142857142</v>
      </c>
      <c r="T826" s="132">
        <f t="shared" si="89"/>
        <v>17.142857142857142</v>
      </c>
      <c r="U826" s="28">
        <f t="shared" si="95"/>
        <v>7.291666666666667</v>
      </c>
      <c r="V826" s="28">
        <f t="shared" si="90"/>
        <v>8.5784313725490193</v>
      </c>
      <c r="W826" s="19">
        <f t="shared" si="91"/>
        <v>1.1666666666666667</v>
      </c>
      <c r="X826" s="16"/>
      <c r="Y826" s="162">
        <f t="shared" si="96"/>
        <v>0</v>
      </c>
      <c r="Z826" s="5">
        <f t="shared" si="92"/>
        <v>128.57142857142856</v>
      </c>
      <c r="AA826" s="5"/>
      <c r="AB826" s="5"/>
      <c r="AC826" s="5"/>
      <c r="AD826" s="29">
        <v>7</v>
      </c>
      <c r="AG826" s="20"/>
      <c r="AI826" s="20"/>
    </row>
    <row r="827" spans="1:35" x14ac:dyDescent="0.3">
      <c r="A827" s="2">
        <v>1011</v>
      </c>
      <c r="B827" s="2" t="s">
        <v>0</v>
      </c>
      <c r="C827" s="2" t="s">
        <v>1303</v>
      </c>
      <c r="D827" s="2" t="s">
        <v>1328</v>
      </c>
      <c r="E827" s="2">
        <v>720</v>
      </c>
      <c r="F827" s="2">
        <v>1.84E-2</v>
      </c>
      <c r="G827" s="2">
        <v>1.2E-2</v>
      </c>
      <c r="H827" s="4">
        <f t="shared" si="86"/>
        <v>0.34782608695652173</v>
      </c>
      <c r="I827" s="2" t="s">
        <v>73</v>
      </c>
      <c r="J827" s="2" t="s">
        <v>1323</v>
      </c>
      <c r="K827" s="2" t="s">
        <v>95</v>
      </c>
      <c r="L827" s="2" t="s">
        <v>6</v>
      </c>
      <c r="M827" s="163">
        <v>10</v>
      </c>
      <c r="N827" s="163">
        <v>72</v>
      </c>
      <c r="O827" s="2">
        <v>24</v>
      </c>
      <c r="P827" s="6">
        <v>150</v>
      </c>
      <c r="Q827" s="131">
        <v>7</v>
      </c>
      <c r="R827" s="33">
        <f t="shared" si="87"/>
        <v>137.14285714285714</v>
      </c>
      <c r="S827" s="132">
        <f t="shared" si="88"/>
        <v>17.142857142857142</v>
      </c>
      <c r="T827" s="132">
        <f t="shared" si="89"/>
        <v>17.142857142857142</v>
      </c>
      <c r="U827" s="28">
        <f t="shared" si="95"/>
        <v>7.291666666666667</v>
      </c>
      <c r="V827" s="28">
        <f t="shared" si="90"/>
        <v>8.5784313725490193</v>
      </c>
      <c r="W827" s="19">
        <f t="shared" si="91"/>
        <v>1.1666666666666667</v>
      </c>
      <c r="X827" s="16"/>
      <c r="Y827" s="162">
        <f t="shared" si="96"/>
        <v>0</v>
      </c>
      <c r="Z827" s="5">
        <f t="shared" si="92"/>
        <v>128.57142857142856</v>
      </c>
      <c r="AA827" s="5"/>
      <c r="AB827" s="5"/>
      <c r="AC827" s="5"/>
      <c r="AD827" s="29">
        <v>7</v>
      </c>
      <c r="AG827" s="20"/>
      <c r="AI827" s="20"/>
    </row>
    <row r="828" spans="1:35" x14ac:dyDescent="0.3">
      <c r="A828" s="2">
        <v>2024</v>
      </c>
      <c r="B828" s="2" t="s">
        <v>0</v>
      </c>
      <c r="C828" s="2" t="s">
        <v>1303</v>
      </c>
      <c r="D828" s="2" t="s">
        <v>1329</v>
      </c>
      <c r="E828" s="2">
        <v>1000</v>
      </c>
      <c r="F828" s="2">
        <v>1.67E-2</v>
      </c>
      <c r="G828" s="2">
        <v>1.2E-2</v>
      </c>
      <c r="H828" s="4">
        <f t="shared" si="86"/>
        <v>0.28143712574850294</v>
      </c>
      <c r="I828" s="2" t="s">
        <v>73</v>
      </c>
      <c r="J828" s="2" t="s">
        <v>1323</v>
      </c>
      <c r="K828" s="2" t="s">
        <v>1325</v>
      </c>
      <c r="L828" s="2" t="s">
        <v>76</v>
      </c>
      <c r="M828" s="163">
        <v>8</v>
      </c>
      <c r="N828" s="163">
        <v>125</v>
      </c>
      <c r="O828" s="2">
        <v>24</v>
      </c>
      <c r="P828" s="6">
        <v>150</v>
      </c>
      <c r="Q828" s="131">
        <v>6.6</v>
      </c>
      <c r="R828" s="33">
        <f t="shared" si="87"/>
        <v>104.72727272727273</v>
      </c>
      <c r="S828" s="132">
        <f t="shared" si="88"/>
        <v>13.090909090909092</v>
      </c>
      <c r="T828" s="132">
        <f t="shared" si="89"/>
        <v>13.090909090909092</v>
      </c>
      <c r="U828" s="28">
        <f t="shared" si="95"/>
        <v>9.5486111111111107</v>
      </c>
      <c r="V828" s="28">
        <f t="shared" si="90"/>
        <v>11.233660130718954</v>
      </c>
      <c r="W828" s="19">
        <f t="shared" si="91"/>
        <v>1.5277777777777777</v>
      </c>
      <c r="X828" s="16">
        <v>90</v>
      </c>
      <c r="Y828" s="162">
        <f t="shared" si="96"/>
        <v>0.91666666666666663</v>
      </c>
      <c r="Z828" s="5">
        <f t="shared" si="92"/>
        <v>98.181818181818187</v>
      </c>
      <c r="AA828" s="5"/>
      <c r="AB828" s="5"/>
      <c r="AC828" s="5"/>
      <c r="AD828" s="29">
        <v>6.6</v>
      </c>
      <c r="AG828" s="20"/>
      <c r="AI828" s="20">
        <f>X828/Z828</f>
        <v>0.91666666666666663</v>
      </c>
    </row>
    <row r="829" spans="1:35" x14ac:dyDescent="0.3">
      <c r="A829" s="2">
        <v>1012</v>
      </c>
      <c r="B829" s="2" t="s">
        <v>0</v>
      </c>
      <c r="C829" s="2" t="s">
        <v>1303</v>
      </c>
      <c r="D829" s="2" t="s">
        <v>1330</v>
      </c>
      <c r="E829" s="2">
        <v>720</v>
      </c>
      <c r="F829" s="2">
        <v>1.67E-2</v>
      </c>
      <c r="G829" s="2">
        <v>1.2E-2</v>
      </c>
      <c r="H829" s="4">
        <f t="shared" si="86"/>
        <v>0.28143712574850294</v>
      </c>
      <c r="I829" s="2" t="s">
        <v>73</v>
      </c>
      <c r="J829" s="2" t="s">
        <v>1323</v>
      </c>
      <c r="K829" s="2" t="s">
        <v>95</v>
      </c>
      <c r="L829" s="2" t="s">
        <v>6</v>
      </c>
      <c r="M829" s="163">
        <v>10</v>
      </c>
      <c r="N829" s="163">
        <v>72</v>
      </c>
      <c r="O829" s="2">
        <v>24</v>
      </c>
      <c r="P829" s="6">
        <v>150</v>
      </c>
      <c r="Q829" s="131">
        <v>6.6</v>
      </c>
      <c r="R829" s="33">
        <f t="shared" si="87"/>
        <v>145.45454545454547</v>
      </c>
      <c r="S829" s="132">
        <f t="shared" si="88"/>
        <v>18.181818181818183</v>
      </c>
      <c r="T829" s="132">
        <f t="shared" si="89"/>
        <v>18.181818181818183</v>
      </c>
      <c r="U829" s="28">
        <f t="shared" si="95"/>
        <v>6.8749999999999991</v>
      </c>
      <c r="V829" s="28">
        <f>U829/0.85</f>
        <v>8.0882352941176467</v>
      </c>
      <c r="W829" s="19">
        <f t="shared" si="91"/>
        <v>1.0999999999999999</v>
      </c>
      <c r="X829" s="16">
        <v>90</v>
      </c>
      <c r="Y829" s="162">
        <f t="shared" si="96"/>
        <v>0.65999999999999992</v>
      </c>
      <c r="Z829" s="5">
        <f t="shared" si="92"/>
        <v>136.36363636363637</v>
      </c>
      <c r="AA829" s="5"/>
      <c r="AB829" s="41"/>
      <c r="AC829" s="5"/>
      <c r="AD829" s="29">
        <v>6.6</v>
      </c>
      <c r="AG829" s="20"/>
      <c r="AI829" s="20">
        <f>X829/Z829</f>
        <v>0.65999999999999992</v>
      </c>
    </row>
    <row r="830" spans="1:35" x14ac:dyDescent="0.3">
      <c r="A830" s="2">
        <v>1013</v>
      </c>
      <c r="B830" s="2" t="s">
        <v>0</v>
      </c>
      <c r="C830" s="2" t="s">
        <v>1303</v>
      </c>
      <c r="D830" s="2" t="s">
        <v>1331</v>
      </c>
      <c r="E830" s="2">
        <v>720</v>
      </c>
      <c r="F830" s="2">
        <v>1.84E-2</v>
      </c>
      <c r="G830" s="2">
        <v>1.2E-2</v>
      </c>
      <c r="H830" s="4">
        <f t="shared" si="86"/>
        <v>0.34782608695652173</v>
      </c>
      <c r="I830" s="2" t="s">
        <v>73</v>
      </c>
      <c r="J830" s="2" t="s">
        <v>1323</v>
      </c>
      <c r="K830" s="2" t="s">
        <v>95</v>
      </c>
      <c r="L830" s="2" t="s">
        <v>6</v>
      </c>
      <c r="M830" s="163">
        <v>10</v>
      </c>
      <c r="N830" s="163">
        <v>72</v>
      </c>
      <c r="O830" s="2">
        <v>24</v>
      </c>
      <c r="P830" s="6">
        <v>150</v>
      </c>
      <c r="Q830" s="131">
        <v>6.6</v>
      </c>
      <c r="R830" s="33">
        <f t="shared" si="87"/>
        <v>145.45454545454547</v>
      </c>
      <c r="S830" s="132">
        <f t="shared" si="88"/>
        <v>18.181818181818183</v>
      </c>
      <c r="T830" s="132">
        <f t="shared" si="89"/>
        <v>18.181818181818183</v>
      </c>
      <c r="U830" s="28">
        <f t="shared" si="95"/>
        <v>6.8749999999999991</v>
      </c>
      <c r="V830" s="28">
        <f t="shared" ref="V830:V857" si="97">U830/0.85</f>
        <v>8.0882352941176467</v>
      </c>
      <c r="W830" s="19">
        <f t="shared" si="91"/>
        <v>1.0999999999999999</v>
      </c>
      <c r="X830" s="16"/>
      <c r="Y830" s="162">
        <f t="shared" si="96"/>
        <v>0</v>
      </c>
      <c r="Z830" s="5">
        <f t="shared" si="92"/>
        <v>136.36363636363637</v>
      </c>
      <c r="AA830" s="5"/>
      <c r="AB830" s="5"/>
      <c r="AC830" s="5"/>
      <c r="AD830" s="29">
        <v>6.6</v>
      </c>
      <c r="AG830" s="20"/>
      <c r="AI830" s="20"/>
    </row>
    <row r="831" spans="1:35" x14ac:dyDescent="0.3">
      <c r="A831" s="2">
        <v>1014</v>
      </c>
      <c r="B831" s="2" t="s">
        <v>0</v>
      </c>
      <c r="C831" s="2" t="s">
        <v>1303</v>
      </c>
      <c r="D831" s="2" t="s">
        <v>1332</v>
      </c>
      <c r="E831" s="2">
        <v>400</v>
      </c>
      <c r="F831" s="2">
        <v>3.8199999999999998E-2</v>
      </c>
      <c r="G831" s="2">
        <v>2.87E-2</v>
      </c>
      <c r="H831" s="4">
        <f t="shared" si="86"/>
        <v>0.24869109947643975</v>
      </c>
      <c r="I831" s="2" t="s">
        <v>73</v>
      </c>
      <c r="J831" s="2" t="s">
        <v>1333</v>
      </c>
      <c r="K831" s="2" t="s">
        <v>105</v>
      </c>
      <c r="L831" s="2" t="s">
        <v>76</v>
      </c>
      <c r="M831" s="163">
        <v>4</v>
      </c>
      <c r="N831" s="163">
        <v>100</v>
      </c>
      <c r="O831" s="2">
        <v>15</v>
      </c>
      <c r="P831" s="6"/>
      <c r="Q831" s="131">
        <v>11</v>
      </c>
      <c r="R831" s="33">
        <f t="shared" si="87"/>
        <v>98.181818181818187</v>
      </c>
      <c r="S831" s="132">
        <f t="shared" si="88"/>
        <v>12.272727272727273</v>
      </c>
      <c r="T831" s="132">
        <f t="shared" si="89"/>
        <v>12.272727272727273</v>
      </c>
      <c r="U831" s="28">
        <f t="shared" si="95"/>
        <v>10.185185185185185</v>
      </c>
      <c r="V831" s="28">
        <f t="shared" si="97"/>
        <v>11.982570806100219</v>
      </c>
      <c r="W831" s="15">
        <f t="shared" si="91"/>
        <v>0</v>
      </c>
      <c r="X831" s="16"/>
      <c r="Y831" s="162">
        <f t="shared" si="96"/>
        <v>0</v>
      </c>
      <c r="Z831" s="5">
        <f t="shared" si="92"/>
        <v>92.045454545454547</v>
      </c>
      <c r="AA831" s="5"/>
      <c r="AB831" s="5"/>
      <c r="AC831" s="5"/>
      <c r="AD831" s="29">
        <v>11</v>
      </c>
      <c r="AG831" s="20"/>
      <c r="AI831" s="20"/>
    </row>
    <row r="832" spans="1:35" x14ac:dyDescent="0.3">
      <c r="A832" s="2">
        <v>1759</v>
      </c>
      <c r="B832" s="2" t="s">
        <v>0</v>
      </c>
      <c r="C832" s="2" t="s">
        <v>1303</v>
      </c>
      <c r="D832" s="2" t="s">
        <v>1334</v>
      </c>
      <c r="E832" s="2">
        <v>720</v>
      </c>
      <c r="F832" s="2">
        <v>1.67E-2</v>
      </c>
      <c r="G832" s="2">
        <v>1.2E-2</v>
      </c>
      <c r="H832" s="4">
        <f t="shared" si="86"/>
        <v>0.28143712574850294</v>
      </c>
      <c r="I832" s="2" t="s">
        <v>73</v>
      </c>
      <c r="J832" s="2" t="s">
        <v>1323</v>
      </c>
      <c r="K832" s="2" t="s">
        <v>95</v>
      </c>
      <c r="L832" s="2" t="s">
        <v>6</v>
      </c>
      <c r="M832" s="163">
        <v>10</v>
      </c>
      <c r="N832" s="163">
        <v>72</v>
      </c>
      <c r="O832" s="2">
        <v>24</v>
      </c>
      <c r="P832" s="6">
        <v>150</v>
      </c>
      <c r="Q832" s="131">
        <v>6.6</v>
      </c>
      <c r="R832" s="33">
        <f t="shared" si="87"/>
        <v>145.45454545454547</v>
      </c>
      <c r="S832" s="132">
        <f t="shared" si="88"/>
        <v>18.181818181818183</v>
      </c>
      <c r="T832" s="132">
        <f t="shared" si="89"/>
        <v>18.181818181818183</v>
      </c>
      <c r="U832" s="28">
        <f t="shared" si="95"/>
        <v>6.8749999999999991</v>
      </c>
      <c r="V832" s="28">
        <f t="shared" si="97"/>
        <v>8.0882352941176467</v>
      </c>
      <c r="W832" s="19">
        <f t="shared" si="91"/>
        <v>1.0999999999999999</v>
      </c>
      <c r="X832" s="16">
        <v>70</v>
      </c>
      <c r="Y832" s="162">
        <f t="shared" si="96"/>
        <v>0.51333333333333331</v>
      </c>
      <c r="Z832" s="5">
        <f t="shared" si="92"/>
        <v>136.36363636363637</v>
      </c>
      <c r="AA832" s="5">
        <f>R832*2*22*0.8</f>
        <v>5120.0000000000009</v>
      </c>
      <c r="AB832" s="5">
        <f>AA832*G832*E832</f>
        <v>44236.80000000001</v>
      </c>
      <c r="AC832" s="5"/>
      <c r="AD832" s="29">
        <v>6.6</v>
      </c>
      <c r="AG832" s="20"/>
      <c r="AI832" s="20">
        <f>X832/Z832</f>
        <v>0.51333333333333331</v>
      </c>
    </row>
    <row r="833" spans="1:35" x14ac:dyDescent="0.3">
      <c r="A833" s="2">
        <v>1844</v>
      </c>
      <c r="B833" s="2" t="s">
        <v>0</v>
      </c>
      <c r="C833" s="2" t="s">
        <v>1303</v>
      </c>
      <c r="D833" s="167" t="s">
        <v>1335</v>
      </c>
      <c r="E833" s="2">
        <v>500</v>
      </c>
      <c r="F833" s="169">
        <v>1.1900000000000001E-2</v>
      </c>
      <c r="G833" s="2">
        <v>7.0000000000000001E-3</v>
      </c>
      <c r="H833" s="4">
        <f t="shared" si="86"/>
        <v>0.41176470588235298</v>
      </c>
      <c r="I833" s="2" t="s">
        <v>73</v>
      </c>
      <c r="J833" s="2" t="s">
        <v>1336</v>
      </c>
      <c r="K833" s="2" t="s">
        <v>1337</v>
      </c>
      <c r="L833" s="2" t="s">
        <v>1338</v>
      </c>
      <c r="M833" s="163">
        <f>E833/N833</f>
        <v>10</v>
      </c>
      <c r="N833" s="163">
        <v>50</v>
      </c>
      <c r="O833" s="2">
        <v>42</v>
      </c>
      <c r="P833" s="6">
        <v>110</v>
      </c>
      <c r="Q833" s="131">
        <v>16.3</v>
      </c>
      <c r="R833" s="168">
        <f t="shared" si="87"/>
        <v>148.41717791411043</v>
      </c>
      <c r="S833" s="132">
        <f t="shared" si="88"/>
        <v>18.552147239263803</v>
      </c>
      <c r="T833" s="132">
        <f t="shared" si="89"/>
        <v>18.552147239263803</v>
      </c>
      <c r="U833" s="28">
        <f t="shared" si="95"/>
        <v>6.7377645502645507</v>
      </c>
      <c r="V833" s="28">
        <f t="shared" si="97"/>
        <v>7.9267818238406482</v>
      </c>
      <c r="W833" s="15">
        <f t="shared" si="91"/>
        <v>0.79056437389770728</v>
      </c>
      <c r="X833" s="16"/>
      <c r="Y833" s="162">
        <f t="shared" si="96"/>
        <v>0</v>
      </c>
      <c r="Z833" s="5">
        <f t="shared" si="92"/>
        <v>139.14110429447851</v>
      </c>
      <c r="AA833" s="5"/>
      <c r="AB833" s="5"/>
      <c r="AC833" s="5"/>
      <c r="AD833" s="29">
        <v>16.3</v>
      </c>
      <c r="AF833">
        <f>1000/180</f>
        <v>5.5555555555555554</v>
      </c>
      <c r="AG833" s="20">
        <v>0.80511463844797193</v>
      </c>
      <c r="AI833" s="20"/>
    </row>
    <row r="834" spans="1:35" x14ac:dyDescent="0.3">
      <c r="A834" s="2">
        <v>1845</v>
      </c>
      <c r="B834" s="2" t="s">
        <v>0</v>
      </c>
      <c r="C834" s="2" t="s">
        <v>1303</v>
      </c>
      <c r="D834" s="2" t="s">
        <v>1339</v>
      </c>
      <c r="E834" s="2">
        <v>500</v>
      </c>
      <c r="F834" s="2">
        <v>1.4500000000000001E-2</v>
      </c>
      <c r="G834" s="2">
        <v>8.5000000000000006E-3</v>
      </c>
      <c r="H834" s="4">
        <f t="shared" si="86"/>
        <v>0.41379310344827586</v>
      </c>
      <c r="I834" s="2" t="s">
        <v>73</v>
      </c>
      <c r="J834" s="2" t="s">
        <v>1340</v>
      </c>
      <c r="K834" s="2" t="s">
        <v>1341</v>
      </c>
      <c r="L834" s="2" t="s">
        <v>1342</v>
      </c>
      <c r="M834" s="163">
        <f t="shared" ref="M834:M847" si="98">E834/N834</f>
        <v>10</v>
      </c>
      <c r="N834" s="163">
        <v>50</v>
      </c>
      <c r="O834" s="2">
        <v>36</v>
      </c>
      <c r="P834" s="6">
        <v>120</v>
      </c>
      <c r="Q834" s="131">
        <v>10.5</v>
      </c>
      <c r="R834" s="33">
        <f t="shared" si="87"/>
        <v>197.48571428571427</v>
      </c>
      <c r="S834" s="132">
        <f t="shared" si="88"/>
        <v>24.685714285714283</v>
      </c>
      <c r="T834" s="132">
        <f t="shared" si="89"/>
        <v>24.685714285714283</v>
      </c>
      <c r="U834" s="28">
        <f t="shared" si="95"/>
        <v>5.0636574074074083</v>
      </c>
      <c r="V834" s="28">
        <f t="shared" si="97"/>
        <v>5.9572440087145981</v>
      </c>
      <c r="W834" s="15">
        <f t="shared" si="91"/>
        <v>0.72839506172839519</v>
      </c>
      <c r="X834" s="16">
        <v>80</v>
      </c>
      <c r="Y834" s="162">
        <f t="shared" si="96"/>
        <v>0.48559670781893011</v>
      </c>
      <c r="Z834" s="5">
        <f t="shared" si="92"/>
        <v>164.74576271186439</v>
      </c>
      <c r="AA834" s="5"/>
      <c r="AB834" s="5"/>
      <c r="AC834" s="5"/>
      <c r="AD834" s="29">
        <v>11.8</v>
      </c>
      <c r="AG834" s="20">
        <v>0.72839506172839519</v>
      </c>
      <c r="AI834" s="20">
        <f>X834/Z834</f>
        <v>0.48559670781893011</v>
      </c>
    </row>
    <row r="835" spans="1:35" x14ac:dyDescent="0.3">
      <c r="A835" s="2">
        <v>1846</v>
      </c>
      <c r="B835" s="2" t="s">
        <v>0</v>
      </c>
      <c r="C835" s="2" t="s">
        <v>1303</v>
      </c>
      <c r="D835" s="2" t="s">
        <v>1343</v>
      </c>
      <c r="E835" s="2">
        <v>500</v>
      </c>
      <c r="F835" s="2">
        <v>1.77E-2</v>
      </c>
      <c r="G835" s="2">
        <v>1.2E-2</v>
      </c>
      <c r="H835" s="4">
        <f t="shared" si="86"/>
        <v>0.32203389830508478</v>
      </c>
      <c r="I835" s="2" t="s">
        <v>73</v>
      </c>
      <c r="J835" s="2" t="s">
        <v>1344</v>
      </c>
      <c r="K835" s="2" t="s">
        <v>1341</v>
      </c>
      <c r="L835" s="2" t="s">
        <v>1342</v>
      </c>
      <c r="M835" s="163">
        <f t="shared" si="98"/>
        <v>10</v>
      </c>
      <c r="N835" s="163">
        <v>50</v>
      </c>
      <c r="O835" s="2">
        <v>36</v>
      </c>
      <c r="P835" s="6">
        <v>117</v>
      </c>
      <c r="Q835" s="131">
        <v>10.5</v>
      </c>
      <c r="R835" s="33">
        <f t="shared" si="87"/>
        <v>197.48571428571427</v>
      </c>
      <c r="S835" s="132">
        <f t="shared" si="88"/>
        <v>24.685714285714283</v>
      </c>
      <c r="T835" s="132">
        <f t="shared" si="89"/>
        <v>24.685714285714283</v>
      </c>
      <c r="U835" s="28">
        <f t="shared" si="95"/>
        <v>5.0636574074074083</v>
      </c>
      <c r="V835" s="28">
        <f t="shared" si="97"/>
        <v>5.9572440087145981</v>
      </c>
      <c r="W835" s="15">
        <f t="shared" si="91"/>
        <v>0.71018518518518525</v>
      </c>
      <c r="X835" s="16">
        <v>86</v>
      </c>
      <c r="Y835" s="162">
        <f t="shared" si="96"/>
        <v>0.52201646090534981</v>
      </c>
      <c r="Z835" s="5">
        <f t="shared" si="92"/>
        <v>164.74576271186439</v>
      </c>
      <c r="AA835" s="5"/>
      <c r="AB835" s="5"/>
      <c r="AC835" s="5"/>
      <c r="AD835" s="29">
        <v>11.8</v>
      </c>
      <c r="AG835" s="20">
        <v>0.71018518518518525</v>
      </c>
      <c r="AI835" s="20">
        <f>X835/Z835</f>
        <v>0.52201646090534981</v>
      </c>
    </row>
    <row r="836" spans="1:35" x14ac:dyDescent="0.3">
      <c r="A836" s="2">
        <v>1847</v>
      </c>
      <c r="B836" s="2" t="s">
        <v>0</v>
      </c>
      <c r="C836" s="2" t="s">
        <v>1303</v>
      </c>
      <c r="D836" s="2" t="s">
        <v>1345</v>
      </c>
      <c r="E836" s="2">
        <v>500</v>
      </c>
      <c r="F836" s="2">
        <v>1.9300000000000001E-2</v>
      </c>
      <c r="G836" s="2">
        <v>1.4E-2</v>
      </c>
      <c r="H836" s="4">
        <f t="shared" si="86"/>
        <v>0.2746113989637306</v>
      </c>
      <c r="I836" s="2" t="s">
        <v>73</v>
      </c>
      <c r="J836" s="2" t="s">
        <v>1346</v>
      </c>
      <c r="K836" s="2" t="s">
        <v>1347</v>
      </c>
      <c r="L836" s="2" t="s">
        <v>1348</v>
      </c>
      <c r="M836" s="163">
        <f t="shared" si="98"/>
        <v>10</v>
      </c>
      <c r="N836" s="163">
        <v>50</v>
      </c>
      <c r="O836" s="2">
        <v>36</v>
      </c>
      <c r="P836" s="6">
        <v>116</v>
      </c>
      <c r="Q836" s="131">
        <v>10.5</v>
      </c>
      <c r="R836" s="33">
        <f t="shared" si="87"/>
        <v>197.48571428571427</v>
      </c>
      <c r="S836" s="132">
        <f t="shared" si="88"/>
        <v>24.685714285714283</v>
      </c>
      <c r="T836" s="132">
        <f t="shared" si="89"/>
        <v>24.685714285714283</v>
      </c>
      <c r="U836" s="28">
        <f t="shared" si="95"/>
        <v>5.0636574074074083</v>
      </c>
      <c r="V836" s="28">
        <f t="shared" si="97"/>
        <v>5.9572440087145981</v>
      </c>
      <c r="W836" s="15">
        <f t="shared" si="91"/>
        <v>0.73991769547325104</v>
      </c>
      <c r="X836" s="16"/>
      <c r="Y836" s="162">
        <f t="shared" si="96"/>
        <v>0</v>
      </c>
      <c r="Z836" s="5">
        <f t="shared" si="92"/>
        <v>156.7741935483871</v>
      </c>
      <c r="AA836" s="5"/>
      <c r="AB836" s="5"/>
      <c r="AC836" s="5"/>
      <c r="AD836" s="29">
        <v>12.4</v>
      </c>
      <c r="AG836" s="20">
        <v>0.73991769547325104</v>
      </c>
      <c r="AI836" s="20"/>
    </row>
    <row r="837" spans="1:35" x14ac:dyDescent="0.3">
      <c r="A837" s="2">
        <v>1848</v>
      </c>
      <c r="B837" s="2" t="s">
        <v>0</v>
      </c>
      <c r="C837" s="2" t="s">
        <v>1303</v>
      </c>
      <c r="D837" s="167" t="s">
        <v>1349</v>
      </c>
      <c r="E837" s="2">
        <v>500</v>
      </c>
      <c r="F837" s="2">
        <v>2.58E-2</v>
      </c>
      <c r="G837" s="23">
        <v>1.77E-2</v>
      </c>
      <c r="H837" s="4">
        <f t="shared" si="86"/>
        <v>0.31395348837209303</v>
      </c>
      <c r="I837" s="2" t="s">
        <v>73</v>
      </c>
      <c r="J837" s="2" t="s">
        <v>1350</v>
      </c>
      <c r="K837" s="2" t="s">
        <v>1351</v>
      </c>
      <c r="L837" s="2" t="s">
        <v>1348</v>
      </c>
      <c r="M837" s="163">
        <f t="shared" si="98"/>
        <v>10</v>
      </c>
      <c r="N837" s="163">
        <v>50</v>
      </c>
      <c r="O837" s="2">
        <v>36</v>
      </c>
      <c r="P837" s="6">
        <v>110</v>
      </c>
      <c r="Q837" s="131">
        <v>10.5</v>
      </c>
      <c r="R837" s="168">
        <f t="shared" si="87"/>
        <v>197.48571428571427</v>
      </c>
      <c r="S837" s="132">
        <f t="shared" si="88"/>
        <v>24.685714285714283</v>
      </c>
      <c r="T837" s="132">
        <f t="shared" si="89"/>
        <v>24.685714285714283</v>
      </c>
      <c r="U837" s="28">
        <f t="shared" si="95"/>
        <v>5.0636574074074083</v>
      </c>
      <c r="V837" s="28">
        <f t="shared" si="97"/>
        <v>5.9572440087145981</v>
      </c>
      <c r="W837" s="15">
        <f t="shared" si="91"/>
        <v>0.71296296296296302</v>
      </c>
      <c r="X837" s="16">
        <v>90</v>
      </c>
      <c r="Y837" s="162">
        <f t="shared" si="96"/>
        <v>0.58333333333333337</v>
      </c>
      <c r="Z837" s="5">
        <f t="shared" si="92"/>
        <v>154.28571428571428</v>
      </c>
      <c r="AA837" s="5"/>
      <c r="AB837" s="5"/>
      <c r="AC837" s="5"/>
      <c r="AD837" s="29">
        <v>12.6</v>
      </c>
      <c r="AG837" s="20">
        <v>0.71296296296296302</v>
      </c>
      <c r="AI837" s="20">
        <f>X837/Z837</f>
        <v>0.58333333333333337</v>
      </c>
    </row>
    <row r="838" spans="1:35" x14ac:dyDescent="0.3">
      <c r="A838" s="2">
        <v>1859</v>
      </c>
      <c r="B838" s="2" t="s">
        <v>0</v>
      </c>
      <c r="C838" s="2" t="s">
        <v>1303</v>
      </c>
      <c r="D838" s="2" t="s">
        <v>1352</v>
      </c>
      <c r="E838" s="2">
        <v>500</v>
      </c>
      <c r="F838" s="2">
        <v>1.1900000000000001E-2</v>
      </c>
      <c r="G838" s="2">
        <v>7.0000000000000001E-3</v>
      </c>
      <c r="H838" s="4">
        <f t="shared" si="86"/>
        <v>0.41176470588235298</v>
      </c>
      <c r="I838" s="2" t="s">
        <v>73</v>
      </c>
      <c r="J838" s="2" t="s">
        <v>1353</v>
      </c>
      <c r="K838" s="2" t="s">
        <v>1354</v>
      </c>
      <c r="L838" s="2" t="s">
        <v>1338</v>
      </c>
      <c r="M838" s="163">
        <f t="shared" si="98"/>
        <v>10</v>
      </c>
      <c r="N838" s="163">
        <v>50</v>
      </c>
      <c r="O838" s="2">
        <v>42</v>
      </c>
      <c r="P838" s="6">
        <v>110</v>
      </c>
      <c r="Q838" s="131">
        <v>16.600000000000001</v>
      </c>
      <c r="R838" s="33">
        <f t="shared" si="87"/>
        <v>145.73493975903611</v>
      </c>
      <c r="S838" s="132">
        <f t="shared" si="88"/>
        <v>18.216867469879514</v>
      </c>
      <c r="T838" s="132">
        <f t="shared" si="89"/>
        <v>18.216867469879514</v>
      </c>
      <c r="U838" s="28">
        <f t="shared" si="95"/>
        <v>6.8617724867724883</v>
      </c>
      <c r="V838" s="28">
        <f t="shared" si="97"/>
        <v>8.0726735138499865</v>
      </c>
      <c r="W838" s="15">
        <f t="shared" si="91"/>
        <v>0.80511463844797193</v>
      </c>
      <c r="X838" s="16"/>
      <c r="Y838" s="162">
        <f t="shared" si="96"/>
        <v>0</v>
      </c>
      <c r="Z838" s="5">
        <f t="shared" si="92"/>
        <v>136.62650602409636</v>
      </c>
      <c r="AA838" s="5"/>
      <c r="AB838" s="5"/>
      <c r="AC838" s="5"/>
      <c r="AD838" s="29">
        <v>16.600000000000001</v>
      </c>
      <c r="AG838" s="20">
        <v>0.80511463844797193</v>
      </c>
      <c r="AI838" s="20"/>
    </row>
    <row r="839" spans="1:35" x14ac:dyDescent="0.3">
      <c r="A839" s="2">
        <v>1860</v>
      </c>
      <c r="B839" s="2" t="s">
        <v>0</v>
      </c>
      <c r="C839" s="2" t="s">
        <v>1303</v>
      </c>
      <c r="D839" s="2" t="s">
        <v>1355</v>
      </c>
      <c r="E839" s="2">
        <v>500</v>
      </c>
      <c r="F839" s="2">
        <v>1.4500000000000001E-2</v>
      </c>
      <c r="G839" s="2">
        <v>8.5000000000000006E-3</v>
      </c>
      <c r="H839" s="4">
        <f t="shared" si="86"/>
        <v>0.41379310344827586</v>
      </c>
      <c r="I839" s="2" t="s">
        <v>73</v>
      </c>
      <c r="J839" s="2" t="s">
        <v>1356</v>
      </c>
      <c r="K839" s="2" t="s">
        <v>1357</v>
      </c>
      <c r="L839" s="2" t="s">
        <v>1342</v>
      </c>
      <c r="M839" s="163">
        <f t="shared" si="98"/>
        <v>10</v>
      </c>
      <c r="N839" s="163">
        <v>50</v>
      </c>
      <c r="O839" s="2">
        <v>36</v>
      </c>
      <c r="P839" s="6">
        <v>120</v>
      </c>
      <c r="Q839" s="131">
        <v>11.8</v>
      </c>
      <c r="R839" s="33">
        <f t="shared" si="87"/>
        <v>175.72881355932202</v>
      </c>
      <c r="S839" s="132">
        <f t="shared" si="88"/>
        <v>21.966101694915253</v>
      </c>
      <c r="T839" s="132">
        <f t="shared" si="89"/>
        <v>21.966101694915253</v>
      </c>
      <c r="U839" s="28">
        <f t="shared" si="95"/>
        <v>5.6905864197530871</v>
      </c>
      <c r="V839" s="28">
        <f t="shared" si="97"/>
        <v>6.6948075526506905</v>
      </c>
      <c r="W839" s="15">
        <f t="shared" si="91"/>
        <v>0.72839506172839519</v>
      </c>
      <c r="X839" s="16">
        <v>80</v>
      </c>
      <c r="Y839" s="162">
        <f t="shared" si="96"/>
        <v>0.48559670781893011</v>
      </c>
      <c r="Z839" s="5">
        <f t="shared" si="92"/>
        <v>164.74576271186439</v>
      </c>
      <c r="AA839" s="5"/>
      <c r="AB839" s="5"/>
      <c r="AC839" s="5"/>
      <c r="AD839" s="29">
        <v>11.8</v>
      </c>
      <c r="AG839" s="20">
        <v>0.72839506172839519</v>
      </c>
      <c r="AI839" s="20">
        <f>X839/Z839</f>
        <v>0.48559670781893011</v>
      </c>
    </row>
    <row r="840" spans="1:35" x14ac:dyDescent="0.3">
      <c r="A840" s="2">
        <v>1861</v>
      </c>
      <c r="B840" s="2" t="s">
        <v>0</v>
      </c>
      <c r="C840" s="2" t="s">
        <v>1303</v>
      </c>
      <c r="D840" s="2" t="s">
        <v>1358</v>
      </c>
      <c r="E840" s="2">
        <v>500</v>
      </c>
      <c r="F840" s="2">
        <v>1.77E-2</v>
      </c>
      <c r="G840" s="2">
        <v>1.2E-2</v>
      </c>
      <c r="H840" s="4">
        <f t="shared" si="86"/>
        <v>0.32203389830508478</v>
      </c>
      <c r="I840" s="2" t="s">
        <v>73</v>
      </c>
      <c r="J840" s="2" t="s">
        <v>1359</v>
      </c>
      <c r="K840" s="2" t="s">
        <v>1357</v>
      </c>
      <c r="L840" s="2" t="s">
        <v>1342</v>
      </c>
      <c r="M840" s="163">
        <f t="shared" si="98"/>
        <v>10</v>
      </c>
      <c r="N840" s="163">
        <v>50</v>
      </c>
      <c r="O840" s="2">
        <v>36</v>
      </c>
      <c r="P840" s="6">
        <v>117</v>
      </c>
      <c r="Q840" s="131">
        <v>11.8</v>
      </c>
      <c r="R840" s="33">
        <f t="shared" si="87"/>
        <v>175.72881355932202</v>
      </c>
      <c r="S840" s="132">
        <f t="shared" si="88"/>
        <v>21.966101694915253</v>
      </c>
      <c r="T840" s="132">
        <f t="shared" si="89"/>
        <v>21.966101694915253</v>
      </c>
      <c r="U840" s="28">
        <f t="shared" si="95"/>
        <v>5.6905864197530871</v>
      </c>
      <c r="V840" s="28">
        <f t="shared" si="97"/>
        <v>6.6948075526506905</v>
      </c>
      <c r="W840" s="15">
        <f t="shared" si="91"/>
        <v>0.71018518518518525</v>
      </c>
      <c r="X840" s="16"/>
      <c r="Y840" s="162">
        <f t="shared" si="96"/>
        <v>0</v>
      </c>
      <c r="Z840" s="5">
        <f t="shared" si="92"/>
        <v>164.74576271186439</v>
      </c>
      <c r="AA840" s="5"/>
      <c r="AB840" s="5"/>
      <c r="AC840" s="5"/>
      <c r="AD840" s="29">
        <v>11.8</v>
      </c>
      <c r="AG840" s="20">
        <v>0.71018518518518525</v>
      </c>
      <c r="AI840" s="20"/>
    </row>
    <row r="841" spans="1:35" x14ac:dyDescent="0.3">
      <c r="A841" s="2">
        <v>1862</v>
      </c>
      <c r="B841" s="2" t="s">
        <v>0</v>
      </c>
      <c r="C841" s="2" t="s">
        <v>1303</v>
      </c>
      <c r="D841" s="2" t="s">
        <v>1360</v>
      </c>
      <c r="E841" s="2">
        <v>500</v>
      </c>
      <c r="F841" s="2">
        <v>1.9300000000000001E-2</v>
      </c>
      <c r="G841" s="2">
        <v>1.4E-2</v>
      </c>
      <c r="H841" s="4">
        <f t="shared" si="86"/>
        <v>0.2746113989637306</v>
      </c>
      <c r="I841" s="2" t="s">
        <v>73</v>
      </c>
      <c r="J841" s="2" t="s">
        <v>1361</v>
      </c>
      <c r="K841" s="2" t="s">
        <v>1362</v>
      </c>
      <c r="L841" s="2" t="s">
        <v>1348</v>
      </c>
      <c r="M841" s="163">
        <f t="shared" si="98"/>
        <v>10</v>
      </c>
      <c r="N841" s="163">
        <v>50</v>
      </c>
      <c r="O841" s="2">
        <v>36</v>
      </c>
      <c r="P841" s="6">
        <v>116</v>
      </c>
      <c r="Q841" s="131">
        <v>12.4</v>
      </c>
      <c r="R841" s="33">
        <f t="shared" si="87"/>
        <v>167.2258064516129</v>
      </c>
      <c r="S841" s="132">
        <f t="shared" si="88"/>
        <v>20.903225806451612</v>
      </c>
      <c r="T841" s="132">
        <f t="shared" si="89"/>
        <v>20.903225806451612</v>
      </c>
      <c r="U841" s="28">
        <f t="shared" si="95"/>
        <v>5.9799382716049383</v>
      </c>
      <c r="V841" s="28">
        <f t="shared" si="97"/>
        <v>7.0352214960058097</v>
      </c>
      <c r="W841" s="15">
        <f t="shared" si="91"/>
        <v>0.73991769547325104</v>
      </c>
      <c r="X841" s="16"/>
      <c r="Y841" s="162">
        <f t="shared" si="96"/>
        <v>0</v>
      </c>
      <c r="Z841" s="5">
        <f t="shared" si="92"/>
        <v>156.7741935483871</v>
      </c>
      <c r="AA841" s="5"/>
      <c r="AB841" s="5"/>
      <c r="AC841" s="5"/>
      <c r="AD841" s="29">
        <v>12.4</v>
      </c>
      <c r="AG841" s="20">
        <v>0.73991769547325104</v>
      </c>
      <c r="AI841" s="20"/>
    </row>
    <row r="842" spans="1:35" x14ac:dyDescent="0.3">
      <c r="A842" s="2">
        <v>1863</v>
      </c>
      <c r="B842" s="2" t="s">
        <v>0</v>
      </c>
      <c r="C842" s="2" t="s">
        <v>1303</v>
      </c>
      <c r="D842" s="2" t="s">
        <v>1363</v>
      </c>
      <c r="E842" s="2">
        <v>500</v>
      </c>
      <c r="F842" s="2">
        <v>2.58E-2</v>
      </c>
      <c r="G842" s="2">
        <v>2.1000000000000001E-2</v>
      </c>
      <c r="H842" s="4">
        <f t="shared" si="86"/>
        <v>0.18604651162790692</v>
      </c>
      <c r="I842" s="2" t="s">
        <v>73</v>
      </c>
      <c r="J842" s="2" t="s">
        <v>1364</v>
      </c>
      <c r="K842" s="2" t="s">
        <v>1365</v>
      </c>
      <c r="L842" s="2" t="s">
        <v>1348</v>
      </c>
      <c r="M842" s="163">
        <f t="shared" si="98"/>
        <v>10</v>
      </c>
      <c r="N842" s="163">
        <v>50</v>
      </c>
      <c r="O842" s="2">
        <v>36</v>
      </c>
      <c r="P842" s="6">
        <v>110</v>
      </c>
      <c r="Q842" s="131">
        <v>10.5</v>
      </c>
      <c r="R842" s="33">
        <f t="shared" si="87"/>
        <v>197.48571428571427</v>
      </c>
      <c r="S842" s="132">
        <f t="shared" si="88"/>
        <v>24.685714285714283</v>
      </c>
      <c r="T842" s="132">
        <f t="shared" si="89"/>
        <v>24.685714285714283</v>
      </c>
      <c r="U842" s="28">
        <f t="shared" si="95"/>
        <v>5.0636574074074083</v>
      </c>
      <c r="V842" s="28">
        <f t="shared" si="97"/>
        <v>5.9572440087145981</v>
      </c>
      <c r="W842" s="15">
        <f t="shared" si="91"/>
        <v>0.71296296296296302</v>
      </c>
      <c r="X842" s="16"/>
      <c r="Y842" s="162">
        <f t="shared" si="96"/>
        <v>0</v>
      </c>
      <c r="Z842" s="5">
        <f t="shared" si="92"/>
        <v>154.28571428571428</v>
      </c>
      <c r="AA842" s="5"/>
      <c r="AB842" s="5"/>
      <c r="AC842" s="5"/>
      <c r="AD842" s="29">
        <v>12.6</v>
      </c>
      <c r="AG842" s="20">
        <v>0.71296296296296302</v>
      </c>
      <c r="AI842" s="20"/>
    </row>
    <row r="843" spans="1:35" x14ac:dyDescent="0.3">
      <c r="A843" s="2">
        <v>1864</v>
      </c>
      <c r="B843" s="2" t="s">
        <v>0</v>
      </c>
      <c r="C843" s="2" t="s">
        <v>1303</v>
      </c>
      <c r="D843" s="2" t="s">
        <v>1366</v>
      </c>
      <c r="E843" s="2">
        <v>500</v>
      </c>
      <c r="F843" s="2">
        <v>1.1900000000000001E-2</v>
      </c>
      <c r="G843" s="2">
        <v>7.0000000000000001E-3</v>
      </c>
      <c r="H843" s="4">
        <f t="shared" si="86"/>
        <v>0.41176470588235298</v>
      </c>
      <c r="I843" s="2" t="s">
        <v>73</v>
      </c>
      <c r="J843" s="2" t="s">
        <v>1353</v>
      </c>
      <c r="K843" s="2" t="s">
        <v>1367</v>
      </c>
      <c r="L843" s="2" t="s">
        <v>1338</v>
      </c>
      <c r="M843" s="163">
        <f t="shared" si="98"/>
        <v>10</v>
      </c>
      <c r="N843" s="163">
        <v>50</v>
      </c>
      <c r="O843" s="2">
        <v>42</v>
      </c>
      <c r="P843" s="6">
        <v>110</v>
      </c>
      <c r="Q843" s="131">
        <v>16.3</v>
      </c>
      <c r="R843" s="33">
        <f t="shared" si="87"/>
        <v>148.41717791411043</v>
      </c>
      <c r="S843" s="132">
        <f t="shared" si="88"/>
        <v>18.552147239263803</v>
      </c>
      <c r="T843" s="132">
        <f t="shared" si="89"/>
        <v>18.552147239263803</v>
      </c>
      <c r="U843" s="28">
        <f t="shared" si="95"/>
        <v>6.7377645502645507</v>
      </c>
      <c r="V843" s="28">
        <f t="shared" si="97"/>
        <v>7.9267818238406482</v>
      </c>
      <c r="W843" s="15">
        <f t="shared" si="91"/>
        <v>0.80511463844797193</v>
      </c>
      <c r="X843" s="16"/>
      <c r="Y843" s="162">
        <f t="shared" si="96"/>
        <v>0</v>
      </c>
      <c r="Z843" s="5">
        <f t="shared" si="92"/>
        <v>136.62650602409636</v>
      </c>
      <c r="AA843" s="5"/>
      <c r="AB843" s="5"/>
      <c r="AC843" s="5"/>
      <c r="AD843" s="29">
        <v>16.600000000000001</v>
      </c>
      <c r="AG843" s="20">
        <v>0.80511463844797193</v>
      </c>
      <c r="AI843" s="20"/>
    </row>
    <row r="844" spans="1:35" ht="16.5" customHeight="1" x14ac:dyDescent="0.3">
      <c r="A844" s="2">
        <v>1865</v>
      </c>
      <c r="B844" s="23" t="s">
        <v>0</v>
      </c>
      <c r="C844" s="145" t="s">
        <v>1303</v>
      </c>
      <c r="D844" s="2" t="s">
        <v>1368</v>
      </c>
      <c r="E844" s="2">
        <v>500</v>
      </c>
      <c r="F844" s="2">
        <v>1.4500000000000001E-2</v>
      </c>
      <c r="G844" s="2">
        <v>8.5000000000000006E-3</v>
      </c>
      <c r="H844" s="4">
        <f t="shared" si="86"/>
        <v>0.41379310344827586</v>
      </c>
      <c r="I844" s="2" t="s">
        <v>73</v>
      </c>
      <c r="J844" s="2" t="s">
        <v>1356</v>
      </c>
      <c r="K844" s="2" t="s">
        <v>1369</v>
      </c>
      <c r="L844" s="2" t="s">
        <v>1342</v>
      </c>
      <c r="M844" s="163">
        <f t="shared" si="98"/>
        <v>10</v>
      </c>
      <c r="N844" s="163">
        <v>50</v>
      </c>
      <c r="O844" s="2">
        <v>36</v>
      </c>
      <c r="P844" s="6">
        <v>120</v>
      </c>
      <c r="Q844" s="131">
        <v>10.5</v>
      </c>
      <c r="R844" s="33">
        <f t="shared" si="87"/>
        <v>197.48571428571427</v>
      </c>
      <c r="S844" s="132">
        <f t="shared" si="88"/>
        <v>24.685714285714283</v>
      </c>
      <c r="T844" s="132">
        <f t="shared" si="89"/>
        <v>24.685714285714283</v>
      </c>
      <c r="U844" s="28">
        <f t="shared" si="95"/>
        <v>5.0636574074074083</v>
      </c>
      <c r="V844" s="28">
        <f t="shared" si="97"/>
        <v>5.9572440087145981</v>
      </c>
      <c r="W844" s="15">
        <f t="shared" si="91"/>
        <v>0.72839506172839519</v>
      </c>
      <c r="X844" s="16"/>
      <c r="Y844" s="162">
        <f t="shared" si="96"/>
        <v>0</v>
      </c>
      <c r="Z844" s="5">
        <f t="shared" si="92"/>
        <v>164.74576271186439</v>
      </c>
      <c r="AA844" s="5"/>
      <c r="AB844" s="5"/>
      <c r="AC844" s="5"/>
      <c r="AD844" s="29">
        <v>11.8</v>
      </c>
      <c r="AG844" s="20">
        <v>0.72839506172839519</v>
      </c>
      <c r="AI844" s="20"/>
    </row>
    <row r="845" spans="1:35" x14ac:dyDescent="0.3">
      <c r="A845" s="2">
        <v>1866</v>
      </c>
      <c r="B845" s="2" t="s">
        <v>0</v>
      </c>
      <c r="C845" s="2" t="s">
        <v>1303</v>
      </c>
      <c r="D845" s="2" t="s">
        <v>1370</v>
      </c>
      <c r="E845" s="2">
        <v>500</v>
      </c>
      <c r="F845" s="2">
        <v>1.77E-2</v>
      </c>
      <c r="G845" s="2">
        <v>1.2E-2</v>
      </c>
      <c r="H845" s="4">
        <f t="shared" si="86"/>
        <v>0.32203389830508478</v>
      </c>
      <c r="I845" s="2" t="s">
        <v>73</v>
      </c>
      <c r="J845" s="2" t="s">
        <v>1359</v>
      </c>
      <c r="K845" s="2" t="s">
        <v>1369</v>
      </c>
      <c r="L845" s="2" t="s">
        <v>1342</v>
      </c>
      <c r="M845" s="163">
        <f t="shared" si="98"/>
        <v>10</v>
      </c>
      <c r="N845" s="163">
        <v>50</v>
      </c>
      <c r="O845" s="2">
        <v>36</v>
      </c>
      <c r="P845" s="6">
        <v>117</v>
      </c>
      <c r="Q845" s="131">
        <v>10.5</v>
      </c>
      <c r="R845" s="33">
        <f t="shared" si="87"/>
        <v>197.48571428571427</v>
      </c>
      <c r="S845" s="132">
        <f t="shared" si="88"/>
        <v>24.685714285714283</v>
      </c>
      <c r="T845" s="132">
        <f t="shared" si="89"/>
        <v>24.685714285714283</v>
      </c>
      <c r="U845" s="28">
        <f t="shared" si="95"/>
        <v>5.0636574074074083</v>
      </c>
      <c r="V845" s="28">
        <f t="shared" si="97"/>
        <v>5.9572440087145981</v>
      </c>
      <c r="W845" s="15">
        <f t="shared" si="91"/>
        <v>0.71018518518518525</v>
      </c>
      <c r="X845" s="16">
        <v>86</v>
      </c>
      <c r="Y845" s="162">
        <f t="shared" si="96"/>
        <v>0.52201646090534981</v>
      </c>
      <c r="Z845" s="5">
        <f t="shared" si="92"/>
        <v>164.74576271186439</v>
      </c>
      <c r="AA845" s="5"/>
      <c r="AB845" s="5"/>
      <c r="AC845" s="5"/>
      <c r="AD845" s="29">
        <v>11.8</v>
      </c>
      <c r="AG845" s="20">
        <v>0.71018518518518525</v>
      </c>
      <c r="AI845" s="20">
        <f>X845/Z845</f>
        <v>0.52201646090534981</v>
      </c>
    </row>
    <row r="846" spans="1:35" x14ac:dyDescent="0.3">
      <c r="A846" s="2">
        <v>1867</v>
      </c>
      <c r="B846" s="2" t="s">
        <v>0</v>
      </c>
      <c r="C846" s="2" t="s">
        <v>1303</v>
      </c>
      <c r="D846" s="2" t="s">
        <v>1371</v>
      </c>
      <c r="E846" s="2">
        <v>500</v>
      </c>
      <c r="F846" s="2">
        <v>1.9300000000000001E-2</v>
      </c>
      <c r="G846" s="2">
        <v>1.4E-2</v>
      </c>
      <c r="H846" s="4">
        <f t="shared" si="86"/>
        <v>0.2746113989637306</v>
      </c>
      <c r="I846" s="2" t="s">
        <v>73</v>
      </c>
      <c r="J846" s="2" t="s">
        <v>1361</v>
      </c>
      <c r="K846" s="2" t="s">
        <v>1372</v>
      </c>
      <c r="L846" s="2" t="s">
        <v>1348</v>
      </c>
      <c r="M846" s="163">
        <f t="shared" si="98"/>
        <v>10</v>
      </c>
      <c r="N846" s="163">
        <v>50</v>
      </c>
      <c r="O846" s="2">
        <v>36</v>
      </c>
      <c r="P846" s="6">
        <v>116</v>
      </c>
      <c r="Q846" s="131">
        <v>10.5</v>
      </c>
      <c r="R846" s="33">
        <f t="shared" si="87"/>
        <v>197.48571428571427</v>
      </c>
      <c r="S846" s="132">
        <f t="shared" si="88"/>
        <v>24.685714285714283</v>
      </c>
      <c r="T846" s="132">
        <f t="shared" si="89"/>
        <v>24.685714285714283</v>
      </c>
      <c r="U846" s="28">
        <f t="shared" si="95"/>
        <v>5.0636574074074083</v>
      </c>
      <c r="V846" s="28">
        <f t="shared" si="97"/>
        <v>5.9572440087145981</v>
      </c>
      <c r="W846" s="15">
        <f t="shared" si="91"/>
        <v>0.73991769547325104</v>
      </c>
      <c r="X846" s="16"/>
      <c r="Y846" s="162">
        <f t="shared" si="96"/>
        <v>0</v>
      </c>
      <c r="Z846" s="5">
        <f t="shared" si="92"/>
        <v>156.7741935483871</v>
      </c>
      <c r="AA846" s="5"/>
      <c r="AB846" s="5"/>
      <c r="AC846" s="5"/>
      <c r="AD846" s="29">
        <v>12.4</v>
      </c>
      <c r="AG846" s="20">
        <v>0.73991769547325104</v>
      </c>
      <c r="AI846" s="20"/>
    </row>
    <row r="847" spans="1:35" x14ac:dyDescent="0.3">
      <c r="A847" s="2">
        <v>1868</v>
      </c>
      <c r="B847" s="2" t="s">
        <v>0</v>
      </c>
      <c r="C847" s="2" t="s">
        <v>1303</v>
      </c>
      <c r="D847" s="2" t="s">
        <v>1373</v>
      </c>
      <c r="E847" s="2">
        <v>500</v>
      </c>
      <c r="F847" s="2">
        <v>2.58E-2</v>
      </c>
      <c r="G847" s="2">
        <v>2.1000000000000001E-2</v>
      </c>
      <c r="H847" s="4">
        <f t="shared" si="86"/>
        <v>0.18604651162790692</v>
      </c>
      <c r="I847" s="2" t="s">
        <v>73</v>
      </c>
      <c r="J847" s="2" t="s">
        <v>1364</v>
      </c>
      <c r="K847" s="2" t="s">
        <v>1372</v>
      </c>
      <c r="L847" s="2" t="s">
        <v>1348</v>
      </c>
      <c r="M847" s="163">
        <f t="shared" si="98"/>
        <v>10</v>
      </c>
      <c r="N847" s="163">
        <v>50</v>
      </c>
      <c r="O847" s="2">
        <v>36</v>
      </c>
      <c r="P847" s="6">
        <v>110</v>
      </c>
      <c r="Q847" s="131">
        <v>10.5</v>
      </c>
      <c r="R847" s="33">
        <f t="shared" si="87"/>
        <v>197.48571428571427</v>
      </c>
      <c r="S847" s="132">
        <f t="shared" si="88"/>
        <v>24.685714285714283</v>
      </c>
      <c r="T847" s="132">
        <f t="shared" si="89"/>
        <v>24.685714285714283</v>
      </c>
      <c r="U847" s="28">
        <f t="shared" si="95"/>
        <v>5.0636574074074083</v>
      </c>
      <c r="V847" s="28">
        <f t="shared" si="97"/>
        <v>5.9572440087145981</v>
      </c>
      <c r="W847" s="15">
        <f t="shared" si="91"/>
        <v>0.76954732510288071</v>
      </c>
      <c r="X847" s="16">
        <v>90</v>
      </c>
      <c r="Y847" s="162">
        <f t="shared" si="96"/>
        <v>0.62962962962962965</v>
      </c>
      <c r="Z847" s="5">
        <f t="shared" si="92"/>
        <v>142.94117647058823</v>
      </c>
      <c r="AA847" s="5"/>
      <c r="AB847" s="5"/>
      <c r="AC847" s="5"/>
      <c r="AD847" s="29">
        <v>13.6</v>
      </c>
      <c r="AG847" s="20">
        <v>0.71296296296296302</v>
      </c>
      <c r="AI847" s="20">
        <f>X847/Z847</f>
        <v>0.62962962962962965</v>
      </c>
    </row>
    <row r="848" spans="1:35" x14ac:dyDescent="0.3">
      <c r="A848" s="2">
        <v>1920</v>
      </c>
      <c r="B848" s="2" t="s">
        <v>0</v>
      </c>
      <c r="C848" s="2" t="s">
        <v>1303</v>
      </c>
      <c r="D848" s="2" t="s">
        <v>1374</v>
      </c>
      <c r="E848" s="2">
        <v>1000</v>
      </c>
      <c r="F848" s="2">
        <v>1.84E-2</v>
      </c>
      <c r="G848" s="2">
        <v>1.2E-2</v>
      </c>
      <c r="H848" s="4">
        <f t="shared" si="86"/>
        <v>0.34782608695652173</v>
      </c>
      <c r="I848" s="2" t="s">
        <v>73</v>
      </c>
      <c r="J848" s="2" t="s">
        <v>1375</v>
      </c>
      <c r="K848" s="2" t="s">
        <v>1376</v>
      </c>
      <c r="L848" s="2" t="s">
        <v>1377</v>
      </c>
      <c r="M848" s="163">
        <v>8</v>
      </c>
      <c r="N848" s="163">
        <v>125</v>
      </c>
      <c r="O848" s="2">
        <v>24</v>
      </c>
      <c r="P848" s="6">
        <v>150</v>
      </c>
      <c r="Q848" s="131">
        <v>6.6</v>
      </c>
      <c r="R848" s="33">
        <f t="shared" si="87"/>
        <v>104.72727272727273</v>
      </c>
      <c r="S848" s="132">
        <f t="shared" si="88"/>
        <v>13.090909090909092</v>
      </c>
      <c r="T848" s="132">
        <f t="shared" si="89"/>
        <v>13.090909090909092</v>
      </c>
      <c r="U848" s="28">
        <f t="shared" si="95"/>
        <v>9.5486111111111107</v>
      </c>
      <c r="V848" s="28">
        <f t="shared" si="97"/>
        <v>11.233660130718954</v>
      </c>
      <c r="W848" s="19">
        <f t="shared" si="91"/>
        <v>1.5277777777777777</v>
      </c>
      <c r="X848" s="16"/>
      <c r="Y848" s="162">
        <f t="shared" si="96"/>
        <v>0</v>
      </c>
      <c r="Z848" s="5">
        <f t="shared" si="92"/>
        <v>98.181818181818187</v>
      </c>
      <c r="AA848" s="5"/>
      <c r="AB848" s="5"/>
      <c r="AC848" s="5"/>
      <c r="AD848" s="29">
        <v>6.6</v>
      </c>
      <c r="AG848" s="20"/>
      <c r="AI848" s="20"/>
    </row>
    <row r="849" spans="1:35" x14ac:dyDescent="0.3">
      <c r="A849" s="23">
        <v>1924</v>
      </c>
      <c r="B849" s="2" t="s">
        <v>0</v>
      </c>
      <c r="C849" s="2" t="s">
        <v>1303</v>
      </c>
      <c r="D849" s="2" t="s">
        <v>1378</v>
      </c>
      <c r="E849" s="2">
        <v>500</v>
      </c>
      <c r="F849" s="2">
        <v>995</v>
      </c>
      <c r="G849" s="2">
        <v>1.11E-2</v>
      </c>
      <c r="H849" s="4">
        <f t="shared" si="86"/>
        <v>0.99998884422110546</v>
      </c>
      <c r="I849" s="2" t="s">
        <v>73</v>
      </c>
      <c r="J849" s="2" t="s">
        <v>1316</v>
      </c>
      <c r="K849" s="2" t="s">
        <v>1306</v>
      </c>
      <c r="L849" s="2" t="s">
        <v>96</v>
      </c>
      <c r="M849" s="163">
        <f t="shared" ref="M849:M857" si="99">E849/N849</f>
        <v>10</v>
      </c>
      <c r="N849" s="163">
        <v>50</v>
      </c>
      <c r="O849" s="2">
        <v>24</v>
      </c>
      <c r="P849" s="6">
        <v>187.24458204334366</v>
      </c>
      <c r="Q849" s="131">
        <v>5.2</v>
      </c>
      <c r="R849" s="33">
        <f t="shared" si="87"/>
        <v>265.84615384615387</v>
      </c>
      <c r="S849" s="132">
        <f t="shared" si="88"/>
        <v>33.230769230769234</v>
      </c>
      <c r="T849" s="132">
        <f t="shared" si="89"/>
        <v>33.230769230769234</v>
      </c>
      <c r="U849" s="28">
        <f t="shared" si="95"/>
        <v>3.761574074074074</v>
      </c>
      <c r="V849" s="28">
        <f t="shared" si="97"/>
        <v>4.4253812636165577</v>
      </c>
      <c r="W849" s="15">
        <f t="shared" si="91"/>
        <v>0.86687306501547989</v>
      </c>
      <c r="X849" s="16"/>
      <c r="Y849" s="162">
        <f t="shared" si="96"/>
        <v>0</v>
      </c>
      <c r="Z849" s="5">
        <f t="shared" si="92"/>
        <v>216</v>
      </c>
      <c r="AA849" s="5"/>
      <c r="AB849" s="5"/>
      <c r="AC849" s="5"/>
      <c r="AD849" s="29">
        <v>6</v>
      </c>
      <c r="AG849" s="20">
        <v>0.86687306501547989</v>
      </c>
      <c r="AI849" s="20"/>
    </row>
    <row r="850" spans="1:35" x14ac:dyDescent="0.3">
      <c r="A850" s="23">
        <v>1925</v>
      </c>
      <c r="B850" s="2" t="s">
        <v>0</v>
      </c>
      <c r="C850" s="2" t="s">
        <v>1303</v>
      </c>
      <c r="D850" s="2" t="s">
        <v>1379</v>
      </c>
      <c r="E850" s="2">
        <v>500</v>
      </c>
      <c r="F850" s="2" t="s">
        <v>1380</v>
      </c>
      <c r="G850" s="2">
        <v>1.2999999999999999E-2</v>
      </c>
      <c r="H850" s="4" t="e">
        <f t="shared" si="86"/>
        <v>#VALUE!</v>
      </c>
      <c r="I850" s="2" t="s">
        <v>73</v>
      </c>
      <c r="J850" s="2" t="s">
        <v>1318</v>
      </c>
      <c r="K850" s="2" t="s">
        <v>1306</v>
      </c>
      <c r="L850" s="2" t="s">
        <v>96</v>
      </c>
      <c r="M850" s="163">
        <f t="shared" si="99"/>
        <v>10</v>
      </c>
      <c r="N850" s="163">
        <v>50</v>
      </c>
      <c r="O850" s="2">
        <v>24</v>
      </c>
      <c r="P850" s="6">
        <v>184.10958904109589</v>
      </c>
      <c r="Q850" s="131">
        <v>5.2</v>
      </c>
      <c r="R850" s="33">
        <f t="shared" si="87"/>
        <v>265.84615384615387</v>
      </c>
      <c r="S850" s="132">
        <f t="shared" si="88"/>
        <v>33.230769230769234</v>
      </c>
      <c r="T850" s="132">
        <f t="shared" si="89"/>
        <v>33.230769230769234</v>
      </c>
      <c r="U850" s="28">
        <f t="shared" si="95"/>
        <v>3.761574074074074</v>
      </c>
      <c r="V850" s="28">
        <f t="shared" si="97"/>
        <v>4.4253812636165577</v>
      </c>
      <c r="W850" s="15">
        <f t="shared" si="91"/>
        <v>0.85235920852359204</v>
      </c>
      <c r="X850" s="16">
        <v>120</v>
      </c>
      <c r="Y850" s="162">
        <f t="shared" si="96"/>
        <v>0.55555555555555558</v>
      </c>
      <c r="Z850" s="5">
        <f t="shared" si="92"/>
        <v>216</v>
      </c>
      <c r="AA850" s="5"/>
      <c r="AB850" s="5"/>
      <c r="AC850" s="5"/>
      <c r="AD850" s="29">
        <v>6</v>
      </c>
      <c r="AG850" s="20">
        <v>0.8381532217148655</v>
      </c>
      <c r="AI850" s="20">
        <f>X850/Z850</f>
        <v>0.55555555555555558</v>
      </c>
    </row>
    <row r="851" spans="1:35" x14ac:dyDescent="0.3">
      <c r="A851" s="23">
        <v>1987</v>
      </c>
      <c r="B851" s="2" t="s">
        <v>0</v>
      </c>
      <c r="C851" s="2" t="s">
        <v>1303</v>
      </c>
      <c r="D851" s="2" t="s">
        <v>1381</v>
      </c>
      <c r="E851" s="2">
        <v>200</v>
      </c>
      <c r="F851" s="2">
        <v>2.2100000000000002E-2</v>
      </c>
      <c r="G851" s="2">
        <v>1.2999999999999999E-2</v>
      </c>
      <c r="H851" s="4">
        <f t="shared" si="86"/>
        <v>0.41176470588235303</v>
      </c>
      <c r="I851" s="2" t="s">
        <v>73</v>
      </c>
      <c r="J851" s="2" t="s">
        <v>1318</v>
      </c>
      <c r="K851" s="2" t="s">
        <v>1382</v>
      </c>
      <c r="L851" s="2" t="s">
        <v>6</v>
      </c>
      <c r="M851" s="163">
        <f t="shared" si="99"/>
        <v>4</v>
      </c>
      <c r="N851" s="163">
        <v>50</v>
      </c>
      <c r="O851" s="2">
        <v>24</v>
      </c>
      <c r="P851" s="6">
        <f>184.109589041096*500/200</f>
        <v>460.27397260274006</v>
      </c>
      <c r="Q851" s="131">
        <v>5.2</v>
      </c>
      <c r="R851" s="33">
        <f t="shared" si="87"/>
        <v>664.61538461538464</v>
      </c>
      <c r="S851" s="132">
        <f t="shared" si="88"/>
        <v>83.07692307692308</v>
      </c>
      <c r="T851" s="132">
        <f t="shared" si="89"/>
        <v>83.07692307692308</v>
      </c>
      <c r="U851" s="28">
        <f t="shared" si="95"/>
        <v>1.5046296296296295</v>
      </c>
      <c r="V851" s="28">
        <f t="shared" si="97"/>
        <v>1.7701525054466229</v>
      </c>
      <c r="W851" s="15">
        <f t="shared" si="91"/>
        <v>0.8523592085235927</v>
      </c>
      <c r="X851" s="16">
        <v>120</v>
      </c>
      <c r="Y851" s="162">
        <f t="shared" si="96"/>
        <v>0.22222222222222221</v>
      </c>
      <c r="Z851" s="5">
        <f t="shared" si="92"/>
        <v>540</v>
      </c>
      <c r="AA851" s="5"/>
      <c r="AB851" s="5"/>
      <c r="AC851" s="5"/>
      <c r="AD851" s="29">
        <v>6</v>
      </c>
      <c r="AG851" s="20">
        <v>0.8381532217148655</v>
      </c>
      <c r="AI851" s="20">
        <f>X851/Z851</f>
        <v>0.22222222222222221</v>
      </c>
    </row>
    <row r="852" spans="1:35" x14ac:dyDescent="0.3">
      <c r="A852" s="2">
        <v>1926</v>
      </c>
      <c r="B852" s="2" t="s">
        <v>0</v>
      </c>
      <c r="C852" s="2" t="s">
        <v>1303</v>
      </c>
      <c r="D852" s="2" t="s">
        <v>1383</v>
      </c>
      <c r="E852" s="2">
        <v>500</v>
      </c>
      <c r="F852" s="2">
        <v>2.6599999999999999E-2</v>
      </c>
      <c r="G852" s="2">
        <v>1.47E-2</v>
      </c>
      <c r="H852" s="4">
        <f t="shared" si="86"/>
        <v>0.44736842105263158</v>
      </c>
      <c r="I852" s="2" t="s">
        <v>73</v>
      </c>
      <c r="J852" s="2" t="s">
        <v>568</v>
      </c>
      <c r="K852" s="2" t="s">
        <v>1306</v>
      </c>
      <c r="L852" s="2" t="s">
        <v>96</v>
      </c>
      <c r="M852" s="163">
        <f t="shared" si="99"/>
        <v>10</v>
      </c>
      <c r="N852" s="163">
        <v>50</v>
      </c>
      <c r="O852" s="2">
        <v>24</v>
      </c>
      <c r="P852" s="6">
        <v>180.80717488789236</v>
      </c>
      <c r="Q852" s="131">
        <v>5.2</v>
      </c>
      <c r="R852" s="33">
        <f t="shared" si="87"/>
        <v>265.84615384615387</v>
      </c>
      <c r="S852" s="132">
        <f t="shared" si="88"/>
        <v>33.230769230769234</v>
      </c>
      <c r="T852" s="132">
        <f t="shared" si="89"/>
        <v>33.230769230769234</v>
      </c>
      <c r="U852" s="28">
        <f t="shared" si="95"/>
        <v>3.761574074074074</v>
      </c>
      <c r="V852" s="28">
        <f t="shared" si="97"/>
        <v>4.4253812636165577</v>
      </c>
      <c r="W852" s="15">
        <f t="shared" si="91"/>
        <v>0.83707025411061275</v>
      </c>
      <c r="X852" s="16">
        <v>116</v>
      </c>
      <c r="Y852" s="162">
        <f t="shared" si="96"/>
        <v>0.53703703703703709</v>
      </c>
      <c r="Z852" s="5">
        <f t="shared" si="92"/>
        <v>216</v>
      </c>
      <c r="AA852" s="5"/>
      <c r="AB852" s="5"/>
      <c r="AC852" s="5"/>
      <c r="AD852" s="29">
        <v>6</v>
      </c>
      <c r="AG852" s="20">
        <v>0.82311908320876914</v>
      </c>
      <c r="AI852" s="20">
        <f>X852/Z852</f>
        <v>0.53703703703703709</v>
      </c>
    </row>
    <row r="853" spans="1:35" x14ac:dyDescent="0.3">
      <c r="A853" s="2">
        <v>1988</v>
      </c>
      <c r="B853" s="2" t="s">
        <v>0</v>
      </c>
      <c r="C853" s="2" t="s">
        <v>1303</v>
      </c>
      <c r="D853" s="2" t="s">
        <v>1384</v>
      </c>
      <c r="E853" s="2">
        <v>200</v>
      </c>
      <c r="F853" s="2">
        <v>2.6599999999999999E-2</v>
      </c>
      <c r="G853" s="2">
        <v>1.47E-2</v>
      </c>
      <c r="H853" s="4">
        <f t="shared" si="86"/>
        <v>0.44736842105263158</v>
      </c>
      <c r="I853" s="2" t="s">
        <v>73</v>
      </c>
      <c r="J853" s="2" t="s">
        <v>568</v>
      </c>
      <c r="K853" s="2" t="s">
        <v>1382</v>
      </c>
      <c r="L853" s="2" t="s">
        <v>6</v>
      </c>
      <c r="M853" s="163">
        <f t="shared" si="99"/>
        <v>4</v>
      </c>
      <c r="N853" s="163">
        <v>50</v>
      </c>
      <c r="O853" s="2">
        <v>24</v>
      </c>
      <c r="P853" s="6">
        <f>180.807174887892*500/200</f>
        <v>452.01793721972996</v>
      </c>
      <c r="Q853" s="131">
        <v>5.2</v>
      </c>
      <c r="R853" s="33">
        <f t="shared" si="87"/>
        <v>664.61538461538464</v>
      </c>
      <c r="S853" s="132">
        <f t="shared" si="88"/>
        <v>83.07692307692308</v>
      </c>
      <c r="T853" s="132">
        <f t="shared" si="89"/>
        <v>83.07692307692308</v>
      </c>
      <c r="U853" s="28">
        <f t="shared" si="95"/>
        <v>1.5046296296296295</v>
      </c>
      <c r="V853" s="28">
        <f t="shared" si="97"/>
        <v>1.7701525054466229</v>
      </c>
      <c r="W853" s="15">
        <f t="shared" si="91"/>
        <v>0.83707025411061109</v>
      </c>
      <c r="X853" s="16">
        <v>116</v>
      </c>
      <c r="Y853" s="162">
        <f t="shared" si="96"/>
        <v>0.21481481481481482</v>
      </c>
      <c r="Z853" s="5">
        <f t="shared" si="92"/>
        <v>540</v>
      </c>
      <c r="AA853" s="5"/>
      <c r="AB853" s="5"/>
      <c r="AC853" s="5"/>
      <c r="AD853" s="29">
        <v>6</v>
      </c>
      <c r="AG853" s="20">
        <v>0.82311908320876914</v>
      </c>
      <c r="AI853" s="20">
        <f>X853/Z853</f>
        <v>0.21481481481481482</v>
      </c>
    </row>
    <row r="854" spans="1:35" x14ac:dyDescent="0.3">
      <c r="A854" s="23">
        <v>1986</v>
      </c>
      <c r="B854" s="2" t="s">
        <v>0</v>
      </c>
      <c r="C854" s="2" t="s">
        <v>1303</v>
      </c>
      <c r="D854" s="2" t="s">
        <v>1385</v>
      </c>
      <c r="E854" s="2">
        <v>200</v>
      </c>
      <c r="F854" s="2">
        <v>1.9300000000000001E-2</v>
      </c>
      <c r="G854" s="2">
        <v>1.11E-2</v>
      </c>
      <c r="H854" s="4">
        <f t="shared" si="86"/>
        <v>0.42487046632124353</v>
      </c>
      <c r="I854" s="2" t="s">
        <v>73</v>
      </c>
      <c r="J854" s="2" t="s">
        <v>1316</v>
      </c>
      <c r="K854" s="2" t="s">
        <v>1382</v>
      </c>
      <c r="L854" s="2" t="s">
        <v>6</v>
      </c>
      <c r="M854" s="163">
        <f t="shared" si="99"/>
        <v>4</v>
      </c>
      <c r="N854" s="163">
        <v>50</v>
      </c>
      <c r="O854" s="2">
        <v>24</v>
      </c>
      <c r="P854" s="6">
        <f>187.244582043344*500/200</f>
        <v>468.11145510836002</v>
      </c>
      <c r="Q854" s="131">
        <v>5.2</v>
      </c>
      <c r="R854" s="33">
        <f t="shared" si="87"/>
        <v>664.61538461538464</v>
      </c>
      <c r="S854" s="132">
        <f t="shared" si="88"/>
        <v>83.07692307692308</v>
      </c>
      <c r="T854" s="132">
        <f t="shared" si="89"/>
        <v>83.07692307692308</v>
      </c>
      <c r="U854" s="28">
        <f t="shared" si="95"/>
        <v>1.5046296296296295</v>
      </c>
      <c r="V854" s="28">
        <f t="shared" si="97"/>
        <v>1.7701525054466229</v>
      </c>
      <c r="W854" s="15">
        <f t="shared" si="91"/>
        <v>0.86687306501548156</v>
      </c>
      <c r="X854" s="16"/>
      <c r="Y854" s="162">
        <f t="shared" si="96"/>
        <v>0</v>
      </c>
      <c r="Z854" s="5">
        <f t="shared" si="92"/>
        <v>540</v>
      </c>
      <c r="AA854" s="5"/>
      <c r="AB854" s="5"/>
      <c r="AC854" s="5"/>
      <c r="AD854" s="29">
        <v>6</v>
      </c>
      <c r="AG854" s="20">
        <v>0.86687306501547989</v>
      </c>
      <c r="AI854" s="20"/>
    </row>
    <row r="855" spans="1:35" x14ac:dyDescent="0.3">
      <c r="A855" s="23">
        <v>1985</v>
      </c>
      <c r="B855" s="2" t="s">
        <v>0</v>
      </c>
      <c r="C855" s="2" t="s">
        <v>1303</v>
      </c>
      <c r="D855" s="2" t="s">
        <v>1386</v>
      </c>
      <c r="E855" s="2">
        <v>200</v>
      </c>
      <c r="F855" s="2">
        <v>2.3800000000000002E-2</v>
      </c>
      <c r="G855" s="2">
        <v>1.3899999999999999E-2</v>
      </c>
      <c r="H855" s="91">
        <f t="shared" si="86"/>
        <v>0.41596638655462193</v>
      </c>
      <c r="I855" s="2" t="s">
        <v>73</v>
      </c>
      <c r="J855" s="2" t="s">
        <v>1313</v>
      </c>
      <c r="K855" s="2" t="s">
        <v>1382</v>
      </c>
      <c r="L855" s="2" t="s">
        <v>6</v>
      </c>
      <c r="M855" s="163">
        <f t="shared" si="99"/>
        <v>4</v>
      </c>
      <c r="N855" s="163">
        <v>50</v>
      </c>
      <c r="O855" s="2">
        <v>24</v>
      </c>
      <c r="P855" s="6">
        <f>180*500/200</f>
        <v>450</v>
      </c>
      <c r="Q855" s="131">
        <v>5.2</v>
      </c>
      <c r="R855" s="33">
        <f t="shared" si="87"/>
        <v>664.61538461538464</v>
      </c>
      <c r="S855" s="132">
        <f t="shared" si="88"/>
        <v>83.07692307692308</v>
      </c>
      <c r="T855" s="132">
        <f t="shared" si="89"/>
        <v>83.07692307692308</v>
      </c>
      <c r="U855" s="28">
        <f t="shared" si="95"/>
        <v>1.5046296296296295</v>
      </c>
      <c r="V855" s="28">
        <f t="shared" si="97"/>
        <v>1.7701525054466229</v>
      </c>
      <c r="W855" s="15">
        <f t="shared" si="91"/>
        <v>0.83333333333333337</v>
      </c>
      <c r="X855" s="16">
        <v>116</v>
      </c>
      <c r="Y855" s="162">
        <f t="shared" si="96"/>
        <v>0.21481481481481482</v>
      </c>
      <c r="Z855" s="5">
        <f t="shared" si="92"/>
        <v>540</v>
      </c>
      <c r="AA855" s="5"/>
      <c r="AB855" s="5"/>
      <c r="AC855" s="5"/>
      <c r="AD855" s="29">
        <v>6</v>
      </c>
      <c r="AG855" s="20">
        <v>0.76080246913580241</v>
      </c>
      <c r="AI855" s="20">
        <f t="shared" ref="AI855:AI857" si="100">X855/Z855</f>
        <v>0.21481481481481482</v>
      </c>
    </row>
    <row r="856" spans="1:35" x14ac:dyDescent="0.3">
      <c r="A856" s="23">
        <v>1983</v>
      </c>
      <c r="B856" s="2" t="s">
        <v>0</v>
      </c>
      <c r="C856" s="2" t="s">
        <v>1303</v>
      </c>
      <c r="D856" s="2" t="s">
        <v>1387</v>
      </c>
      <c r="E856" s="2">
        <v>200</v>
      </c>
      <c r="F856" s="2">
        <v>1.7000000000000001E-2</v>
      </c>
      <c r="G856" s="2">
        <v>0.01</v>
      </c>
      <c r="H856" s="4">
        <f t="shared" si="86"/>
        <v>0.41176470588235298</v>
      </c>
      <c r="I856" s="2" t="s">
        <v>73</v>
      </c>
      <c r="J856" s="2" t="s">
        <v>1305</v>
      </c>
      <c r="K856" s="2" t="s">
        <v>1382</v>
      </c>
      <c r="L856" s="2" t="s">
        <v>6</v>
      </c>
      <c r="M856" s="163">
        <f t="shared" si="99"/>
        <v>4</v>
      </c>
      <c r="N856" s="163">
        <v>50</v>
      </c>
      <c r="O856" s="2">
        <v>24</v>
      </c>
      <c r="P856" s="6">
        <f>180*500/200</f>
        <v>450</v>
      </c>
      <c r="Q856" s="131">
        <v>5.2</v>
      </c>
      <c r="R856" s="33">
        <f t="shared" si="87"/>
        <v>664.61538461538464</v>
      </c>
      <c r="S856" s="132">
        <f t="shared" si="88"/>
        <v>83.07692307692308</v>
      </c>
      <c r="T856" s="132">
        <f t="shared" si="89"/>
        <v>83.07692307692308</v>
      </c>
      <c r="U856" s="28">
        <f t="shared" si="95"/>
        <v>1.5046296296296295</v>
      </c>
      <c r="V856" s="28">
        <f t="shared" si="97"/>
        <v>1.7701525054466229</v>
      </c>
      <c r="W856" s="15">
        <f t="shared" si="91"/>
        <v>0.83333333333333337</v>
      </c>
      <c r="X856" s="16">
        <v>125</v>
      </c>
      <c r="Y856" s="162">
        <f t="shared" si="96"/>
        <v>0.23148148148148148</v>
      </c>
      <c r="Z856" s="5">
        <f t="shared" si="92"/>
        <v>540</v>
      </c>
      <c r="AA856" s="5"/>
      <c r="AB856" s="5"/>
      <c r="AC856" s="5"/>
      <c r="AD856" s="29">
        <v>6</v>
      </c>
      <c r="AG856" s="20">
        <v>0.83333333333333337</v>
      </c>
      <c r="AI856" s="20">
        <f t="shared" si="100"/>
        <v>0.23148148148148148</v>
      </c>
    </row>
    <row r="857" spans="1:35" x14ac:dyDescent="0.3">
      <c r="A857" s="23">
        <v>1984</v>
      </c>
      <c r="B857" s="2" t="s">
        <v>0</v>
      </c>
      <c r="C857" s="2" t="s">
        <v>1303</v>
      </c>
      <c r="D857" s="2" t="s">
        <v>1388</v>
      </c>
      <c r="E857" s="2">
        <v>200</v>
      </c>
      <c r="F857" s="2">
        <v>1.8700000000000001E-2</v>
      </c>
      <c r="G857" s="2">
        <v>1.1299999999999999E-2</v>
      </c>
      <c r="H857" s="4">
        <f t="shared" si="86"/>
        <v>0.39572192513368992</v>
      </c>
      <c r="I857" s="2" t="s">
        <v>73</v>
      </c>
      <c r="J857" s="2" t="s">
        <v>1310</v>
      </c>
      <c r="K857" s="2" t="s">
        <v>1382</v>
      </c>
      <c r="L857" s="2" t="s">
        <v>6</v>
      </c>
      <c r="M857" s="163">
        <f t="shared" si="99"/>
        <v>4</v>
      </c>
      <c r="N857" s="163">
        <v>50</v>
      </c>
      <c r="O857" s="2">
        <v>24</v>
      </c>
      <c r="P857" s="6">
        <f>180*500/200</f>
        <v>450</v>
      </c>
      <c r="Q857" s="131">
        <v>5.2</v>
      </c>
      <c r="R857" s="33">
        <f t="shared" si="87"/>
        <v>664.61538461538464</v>
      </c>
      <c r="S857" s="132">
        <f t="shared" si="88"/>
        <v>83.07692307692308</v>
      </c>
      <c r="T857" s="132">
        <f t="shared" si="89"/>
        <v>83.07692307692308</v>
      </c>
      <c r="U857" s="28">
        <f t="shared" si="95"/>
        <v>1.5046296296296295</v>
      </c>
      <c r="V857" s="28">
        <f t="shared" si="97"/>
        <v>1.7701525054466229</v>
      </c>
      <c r="W857" s="15">
        <f t="shared" si="91"/>
        <v>0.83333333333333337</v>
      </c>
      <c r="X857" s="16">
        <v>120</v>
      </c>
      <c r="Y857" s="162">
        <f t="shared" si="96"/>
        <v>0.22222222222222221</v>
      </c>
      <c r="Z857" s="5">
        <f t="shared" si="92"/>
        <v>540</v>
      </c>
      <c r="AA857" s="5"/>
      <c r="AB857" s="5"/>
      <c r="AC857" s="5"/>
      <c r="AD857" s="29">
        <v>6</v>
      </c>
      <c r="AG857" s="20">
        <v>0.81944444444444442</v>
      </c>
      <c r="AI857" s="20">
        <f t="shared" si="100"/>
        <v>0.22222222222222221</v>
      </c>
    </row>
    <row r="858" spans="1:35" x14ac:dyDescent="0.3">
      <c r="P858" s="5">
        <f>1000/110</f>
        <v>9.0909090909090917</v>
      </c>
    </row>
    <row r="860" spans="1:35" x14ac:dyDescent="0.3">
      <c r="A860" s="2" t="s">
        <v>1389</v>
      </c>
      <c r="B860" s="2" t="s">
        <v>24</v>
      </c>
      <c r="C860" s="2" t="s">
        <v>25</v>
      </c>
      <c r="D860" s="2" t="s">
        <v>26</v>
      </c>
      <c r="E860" s="2" t="s">
        <v>27</v>
      </c>
      <c r="F860" s="2" t="s">
        <v>28</v>
      </c>
      <c r="G860" s="2" t="s">
        <v>29</v>
      </c>
      <c r="P860" s="1"/>
    </row>
    <row r="861" spans="1:35" x14ac:dyDescent="0.3">
      <c r="A861" s="2">
        <v>692</v>
      </c>
      <c r="B861" s="2" t="s">
        <v>0</v>
      </c>
      <c r="C861" s="2" t="s">
        <v>1303</v>
      </c>
      <c r="D861" s="2" t="s">
        <v>1304</v>
      </c>
      <c r="E861" s="2">
        <v>500</v>
      </c>
      <c r="F861" s="2">
        <v>1.7000000000000001E-2</v>
      </c>
      <c r="G861" s="103">
        <v>0.01</v>
      </c>
      <c r="I861" s="31"/>
      <c r="S861" s="5" t="s">
        <v>1390</v>
      </c>
    </row>
    <row r="862" spans="1:35" x14ac:dyDescent="0.3">
      <c r="A862" s="2">
        <v>693</v>
      </c>
      <c r="B862" s="2" t="s">
        <v>0</v>
      </c>
      <c r="C862" s="2" t="s">
        <v>1303</v>
      </c>
      <c r="D862" s="2" t="s">
        <v>1309</v>
      </c>
      <c r="E862" s="2">
        <v>500</v>
      </c>
      <c r="F862" s="2">
        <v>1.8700000000000001E-2</v>
      </c>
      <c r="G862" s="103">
        <v>1.1299999999999999E-2</v>
      </c>
    </row>
    <row r="863" spans="1:35" x14ac:dyDescent="0.3">
      <c r="A863" s="2">
        <v>694</v>
      </c>
      <c r="B863" s="2" t="s">
        <v>0</v>
      </c>
      <c r="C863" s="2" t="s">
        <v>1303</v>
      </c>
      <c r="D863" s="2" t="s">
        <v>1312</v>
      </c>
      <c r="E863" s="2">
        <v>500</v>
      </c>
      <c r="F863" s="2">
        <v>2.3800000000000002E-2</v>
      </c>
      <c r="G863" s="103">
        <v>1.3899999999999999E-2</v>
      </c>
      <c r="S863" s="5" t="s">
        <v>1391</v>
      </c>
    </row>
    <row r="864" spans="1:35" x14ac:dyDescent="0.3">
      <c r="G864" s="92"/>
    </row>
    <row r="865" spans="1:57" x14ac:dyDescent="0.3">
      <c r="A865" s="2">
        <v>1924</v>
      </c>
      <c r="B865" s="2" t="s">
        <v>0</v>
      </c>
      <c r="C865" s="2" t="s">
        <v>1303</v>
      </c>
      <c r="D865" s="2" t="s">
        <v>1378</v>
      </c>
      <c r="E865" s="2">
        <v>500</v>
      </c>
      <c r="F865" s="2">
        <v>1.9300000000000001E-2</v>
      </c>
      <c r="G865" s="103">
        <v>1.11E-2</v>
      </c>
    </row>
    <row r="866" spans="1:57" x14ac:dyDescent="0.3">
      <c r="A866" s="2">
        <v>1925</v>
      </c>
      <c r="B866" s="2" t="s">
        <v>0</v>
      </c>
      <c r="C866" s="2" t="s">
        <v>1303</v>
      </c>
      <c r="D866" s="2" t="s">
        <v>1379</v>
      </c>
      <c r="E866" s="2">
        <v>500</v>
      </c>
      <c r="F866" s="2">
        <v>2.2100000000000002E-2</v>
      </c>
      <c r="G866" s="103">
        <v>1.2999999999999999E-2</v>
      </c>
    </row>
    <row r="867" spans="1:57" x14ac:dyDescent="0.3">
      <c r="A867" s="2">
        <v>1926</v>
      </c>
      <c r="B867" s="2" t="s">
        <v>0</v>
      </c>
      <c r="C867" s="2" t="s">
        <v>1303</v>
      </c>
      <c r="D867" s="2" t="s">
        <v>1383</v>
      </c>
      <c r="E867" s="2">
        <v>500</v>
      </c>
      <c r="F867" s="2">
        <v>2.6599999999999999E-2</v>
      </c>
      <c r="G867" s="103">
        <v>1.47E-2</v>
      </c>
      <c r="Q867"/>
      <c r="R867"/>
      <c r="S867"/>
      <c r="T867"/>
      <c r="V867"/>
      <c r="BE867"/>
    </row>
    <row r="1048575" spans="10:11" x14ac:dyDescent="0.3">
      <c r="J1048575">
        <f>15.8</f>
        <v>15.8</v>
      </c>
      <c r="K1048575">
        <v>250</v>
      </c>
    </row>
    <row r="1048576" spans="10:11" x14ac:dyDescent="0.3">
      <c r="J1048576">
        <v>10</v>
      </c>
      <c r="K1048576">
        <f>K1048575*J1048576/J1048575</f>
        <v>158.22784810126581</v>
      </c>
    </row>
  </sheetData>
  <autoFilter ref="A250:CG811" xr:uid="{F322AE4B-4842-43CB-BD1D-0450F2317926}"/>
  <conditionalFormatting sqref="R4:R244 R813:R857">
    <cfRule type="expression" dxfId="0" priority="1">
      <formula>R4&lt;P4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5564-33E4-424E-9398-BD35C6009FEF}">
  <sheetPr codeName="Hoja2"/>
  <dimension ref="A1:H22"/>
  <sheetViews>
    <sheetView zoomScale="90" zoomScaleNormal="90" workbookViewId="0">
      <selection activeCell="B1" sqref="B1"/>
    </sheetView>
  </sheetViews>
  <sheetFormatPr defaultColWidth="11.44140625" defaultRowHeight="14.4" x14ac:dyDescent="0.3"/>
  <cols>
    <col min="1" max="1" width="11.6640625" style="35" bestFit="1" customWidth="1"/>
    <col min="2" max="2" width="30" bestFit="1" customWidth="1"/>
    <col min="4" max="4" width="12.5546875" bestFit="1" customWidth="1"/>
    <col min="5" max="5" width="14" bestFit="1" customWidth="1"/>
    <col min="6" max="6" width="40" bestFit="1" customWidth="1"/>
  </cols>
  <sheetData>
    <row r="1" spans="1:8" x14ac:dyDescent="0.3">
      <c r="A1" s="2" t="s">
        <v>1393</v>
      </c>
      <c r="B1" s="2" t="s">
        <v>1394</v>
      </c>
      <c r="C1" s="2" t="s">
        <v>1395</v>
      </c>
      <c r="D1" s="2" t="s">
        <v>1396</v>
      </c>
      <c r="E1" s="2" t="s">
        <v>1397</v>
      </c>
      <c r="F1" s="2" t="s">
        <v>1398</v>
      </c>
      <c r="G1" s="37" t="s">
        <v>37</v>
      </c>
      <c r="H1" s="37" t="s">
        <v>1399</v>
      </c>
    </row>
    <row r="2" spans="1:8" x14ac:dyDescent="0.3">
      <c r="A2" s="37">
        <v>692</v>
      </c>
      <c r="B2" s="2" t="s">
        <v>1304</v>
      </c>
      <c r="C2" s="2">
        <v>500</v>
      </c>
      <c r="D2" s="2">
        <v>1.7000000000000001E-2</v>
      </c>
      <c r="E2" s="2">
        <v>0.01</v>
      </c>
      <c r="F2" s="37" t="s">
        <v>1305</v>
      </c>
      <c r="G2" s="37">
        <v>24</v>
      </c>
      <c r="H2" s="38">
        <v>6</v>
      </c>
    </row>
    <row r="3" spans="1:8" x14ac:dyDescent="0.3">
      <c r="A3" s="37">
        <v>1924</v>
      </c>
      <c r="B3" s="2" t="s">
        <v>1378</v>
      </c>
      <c r="C3" s="2">
        <v>500</v>
      </c>
      <c r="D3" s="2">
        <v>1.9300000000000001E-2</v>
      </c>
      <c r="E3" s="2">
        <v>1.11E-2</v>
      </c>
      <c r="F3" s="37" t="s">
        <v>1316</v>
      </c>
      <c r="G3" s="37">
        <v>24</v>
      </c>
      <c r="H3" s="38">
        <v>6</v>
      </c>
    </row>
    <row r="4" spans="1:8" x14ac:dyDescent="0.3">
      <c r="A4" s="37">
        <v>693</v>
      </c>
      <c r="B4" s="2" t="s">
        <v>1309</v>
      </c>
      <c r="C4" s="2">
        <v>500</v>
      </c>
      <c r="D4" s="2">
        <v>1.8700000000000001E-2</v>
      </c>
      <c r="E4" s="2">
        <v>1.1299999999999999E-2</v>
      </c>
      <c r="F4" s="37" t="s">
        <v>1310</v>
      </c>
      <c r="G4" s="37">
        <v>24</v>
      </c>
      <c r="H4" s="38">
        <v>6</v>
      </c>
    </row>
    <row r="5" spans="1:8" x14ac:dyDescent="0.3">
      <c r="A5" s="37">
        <v>1925</v>
      </c>
      <c r="B5" s="2" t="s">
        <v>1379</v>
      </c>
      <c r="C5" s="2">
        <v>500</v>
      </c>
      <c r="D5" s="2">
        <v>2.2100000000000002E-2</v>
      </c>
      <c r="E5" s="2">
        <v>1.2999999999999999E-2</v>
      </c>
      <c r="F5" s="37" t="s">
        <v>1318</v>
      </c>
      <c r="G5" s="37">
        <v>24</v>
      </c>
      <c r="H5" s="38">
        <v>6</v>
      </c>
    </row>
    <row r="6" spans="1:8" x14ac:dyDescent="0.3">
      <c r="A6" s="37">
        <v>694</v>
      </c>
      <c r="B6" s="2" t="s">
        <v>1312</v>
      </c>
      <c r="C6" s="2">
        <v>500</v>
      </c>
      <c r="D6" s="2">
        <v>2.3800000000000002E-2</v>
      </c>
      <c r="E6" s="2">
        <v>1.3899999999999999E-2</v>
      </c>
      <c r="F6" s="37" t="s">
        <v>1313</v>
      </c>
      <c r="G6" s="37">
        <v>24</v>
      </c>
      <c r="H6" s="38">
        <v>6</v>
      </c>
    </row>
    <row r="7" spans="1:8" x14ac:dyDescent="0.3">
      <c r="A7" s="37">
        <v>1926</v>
      </c>
      <c r="B7" s="2" t="s">
        <v>1383</v>
      </c>
      <c r="C7" s="2">
        <v>500</v>
      </c>
      <c r="D7" s="2">
        <v>2.6599999999999999E-2</v>
      </c>
      <c r="E7" s="2">
        <v>1.47E-2</v>
      </c>
      <c r="F7" s="37" t="s">
        <v>568</v>
      </c>
      <c r="G7" s="37">
        <v>24</v>
      </c>
      <c r="H7" s="38">
        <v>6</v>
      </c>
    </row>
    <row r="8" spans="1:8" x14ac:dyDescent="0.3">
      <c r="A8" s="37"/>
      <c r="B8" s="2"/>
      <c r="C8" s="2"/>
      <c r="D8" s="2"/>
      <c r="E8" s="2"/>
      <c r="F8" s="37"/>
      <c r="G8" s="37"/>
      <c r="H8" s="38"/>
    </row>
    <row r="9" spans="1:8" x14ac:dyDescent="0.3">
      <c r="A9" s="37">
        <v>1759</v>
      </c>
      <c r="B9" s="2" t="s">
        <v>1334</v>
      </c>
      <c r="C9" s="2">
        <v>720</v>
      </c>
      <c r="D9" s="2">
        <v>1.67E-2</v>
      </c>
      <c r="E9" s="2">
        <v>1.2E-2</v>
      </c>
      <c r="F9" s="37" t="s">
        <v>1323</v>
      </c>
      <c r="G9" s="37">
        <v>24</v>
      </c>
      <c r="H9" s="38">
        <v>6.6</v>
      </c>
    </row>
    <row r="10" spans="1:8" x14ac:dyDescent="0.3">
      <c r="A10" s="37">
        <v>1009</v>
      </c>
      <c r="B10" s="2" t="s">
        <v>1322</v>
      </c>
      <c r="C10" s="2">
        <v>720</v>
      </c>
      <c r="D10" s="2">
        <v>1.84E-2</v>
      </c>
      <c r="E10" s="2">
        <v>1.2E-2</v>
      </c>
      <c r="F10" s="37" t="s">
        <v>1323</v>
      </c>
      <c r="G10" s="37">
        <v>24</v>
      </c>
      <c r="H10" s="38">
        <v>6.6</v>
      </c>
    </row>
    <row r="11" spans="1:8" x14ac:dyDescent="0.3">
      <c r="A11" s="37">
        <v>1010</v>
      </c>
      <c r="B11" s="2" t="s">
        <v>1326</v>
      </c>
      <c r="C11" s="2">
        <v>720</v>
      </c>
      <c r="D11" s="2">
        <v>1.67E-2</v>
      </c>
      <c r="E11" s="2">
        <v>1.2E-2</v>
      </c>
      <c r="F11" s="37" t="s">
        <v>1323</v>
      </c>
      <c r="G11" s="37">
        <v>24</v>
      </c>
      <c r="H11" s="38">
        <v>6.6</v>
      </c>
    </row>
    <row r="12" spans="1:8" x14ac:dyDescent="0.3">
      <c r="A12" s="37">
        <v>1011</v>
      </c>
      <c r="B12" s="2" t="s">
        <v>1328</v>
      </c>
      <c r="C12" s="2">
        <v>720</v>
      </c>
      <c r="D12" s="2">
        <v>1.84E-2</v>
      </c>
      <c r="E12" s="2">
        <v>1.2E-2</v>
      </c>
      <c r="F12" s="37" t="s">
        <v>1323</v>
      </c>
      <c r="G12" s="37">
        <v>24</v>
      </c>
      <c r="H12" s="38">
        <v>6.6</v>
      </c>
    </row>
    <row r="13" spans="1:8" x14ac:dyDescent="0.3">
      <c r="A13" s="37">
        <v>1012</v>
      </c>
      <c r="B13" s="2" t="s">
        <v>1330</v>
      </c>
      <c r="C13" s="2">
        <v>720</v>
      </c>
      <c r="D13" s="2">
        <v>1.67E-2</v>
      </c>
      <c r="E13" s="2">
        <v>1.2E-2</v>
      </c>
      <c r="F13" s="37" t="s">
        <v>1323</v>
      </c>
      <c r="G13" s="37">
        <v>24</v>
      </c>
      <c r="H13" s="38">
        <v>6.6</v>
      </c>
    </row>
    <row r="14" spans="1:8" x14ac:dyDescent="0.3">
      <c r="A14" s="37">
        <v>1013</v>
      </c>
      <c r="B14" s="2" t="s">
        <v>1331</v>
      </c>
      <c r="C14" s="2">
        <v>720</v>
      </c>
      <c r="D14" s="2">
        <v>1.84E-2</v>
      </c>
      <c r="E14" s="2">
        <v>1.2E-2</v>
      </c>
      <c r="F14" s="37" t="s">
        <v>1323</v>
      </c>
      <c r="G14" s="37">
        <v>24</v>
      </c>
      <c r="H14" s="38">
        <v>6.6</v>
      </c>
    </row>
    <row r="15" spans="1:8" x14ac:dyDescent="0.3">
      <c r="A15" s="37">
        <v>1014</v>
      </c>
      <c r="B15" s="2" t="s">
        <v>1332</v>
      </c>
      <c r="C15" s="2">
        <v>400</v>
      </c>
      <c r="D15" s="2">
        <v>3.8199999999999998E-2</v>
      </c>
      <c r="E15" s="2">
        <v>2.87E-2</v>
      </c>
      <c r="F15" s="37" t="s">
        <v>1333</v>
      </c>
      <c r="G15" s="37">
        <v>15</v>
      </c>
      <c r="H15" s="38">
        <v>11</v>
      </c>
    </row>
    <row r="16" spans="1:8" x14ac:dyDescent="0.3">
      <c r="A16" s="37">
        <v>1008</v>
      </c>
      <c r="B16" s="2" t="s">
        <v>1320</v>
      </c>
      <c r="C16" s="2">
        <v>400</v>
      </c>
      <c r="D16" s="2">
        <v>4.1599999999999998E-2</v>
      </c>
      <c r="E16" s="2">
        <v>3.2300000000000002E-2</v>
      </c>
      <c r="F16" s="37" t="s">
        <v>1321</v>
      </c>
      <c r="G16" s="37">
        <v>15</v>
      </c>
      <c r="H16" s="38">
        <v>7.6</v>
      </c>
    </row>
    <row r="17" spans="1:8" x14ac:dyDescent="0.3">
      <c r="A17" s="37"/>
      <c r="B17" s="2"/>
      <c r="C17" s="2"/>
      <c r="D17" s="2"/>
      <c r="E17" s="2"/>
      <c r="F17" s="37"/>
      <c r="G17" s="37"/>
      <c r="H17" s="38"/>
    </row>
    <row r="18" spans="1:8" x14ac:dyDescent="0.3">
      <c r="A18" s="37">
        <v>1845</v>
      </c>
      <c r="B18" s="2" t="s">
        <v>1339</v>
      </c>
      <c r="C18" s="2">
        <v>500</v>
      </c>
      <c r="D18" s="2">
        <v>1.4500000000000001E-2</v>
      </c>
      <c r="E18" s="2">
        <v>8.5000000000000006E-3</v>
      </c>
      <c r="F18" s="37" t="s">
        <v>1340</v>
      </c>
      <c r="G18" s="37">
        <v>36</v>
      </c>
      <c r="H18" s="38">
        <v>11.8</v>
      </c>
    </row>
    <row r="19" spans="1:8" x14ac:dyDescent="0.3">
      <c r="A19" s="37">
        <v>1846</v>
      </c>
      <c r="B19" s="2" t="s">
        <v>1343</v>
      </c>
      <c r="C19" s="2">
        <v>500</v>
      </c>
      <c r="D19" s="2">
        <v>1.77E-2</v>
      </c>
      <c r="E19" s="2">
        <v>1.2E-2</v>
      </c>
      <c r="F19" s="37" t="s">
        <v>1344</v>
      </c>
      <c r="G19" s="37">
        <v>36</v>
      </c>
      <c r="H19" s="38">
        <v>11.8</v>
      </c>
    </row>
    <row r="20" spans="1:8" x14ac:dyDescent="0.3">
      <c r="A20" s="37">
        <v>1847</v>
      </c>
      <c r="B20" s="2" t="s">
        <v>1345</v>
      </c>
      <c r="C20" s="2">
        <v>500</v>
      </c>
      <c r="D20" s="2">
        <v>1.9300000000000001E-2</v>
      </c>
      <c r="E20" s="2">
        <v>1.4E-2</v>
      </c>
      <c r="F20" s="37" t="s">
        <v>1346</v>
      </c>
      <c r="G20" s="37">
        <v>36</v>
      </c>
      <c r="H20" s="38">
        <v>12.4</v>
      </c>
    </row>
    <row r="21" spans="1:8" x14ac:dyDescent="0.3">
      <c r="A21" s="37">
        <v>1848</v>
      </c>
      <c r="B21" s="2" t="s">
        <v>1349</v>
      </c>
      <c r="C21" s="2">
        <v>500</v>
      </c>
      <c r="D21" s="2">
        <v>2.58E-2</v>
      </c>
      <c r="E21" s="2">
        <v>2.1000000000000001E-2</v>
      </c>
      <c r="F21" s="37" t="s">
        <v>1350</v>
      </c>
      <c r="G21" s="37">
        <v>36</v>
      </c>
      <c r="H21" s="38">
        <v>12.6</v>
      </c>
    </row>
    <row r="22" spans="1:8" x14ac:dyDescent="0.3">
      <c r="A22" s="37">
        <v>1844</v>
      </c>
      <c r="B22" s="2" t="s">
        <v>1335</v>
      </c>
      <c r="C22" s="2">
        <v>500</v>
      </c>
      <c r="D22" s="2">
        <v>1.1900000000000001E-2</v>
      </c>
      <c r="E22" s="2">
        <v>7.0000000000000001E-3</v>
      </c>
      <c r="F22" s="37" t="s">
        <v>1336</v>
      </c>
      <c r="G22" s="37">
        <v>42</v>
      </c>
      <c r="H22" s="38">
        <v>16.600000000000001</v>
      </c>
    </row>
  </sheetData>
  <sortState xmlns:xlrd2="http://schemas.microsoft.com/office/spreadsheetml/2017/richdata2" ref="A2:I22">
    <sortCondition ref="B2:B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04DE-CAF4-4CED-BD7F-CACF623387E8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77B7-A444-49E7-BEBD-50DF48E14634}">
  <sheetPr codeName="Hoja3"/>
  <dimension ref="A1:O25"/>
  <sheetViews>
    <sheetView workbookViewId="0">
      <selection activeCell="C14" sqref="C14"/>
    </sheetView>
  </sheetViews>
  <sheetFormatPr defaultColWidth="11.44140625" defaultRowHeight="14.4" x14ac:dyDescent="0.3"/>
  <cols>
    <col min="5" max="5" width="10.44140625" customWidth="1"/>
    <col min="6" max="6" width="19.6640625" bestFit="1" customWidth="1"/>
    <col min="8" max="8" width="20.6640625" bestFit="1" customWidth="1"/>
    <col min="10" max="10" width="18.88671875" bestFit="1" customWidth="1"/>
    <col min="12" max="12" width="17.109375" bestFit="1" customWidth="1"/>
    <col min="14" max="14" width="9.5546875" bestFit="1" customWidth="1"/>
  </cols>
  <sheetData>
    <row r="1" spans="1:15" ht="43.2" x14ac:dyDescent="0.3">
      <c r="A1" s="2" t="s">
        <v>1389</v>
      </c>
      <c r="B1" s="2" t="s">
        <v>26</v>
      </c>
      <c r="C1" s="2" t="s">
        <v>27</v>
      </c>
      <c r="D1" s="2" t="s">
        <v>28</v>
      </c>
      <c r="E1" s="2" t="s">
        <v>29</v>
      </c>
      <c r="F1" s="3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37</v>
      </c>
      <c r="L1" s="33" t="s">
        <v>1400</v>
      </c>
      <c r="N1" s="32" t="s">
        <v>1401</v>
      </c>
      <c r="O1" s="29"/>
    </row>
    <row r="2" spans="1:15" x14ac:dyDescent="0.3">
      <c r="A2">
        <v>692</v>
      </c>
      <c r="B2" t="s">
        <v>1304</v>
      </c>
      <c r="C2">
        <v>500</v>
      </c>
      <c r="D2">
        <v>1.7000000000000001E-2</v>
      </c>
      <c r="E2">
        <v>0.01</v>
      </c>
      <c r="F2" s="20">
        <v>0.41176470588235298</v>
      </c>
      <c r="G2" t="s">
        <v>73</v>
      </c>
      <c r="H2" t="s">
        <v>1305</v>
      </c>
      <c r="I2" t="s">
        <v>1306</v>
      </c>
      <c r="J2" t="s">
        <v>1402</v>
      </c>
      <c r="K2">
        <v>24</v>
      </c>
      <c r="L2" s="29">
        <v>180</v>
      </c>
      <c r="O2" s="29"/>
    </row>
    <row r="3" spans="1:15" x14ac:dyDescent="0.3">
      <c r="A3">
        <v>693</v>
      </c>
      <c r="B3" t="s">
        <v>1309</v>
      </c>
      <c r="C3">
        <v>500</v>
      </c>
      <c r="D3">
        <v>1.8700000000000001E-2</v>
      </c>
      <c r="E3">
        <v>1.1299999999999999E-2</v>
      </c>
      <c r="F3" s="20">
        <v>0.39572192513368992</v>
      </c>
      <c r="G3" t="s">
        <v>73</v>
      </c>
      <c r="H3" t="s">
        <v>1310</v>
      </c>
      <c r="I3" t="s">
        <v>1306</v>
      </c>
      <c r="J3" t="s">
        <v>1402</v>
      </c>
      <c r="K3">
        <v>24</v>
      </c>
      <c r="L3" s="29">
        <v>180</v>
      </c>
      <c r="N3">
        <v>1.112E-2</v>
      </c>
      <c r="O3" s="34">
        <f>N3/E3-1</f>
        <v>-1.5929203539822967E-2</v>
      </c>
    </row>
    <row r="4" spans="1:15" x14ac:dyDescent="0.3">
      <c r="A4">
        <v>694</v>
      </c>
      <c r="B4" t="s">
        <v>1312</v>
      </c>
      <c r="C4">
        <v>500</v>
      </c>
      <c r="D4">
        <v>2.3800000000000002E-2</v>
      </c>
      <c r="E4">
        <v>1.3899999999999999E-2</v>
      </c>
      <c r="F4" s="20">
        <v>0.41596638655462193</v>
      </c>
      <c r="G4" t="s">
        <v>73</v>
      </c>
      <c r="H4" t="s">
        <v>1313</v>
      </c>
      <c r="I4" t="s">
        <v>1306</v>
      </c>
      <c r="J4" t="s">
        <v>1402</v>
      </c>
      <c r="K4">
        <v>24</v>
      </c>
      <c r="L4" s="29">
        <v>170</v>
      </c>
      <c r="N4">
        <f>13.975/1000</f>
        <v>1.3975E-2</v>
      </c>
      <c r="O4" s="34">
        <f>N4/E4-1</f>
        <v>5.3956834532373765E-3</v>
      </c>
    </row>
    <row r="5" spans="1:15" x14ac:dyDescent="0.3">
      <c r="A5">
        <v>867</v>
      </c>
      <c r="B5" t="s">
        <v>1383</v>
      </c>
      <c r="C5">
        <v>800</v>
      </c>
      <c r="D5">
        <v>2.6599999999999999E-2</v>
      </c>
      <c r="E5">
        <v>1.47E-2</v>
      </c>
      <c r="F5" s="20">
        <v>0.44736842105263158</v>
      </c>
      <c r="G5" t="s">
        <v>73</v>
      </c>
      <c r="H5" t="s">
        <v>568</v>
      </c>
      <c r="I5" t="s">
        <v>213</v>
      </c>
      <c r="J5" t="s">
        <v>76</v>
      </c>
      <c r="K5">
        <v>24</v>
      </c>
      <c r="L5" s="29">
        <v>113</v>
      </c>
      <c r="O5" s="29"/>
    </row>
    <row r="6" spans="1:15" x14ac:dyDescent="0.3">
      <c r="A6">
        <v>1844</v>
      </c>
      <c r="B6" t="s">
        <v>1335</v>
      </c>
      <c r="C6">
        <v>500</v>
      </c>
      <c r="D6">
        <v>1.1900000000000001E-2</v>
      </c>
      <c r="E6">
        <v>7.0000000000000001E-3</v>
      </c>
      <c r="F6" s="20">
        <v>0.41176470588235298</v>
      </c>
      <c r="G6" t="s">
        <v>73</v>
      </c>
      <c r="H6" t="s">
        <v>1336</v>
      </c>
      <c r="I6" t="s">
        <v>1337</v>
      </c>
      <c r="J6" t="s">
        <v>1338</v>
      </c>
      <c r="K6">
        <v>42</v>
      </c>
      <c r="L6" s="29">
        <v>110</v>
      </c>
      <c r="N6">
        <v>6.8882499999999994E-3</v>
      </c>
      <c r="O6" s="34">
        <f>N6/E6-1</f>
        <v>-1.5964285714285764E-2</v>
      </c>
    </row>
    <row r="7" spans="1:15" x14ac:dyDescent="0.3">
      <c r="A7">
        <v>1845</v>
      </c>
      <c r="B7" t="s">
        <v>1339</v>
      </c>
      <c r="C7">
        <v>500</v>
      </c>
      <c r="D7">
        <v>1.4500000000000001E-2</v>
      </c>
      <c r="E7">
        <v>8.5000000000000006E-3</v>
      </c>
      <c r="F7" s="20">
        <v>0.41379310344827586</v>
      </c>
      <c r="G7" t="s">
        <v>73</v>
      </c>
      <c r="H7" t="s">
        <v>1340</v>
      </c>
      <c r="I7" t="s">
        <v>1341</v>
      </c>
      <c r="J7" t="s">
        <v>1342</v>
      </c>
      <c r="K7">
        <v>36</v>
      </c>
      <c r="L7" s="29">
        <v>120</v>
      </c>
      <c r="O7" s="29"/>
    </row>
    <row r="8" spans="1:15" x14ac:dyDescent="0.3">
      <c r="A8">
        <v>1846</v>
      </c>
      <c r="B8" t="s">
        <v>1343</v>
      </c>
      <c r="C8">
        <v>500</v>
      </c>
      <c r="D8">
        <v>1.77E-2</v>
      </c>
      <c r="E8">
        <v>1.2E-2</v>
      </c>
      <c r="F8" s="20">
        <v>0.32203389830508478</v>
      </c>
      <c r="G8" t="s">
        <v>73</v>
      </c>
      <c r="H8" t="s">
        <v>1344</v>
      </c>
      <c r="I8" t="s">
        <v>1341</v>
      </c>
      <c r="J8" t="s">
        <v>1342</v>
      </c>
      <c r="K8">
        <v>36</v>
      </c>
      <c r="L8" s="29">
        <v>117</v>
      </c>
      <c r="N8">
        <f>12.075/1000</f>
        <v>1.2074999999999999E-2</v>
      </c>
      <c r="O8" s="34">
        <f>N8/E8-1</f>
        <v>6.2499999999998668E-3</v>
      </c>
    </row>
    <row r="9" spans="1:15" x14ac:dyDescent="0.3">
      <c r="A9">
        <v>1847</v>
      </c>
      <c r="B9" t="s">
        <v>1345</v>
      </c>
      <c r="C9">
        <v>500</v>
      </c>
      <c r="D9">
        <v>1.9300000000000001E-2</v>
      </c>
      <c r="E9">
        <v>1.4E-2</v>
      </c>
      <c r="F9" s="20">
        <v>0.2746113989637306</v>
      </c>
      <c r="G9" t="s">
        <v>73</v>
      </c>
      <c r="H9" t="s">
        <v>1346</v>
      </c>
      <c r="I9" t="s">
        <v>1347</v>
      </c>
      <c r="J9" t="s">
        <v>1348</v>
      </c>
      <c r="K9">
        <v>36</v>
      </c>
      <c r="L9" s="29">
        <v>116</v>
      </c>
      <c r="O9" s="29"/>
    </row>
    <row r="10" spans="1:15" x14ac:dyDescent="0.3">
      <c r="A10">
        <v>1848</v>
      </c>
      <c r="B10" t="s">
        <v>1349</v>
      </c>
      <c r="C10">
        <v>500</v>
      </c>
      <c r="D10">
        <v>2.58E-2</v>
      </c>
      <c r="E10">
        <v>2.1000000000000001E-2</v>
      </c>
      <c r="F10" s="20">
        <v>0.18604651162790692</v>
      </c>
      <c r="G10" t="s">
        <v>73</v>
      </c>
      <c r="H10" t="s">
        <v>1350</v>
      </c>
      <c r="I10" t="s">
        <v>1351</v>
      </c>
      <c r="J10" t="s">
        <v>1348</v>
      </c>
      <c r="K10">
        <v>36</v>
      </c>
      <c r="L10" s="29">
        <v>110</v>
      </c>
      <c r="O10" s="34"/>
    </row>
    <row r="16" spans="1:15" ht="18" x14ac:dyDescent="0.35">
      <c r="B16" s="36" t="s">
        <v>1403</v>
      </c>
      <c r="C16" s="36"/>
      <c r="D16" s="36"/>
      <c r="E16" s="36"/>
    </row>
    <row r="17" spans="1:7" ht="28.8" x14ac:dyDescent="0.3">
      <c r="D17" s="35" t="s">
        <v>1404</v>
      </c>
      <c r="E17" s="18" t="s">
        <v>1405</v>
      </c>
    </row>
    <row r="18" spans="1:7" x14ac:dyDescent="0.3">
      <c r="A18">
        <v>867</v>
      </c>
      <c r="B18" t="s">
        <v>1383</v>
      </c>
      <c r="C18" s="35" t="s">
        <v>73</v>
      </c>
      <c r="D18" s="35">
        <v>860</v>
      </c>
      <c r="E18" s="35">
        <v>470</v>
      </c>
      <c r="F18" t="s">
        <v>568</v>
      </c>
      <c r="G18" t="s">
        <v>1406</v>
      </c>
    </row>
    <row r="19" spans="1:7" x14ac:dyDescent="0.3">
      <c r="D19" s="35"/>
      <c r="E19" s="35"/>
    </row>
    <row r="20" spans="1:7" ht="28.8" x14ac:dyDescent="0.3">
      <c r="D20" s="35" t="s">
        <v>1404</v>
      </c>
      <c r="E20" s="18" t="s">
        <v>1405</v>
      </c>
    </row>
    <row r="21" spans="1:7" x14ac:dyDescent="0.3">
      <c r="A21">
        <v>692</v>
      </c>
      <c r="B21" t="s">
        <v>1304</v>
      </c>
      <c r="C21" s="35" t="s">
        <v>73</v>
      </c>
      <c r="D21" s="35">
        <v>860</v>
      </c>
      <c r="E21" s="35">
        <v>300</v>
      </c>
      <c r="F21" t="s">
        <v>1305</v>
      </c>
      <c r="G21" t="s">
        <v>1407</v>
      </c>
    </row>
    <row r="22" spans="1:7" x14ac:dyDescent="0.3">
      <c r="A22">
        <v>1924</v>
      </c>
      <c r="B22" t="s">
        <v>1378</v>
      </c>
      <c r="C22" s="35" t="s">
        <v>73</v>
      </c>
      <c r="D22" s="35">
        <v>860</v>
      </c>
      <c r="E22" s="35">
        <v>340</v>
      </c>
      <c r="F22" t="s">
        <v>1316</v>
      </c>
      <c r="G22" t="s">
        <v>1407</v>
      </c>
    </row>
    <row r="23" spans="1:7" x14ac:dyDescent="0.3">
      <c r="A23">
        <v>693</v>
      </c>
      <c r="B23" t="s">
        <v>1309</v>
      </c>
      <c r="C23" s="35" t="s">
        <v>73</v>
      </c>
      <c r="D23" s="35">
        <v>860</v>
      </c>
      <c r="E23" s="35">
        <v>330</v>
      </c>
      <c r="F23" t="s">
        <v>1310</v>
      </c>
      <c r="G23" t="s">
        <v>1408</v>
      </c>
    </row>
    <row r="24" spans="1:7" x14ac:dyDescent="0.3">
      <c r="B24" t="s">
        <v>1409</v>
      </c>
      <c r="D24" s="35"/>
      <c r="E24" s="35"/>
    </row>
    <row r="25" spans="1:7" x14ac:dyDescent="0.3">
      <c r="D25" s="35"/>
      <c r="E25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8ADE-0158-4CEF-A41C-1E7A0E4BEF6E}">
  <sheetPr codeName="Hoja6"/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2154-4BB4-4D94-9936-ED3531B83525}">
  <sheetPr codeName="Hoja8"/>
  <dimension ref="A1:BB33"/>
  <sheetViews>
    <sheetView topLeftCell="A13" zoomScale="90" zoomScaleNormal="90" workbookViewId="0">
      <selection activeCell="E13" sqref="E13"/>
    </sheetView>
  </sheetViews>
  <sheetFormatPr defaultColWidth="11.44140625" defaultRowHeight="14.4" x14ac:dyDescent="0.3"/>
  <cols>
    <col min="4" max="4" width="36.33203125" bestFit="1" customWidth="1"/>
    <col min="6" max="9" width="0" hidden="1" customWidth="1"/>
    <col min="10" max="10" width="20" bestFit="1" customWidth="1"/>
    <col min="11" max="12" width="0" hidden="1" customWidth="1"/>
    <col min="15" max="15" width="5.6640625" customWidth="1"/>
    <col min="16" max="17" width="0" hidden="1" customWidth="1"/>
    <col min="18" max="18" width="5.6640625" bestFit="1" customWidth="1"/>
    <col min="19" max="19" width="13.88671875" hidden="1" customWidth="1"/>
    <col min="20" max="20" width="17.88671875" hidden="1" customWidth="1"/>
    <col min="21" max="21" width="9.88671875" hidden="1" customWidth="1"/>
    <col min="22" max="22" width="18.5546875" hidden="1" customWidth="1"/>
    <col min="23" max="23" width="16.33203125" hidden="1" customWidth="1"/>
    <col min="24" max="24" width="19.44140625" hidden="1" customWidth="1"/>
    <col min="25" max="25" width="9.6640625" hidden="1" customWidth="1"/>
    <col min="26" max="26" width="10.5546875" hidden="1" customWidth="1"/>
    <col min="27" max="27" width="15.6640625" hidden="1" customWidth="1"/>
    <col min="28" max="28" width="17" bestFit="1" customWidth="1"/>
    <col min="29" max="29" width="6.5546875" hidden="1" customWidth="1"/>
    <col min="30" max="32" width="8.5546875" hidden="1" customWidth="1"/>
    <col min="33" max="33" width="13.44140625" hidden="1" customWidth="1"/>
    <col min="34" max="34" width="23.6640625" hidden="1" customWidth="1"/>
    <col min="35" max="35" width="20" hidden="1" customWidth="1"/>
    <col min="36" max="36" width="18.88671875" hidden="1" customWidth="1"/>
    <col min="37" max="37" width="9.88671875" hidden="1" customWidth="1"/>
    <col min="38" max="38" width="9.5546875" hidden="1" customWidth="1"/>
    <col min="39" max="39" width="7.6640625" hidden="1" customWidth="1"/>
    <col min="40" max="40" width="12.88671875" hidden="1" customWidth="1"/>
    <col min="41" max="41" width="18" hidden="1" customWidth="1"/>
    <col min="42" max="43" width="6.44140625" hidden="1" customWidth="1"/>
    <col min="44" max="50" width="0" hidden="1" customWidth="1"/>
    <col min="52" max="52" width="11.44140625" style="5"/>
  </cols>
  <sheetData>
    <row r="1" spans="1:53" s="32" customFormat="1" ht="28.8" x14ac:dyDescent="0.3">
      <c r="A1" s="109" t="s">
        <v>1389</v>
      </c>
      <c r="B1" s="109" t="s">
        <v>24</v>
      </c>
      <c r="C1" s="109" t="s">
        <v>25</v>
      </c>
      <c r="D1" s="109" t="s">
        <v>26</v>
      </c>
      <c r="E1" s="109" t="s">
        <v>27</v>
      </c>
      <c r="F1" s="109" t="s">
        <v>28</v>
      </c>
      <c r="G1" s="109" t="s">
        <v>29</v>
      </c>
      <c r="H1" s="110" t="s">
        <v>30</v>
      </c>
      <c r="I1" s="109" t="s">
        <v>31</v>
      </c>
      <c r="J1" s="109" t="s">
        <v>32</v>
      </c>
      <c r="K1" s="109" t="s">
        <v>33</v>
      </c>
      <c r="L1" s="109" t="s">
        <v>34</v>
      </c>
      <c r="M1" s="109" t="s">
        <v>37</v>
      </c>
      <c r="N1" s="111" t="s">
        <v>16</v>
      </c>
      <c r="O1" s="111"/>
      <c r="P1" s="109" t="s">
        <v>45</v>
      </c>
      <c r="Q1" s="109" t="s">
        <v>44</v>
      </c>
      <c r="R1" s="109" t="s">
        <v>46</v>
      </c>
      <c r="S1" s="109" t="s">
        <v>47</v>
      </c>
      <c r="T1" s="109" t="s">
        <v>48</v>
      </c>
      <c r="U1" s="109" t="s">
        <v>49</v>
      </c>
      <c r="V1" s="109" t="s">
        <v>50</v>
      </c>
      <c r="W1" s="109" t="s">
        <v>51</v>
      </c>
      <c r="X1" s="109" t="s">
        <v>52</v>
      </c>
      <c r="Y1" s="109" t="s">
        <v>53</v>
      </c>
      <c r="Z1" s="109" t="s">
        <v>54</v>
      </c>
      <c r="AA1" s="109" t="s">
        <v>55</v>
      </c>
      <c r="AB1" s="109" t="s">
        <v>56</v>
      </c>
      <c r="AC1" s="112" t="s">
        <v>57</v>
      </c>
      <c r="AD1" s="113" t="s">
        <v>58</v>
      </c>
      <c r="AE1" s="113" t="s">
        <v>59</v>
      </c>
      <c r="AF1" s="113" t="s">
        <v>60</v>
      </c>
      <c r="AG1" s="113" t="s">
        <v>61</v>
      </c>
      <c r="AH1" s="113" t="s">
        <v>62</v>
      </c>
      <c r="AI1" s="113" t="s">
        <v>63</v>
      </c>
      <c r="AJ1" s="113" t="s">
        <v>64</v>
      </c>
      <c r="AK1" s="113" t="s">
        <v>65</v>
      </c>
      <c r="AL1" s="113" t="s">
        <v>66</v>
      </c>
      <c r="AM1" s="113" t="s">
        <v>67</v>
      </c>
      <c r="AN1" s="113" t="s">
        <v>68</v>
      </c>
      <c r="AO1" s="113" t="s">
        <v>69</v>
      </c>
      <c r="AP1" s="113" t="s">
        <v>70</v>
      </c>
      <c r="AQ1" s="113" t="s">
        <v>71</v>
      </c>
      <c r="AZ1" s="114" t="s">
        <v>1410</v>
      </c>
      <c r="BA1" s="18" t="s">
        <v>1411</v>
      </c>
    </row>
    <row r="2" spans="1:53" x14ac:dyDescent="0.3">
      <c r="A2" s="2">
        <v>1826</v>
      </c>
      <c r="B2" s="2" t="s">
        <v>0</v>
      </c>
      <c r="C2" s="2" t="s">
        <v>21</v>
      </c>
      <c r="D2" s="2" t="s">
        <v>197</v>
      </c>
      <c r="E2" s="2">
        <v>720</v>
      </c>
      <c r="F2" s="2">
        <v>1.09E-2</v>
      </c>
      <c r="G2" s="2">
        <v>7.4999999999999997E-3</v>
      </c>
      <c r="H2" s="91">
        <f t="shared" ref="H2:H8" si="0">(F2-G2)/F2</f>
        <v>0.31192660550458717</v>
      </c>
      <c r="I2" s="2" t="s">
        <v>98</v>
      </c>
      <c r="J2" s="23" t="s">
        <v>194</v>
      </c>
      <c r="K2" s="2" t="s">
        <v>105</v>
      </c>
      <c r="L2" s="2" t="s">
        <v>76</v>
      </c>
      <c r="M2" s="2">
        <v>3</v>
      </c>
      <c r="N2" s="6">
        <v>25</v>
      </c>
      <c r="O2" s="6"/>
      <c r="P2" s="2" t="s">
        <v>7</v>
      </c>
      <c r="Q2" s="96">
        <v>45420</v>
      </c>
      <c r="R2" s="2">
        <v>13</v>
      </c>
      <c r="S2" s="2">
        <v>1</v>
      </c>
      <c r="T2" s="2">
        <v>0.1</v>
      </c>
      <c r="U2" s="2">
        <v>1</v>
      </c>
      <c r="V2" s="2">
        <v>0.15</v>
      </c>
      <c r="W2" s="2">
        <v>0.45</v>
      </c>
      <c r="X2" s="2">
        <v>0.28000000000000003</v>
      </c>
      <c r="Y2" s="2">
        <v>0.12</v>
      </c>
      <c r="Z2" s="2">
        <v>0.41</v>
      </c>
      <c r="AA2" s="2">
        <v>0.1</v>
      </c>
      <c r="AB2" s="2">
        <v>4</v>
      </c>
      <c r="AC2">
        <v>44</v>
      </c>
      <c r="AD2">
        <v>120</v>
      </c>
      <c r="AE2">
        <v>120</v>
      </c>
      <c r="AF2">
        <v>122</v>
      </c>
      <c r="AG2">
        <v>55</v>
      </c>
      <c r="AH2">
        <v>20</v>
      </c>
      <c r="AI2">
        <v>40</v>
      </c>
      <c r="AJ2">
        <v>20</v>
      </c>
      <c r="AK2">
        <v>65</v>
      </c>
      <c r="AL2">
        <v>178</v>
      </c>
      <c r="AM2" t="s">
        <v>78</v>
      </c>
      <c r="AN2">
        <v>500</v>
      </c>
      <c r="AO2">
        <v>10</v>
      </c>
      <c r="AY2">
        <v>7</v>
      </c>
      <c r="AZ2" s="5">
        <f>60*M2/AB2</f>
        <v>45</v>
      </c>
      <c r="BA2" s="5">
        <f>60/AB2</f>
        <v>15</v>
      </c>
    </row>
    <row r="3" spans="1:53" x14ac:dyDescent="0.3">
      <c r="A3" s="120">
        <v>1075</v>
      </c>
      <c r="B3" s="120" t="s">
        <v>0</v>
      </c>
      <c r="C3" s="120" t="s">
        <v>21</v>
      </c>
      <c r="D3" s="120" t="s">
        <v>473</v>
      </c>
      <c r="E3" s="120">
        <v>240</v>
      </c>
      <c r="F3" s="120">
        <v>1.29E-2</v>
      </c>
      <c r="G3" s="120"/>
      <c r="H3" s="121"/>
      <c r="I3" s="120"/>
      <c r="J3" s="120" t="s">
        <v>474</v>
      </c>
      <c r="K3" s="120"/>
      <c r="L3" s="120"/>
      <c r="M3" s="120">
        <v>6</v>
      </c>
      <c r="N3" s="120">
        <v>40</v>
      </c>
      <c r="O3" s="120"/>
      <c r="P3" s="120"/>
      <c r="Q3" s="122"/>
      <c r="R3" s="120">
        <v>12</v>
      </c>
      <c r="S3" s="120"/>
      <c r="T3" s="120"/>
      <c r="U3" s="120"/>
      <c r="V3" s="120"/>
      <c r="W3" s="120"/>
      <c r="X3" s="120"/>
      <c r="Y3" s="120"/>
      <c r="Z3" s="120"/>
      <c r="AA3" s="120"/>
      <c r="AB3" s="120">
        <v>9.1999999999999993</v>
      </c>
      <c r="AZ3" s="5">
        <f>60*M3/AB3</f>
        <v>39.130434782608695</v>
      </c>
      <c r="BA3" s="5">
        <f>60/AB3</f>
        <v>6.5217391304347831</v>
      </c>
    </row>
    <row r="4" spans="1:53" x14ac:dyDescent="0.3">
      <c r="A4" s="2">
        <v>1946</v>
      </c>
      <c r="B4" s="2" t="s">
        <v>0</v>
      </c>
      <c r="C4" s="2" t="s">
        <v>21</v>
      </c>
      <c r="D4" s="2" t="s">
        <v>505</v>
      </c>
      <c r="E4" s="2">
        <v>100</v>
      </c>
      <c r="F4" s="2">
        <v>3.0700000000000002E-2</v>
      </c>
      <c r="G4" s="2">
        <v>1.9E-2</v>
      </c>
      <c r="H4" s="91">
        <f t="shared" si="0"/>
        <v>0.38110749185667758</v>
      </c>
      <c r="I4" s="2" t="s">
        <v>3</v>
      </c>
      <c r="J4" s="23" t="s">
        <v>504</v>
      </c>
      <c r="K4" s="2" t="s">
        <v>200</v>
      </c>
      <c r="L4" s="2" t="s">
        <v>76</v>
      </c>
      <c r="M4" s="2">
        <v>2</v>
      </c>
      <c r="N4" s="2">
        <v>110</v>
      </c>
      <c r="O4" s="2"/>
      <c r="P4" s="2" t="s">
        <v>359</v>
      </c>
      <c r="Q4" s="97">
        <v>44621</v>
      </c>
      <c r="R4" s="2">
        <v>12</v>
      </c>
      <c r="S4" s="2">
        <v>1.4</v>
      </c>
      <c r="T4" s="2">
        <v>0.4</v>
      </c>
      <c r="U4" s="2">
        <v>1.6</v>
      </c>
      <c r="V4" s="2">
        <v>0.4</v>
      </c>
      <c r="W4" s="2">
        <v>0.5</v>
      </c>
      <c r="X4" s="2">
        <v>0.28000000000000003</v>
      </c>
      <c r="Y4" s="2">
        <v>0.14000000000000001</v>
      </c>
      <c r="Z4" s="2">
        <v>0.3</v>
      </c>
      <c r="AA4" s="2">
        <v>0.2</v>
      </c>
      <c r="AB4" s="2">
        <v>5.6</v>
      </c>
      <c r="AC4">
        <v>50</v>
      </c>
      <c r="AD4">
        <v>128</v>
      </c>
      <c r="AE4">
        <v>128</v>
      </c>
      <c r="AF4">
        <v>129</v>
      </c>
      <c r="AG4">
        <v>75</v>
      </c>
      <c r="AH4">
        <v>30</v>
      </c>
      <c r="AI4">
        <v>40</v>
      </c>
      <c r="AJ4">
        <v>30</v>
      </c>
      <c r="AK4">
        <v>100</v>
      </c>
      <c r="AL4">
        <v>260</v>
      </c>
      <c r="AM4" t="s">
        <v>78</v>
      </c>
      <c r="AN4">
        <v>900</v>
      </c>
      <c r="AO4">
        <v>10</v>
      </c>
      <c r="AY4">
        <v>5</v>
      </c>
      <c r="AZ4" s="5">
        <f t="shared" ref="AZ4:AZ33" si="1">60*M4/AB4</f>
        <v>21.428571428571431</v>
      </c>
      <c r="BA4" s="5">
        <f t="shared" ref="BA4:BA8" si="2">60/AB4</f>
        <v>10.714285714285715</v>
      </c>
    </row>
    <row r="5" spans="1:53" x14ac:dyDescent="0.3">
      <c r="A5" s="2">
        <v>106</v>
      </c>
      <c r="B5" s="2" t="s">
        <v>0</v>
      </c>
      <c r="C5" s="2" t="s">
        <v>21</v>
      </c>
      <c r="D5" s="2" t="s">
        <v>256</v>
      </c>
      <c r="E5" s="2">
        <v>200</v>
      </c>
      <c r="F5" s="2">
        <v>4.7899999999999998E-2</v>
      </c>
      <c r="G5" s="2">
        <v>3.2000000000000001E-2</v>
      </c>
      <c r="H5" s="91">
        <f t="shared" si="0"/>
        <v>0.33194154488517741</v>
      </c>
      <c r="I5" s="2" t="s">
        <v>98</v>
      </c>
      <c r="J5" s="93" t="s">
        <v>257</v>
      </c>
      <c r="K5" s="2" t="s">
        <v>258</v>
      </c>
      <c r="L5" s="2" t="s">
        <v>76</v>
      </c>
      <c r="M5" s="2">
        <v>1</v>
      </c>
      <c r="N5" s="6">
        <v>40</v>
      </c>
      <c r="O5" s="6"/>
      <c r="P5" s="2" t="s">
        <v>7</v>
      </c>
      <c r="Q5" s="95">
        <v>45371</v>
      </c>
      <c r="R5" s="2">
        <v>12</v>
      </c>
      <c r="S5" s="2">
        <v>1.3</v>
      </c>
      <c r="T5" s="2">
        <v>0.4</v>
      </c>
      <c r="U5" s="2">
        <v>1.3</v>
      </c>
      <c r="V5" s="2">
        <v>0.4</v>
      </c>
      <c r="W5" s="2">
        <v>1</v>
      </c>
      <c r="X5" s="2">
        <v>0.12</v>
      </c>
      <c r="Y5" s="2">
        <v>0.22</v>
      </c>
      <c r="Z5" s="2">
        <v>0.55000000000000004</v>
      </c>
      <c r="AA5" s="2">
        <v>0.2</v>
      </c>
      <c r="AB5" s="2">
        <v>5.8</v>
      </c>
      <c r="AC5">
        <v>51</v>
      </c>
      <c r="AD5">
        <v>138</v>
      </c>
      <c r="AE5">
        <v>135</v>
      </c>
      <c r="AF5">
        <v>135</v>
      </c>
      <c r="AG5">
        <v>60</v>
      </c>
      <c r="AH5">
        <v>33</v>
      </c>
      <c r="AI5">
        <v>40</v>
      </c>
      <c r="AJ5">
        <v>40</v>
      </c>
      <c r="AK5">
        <v>100</v>
      </c>
      <c r="AL5">
        <v>310</v>
      </c>
      <c r="AM5" t="s">
        <v>78</v>
      </c>
      <c r="AN5">
        <v>1600</v>
      </c>
      <c r="AO5">
        <v>10</v>
      </c>
      <c r="AY5">
        <v>4</v>
      </c>
      <c r="AZ5" s="5">
        <f t="shared" si="1"/>
        <v>10.344827586206897</v>
      </c>
      <c r="BA5" s="5">
        <f t="shared" si="2"/>
        <v>10.344827586206897</v>
      </c>
    </row>
    <row r="6" spans="1:53" x14ac:dyDescent="0.3">
      <c r="A6" s="2">
        <v>108</v>
      </c>
      <c r="B6" s="2" t="s">
        <v>0</v>
      </c>
      <c r="C6" s="2" t="s">
        <v>21</v>
      </c>
      <c r="D6" s="2" t="s">
        <v>259</v>
      </c>
      <c r="E6" s="2">
        <v>100</v>
      </c>
      <c r="F6" s="2">
        <v>5.9400000000000001E-2</v>
      </c>
      <c r="G6" s="2">
        <v>4.4400000000000002E-2</v>
      </c>
      <c r="H6" s="91">
        <f t="shared" si="0"/>
        <v>0.25252525252525249</v>
      </c>
      <c r="I6" s="2" t="s">
        <v>98</v>
      </c>
      <c r="J6" s="93" t="s">
        <v>260</v>
      </c>
      <c r="K6" s="2" t="s">
        <v>261</v>
      </c>
      <c r="L6" s="2" t="s">
        <v>76</v>
      </c>
      <c r="M6" s="2">
        <v>1</v>
      </c>
      <c r="N6" s="6">
        <v>50</v>
      </c>
      <c r="O6" s="6"/>
      <c r="P6" s="2" t="s">
        <v>7</v>
      </c>
      <c r="Q6" s="95">
        <v>45391</v>
      </c>
      <c r="R6" s="2">
        <v>12</v>
      </c>
      <c r="S6" s="2">
        <v>1.1000000000000001</v>
      </c>
      <c r="T6" s="2">
        <v>0.5</v>
      </c>
      <c r="U6" s="2">
        <v>1.1000000000000001</v>
      </c>
      <c r="V6" s="2">
        <v>0.3</v>
      </c>
      <c r="W6" s="2">
        <v>0.6</v>
      </c>
      <c r="X6" s="2">
        <v>0.11</v>
      </c>
      <c r="Y6" s="2">
        <v>0.17</v>
      </c>
      <c r="Z6" s="2">
        <v>0.2</v>
      </c>
      <c r="AA6" s="2">
        <v>0.12</v>
      </c>
      <c r="AB6" s="2">
        <v>4.5999999999999996</v>
      </c>
      <c r="AC6">
        <v>45</v>
      </c>
      <c r="AD6">
        <v>132</v>
      </c>
      <c r="AE6">
        <v>136</v>
      </c>
      <c r="AF6">
        <v>135</v>
      </c>
      <c r="AG6">
        <v>60</v>
      </c>
      <c r="AH6">
        <v>38</v>
      </c>
      <c r="AI6">
        <v>40</v>
      </c>
      <c r="AJ6">
        <v>40</v>
      </c>
      <c r="AK6">
        <v>101</v>
      </c>
      <c r="AL6">
        <v>352</v>
      </c>
      <c r="AM6" t="s">
        <v>78</v>
      </c>
      <c r="AN6">
        <v>3000</v>
      </c>
      <c r="AO6">
        <v>10</v>
      </c>
      <c r="AY6">
        <v>6</v>
      </c>
      <c r="AZ6" s="5">
        <f t="shared" si="1"/>
        <v>13.043478260869566</v>
      </c>
      <c r="BA6" s="5">
        <f t="shared" si="2"/>
        <v>13.043478260869566</v>
      </c>
    </row>
    <row r="7" spans="1:53" x14ac:dyDescent="0.3">
      <c r="A7" s="2">
        <v>99</v>
      </c>
      <c r="B7" s="2" t="s">
        <v>0</v>
      </c>
      <c r="C7" s="2" t="s">
        <v>21</v>
      </c>
      <c r="D7" s="2" t="s">
        <v>221</v>
      </c>
      <c r="E7" s="2">
        <v>160</v>
      </c>
      <c r="F7" s="2">
        <v>5.7700000000000001E-2</v>
      </c>
      <c r="G7" s="2">
        <v>4.5999999999999999E-2</v>
      </c>
      <c r="H7" s="91">
        <f t="shared" si="0"/>
        <v>0.20277296360485272</v>
      </c>
      <c r="I7" s="2" t="s">
        <v>98</v>
      </c>
      <c r="J7" s="93" t="s">
        <v>220</v>
      </c>
      <c r="K7" s="2" t="s">
        <v>222</v>
      </c>
      <c r="L7" s="2" t="s">
        <v>76</v>
      </c>
      <c r="M7" s="2">
        <v>1</v>
      </c>
      <c r="N7" s="6">
        <v>37</v>
      </c>
      <c r="O7" s="6"/>
      <c r="P7" s="2" t="s">
        <v>7</v>
      </c>
      <c r="Q7" s="95">
        <v>45495</v>
      </c>
      <c r="R7" s="2">
        <v>13</v>
      </c>
      <c r="S7" s="2">
        <v>1.5</v>
      </c>
      <c r="T7" s="2">
        <v>0.5</v>
      </c>
      <c r="U7" s="2">
        <v>1.5</v>
      </c>
      <c r="V7" s="2">
        <v>0.5</v>
      </c>
      <c r="W7" s="2">
        <v>0.8</v>
      </c>
      <c r="X7" s="2">
        <v>0.11</v>
      </c>
      <c r="Y7" s="2">
        <v>0.18</v>
      </c>
      <c r="Z7" s="2">
        <v>0.4</v>
      </c>
      <c r="AA7" s="2">
        <v>0.5</v>
      </c>
      <c r="AB7" s="2">
        <v>6.3</v>
      </c>
      <c r="AC7">
        <v>56</v>
      </c>
      <c r="AD7">
        <v>119</v>
      </c>
      <c r="AE7">
        <v>128</v>
      </c>
      <c r="AF7">
        <v>128</v>
      </c>
      <c r="AG7">
        <v>65</v>
      </c>
      <c r="AH7">
        <v>20</v>
      </c>
      <c r="AI7">
        <v>40</v>
      </c>
      <c r="AJ7">
        <v>20</v>
      </c>
      <c r="AK7">
        <v>65</v>
      </c>
      <c r="AL7">
        <v>387</v>
      </c>
      <c r="AM7" t="s">
        <v>78</v>
      </c>
      <c r="AN7">
        <v>600</v>
      </c>
      <c r="AO7">
        <v>10</v>
      </c>
      <c r="AY7">
        <v>3</v>
      </c>
      <c r="AZ7" s="5">
        <f t="shared" si="1"/>
        <v>9.5238095238095237</v>
      </c>
      <c r="BA7" s="5">
        <f t="shared" si="2"/>
        <v>9.5238095238095237</v>
      </c>
    </row>
    <row r="8" spans="1:53" x14ac:dyDescent="0.3">
      <c r="A8" s="2">
        <v>103</v>
      </c>
      <c r="B8" s="2" t="s">
        <v>0</v>
      </c>
      <c r="C8" s="2" t="s">
        <v>21</v>
      </c>
      <c r="D8" s="2" t="s">
        <v>228</v>
      </c>
      <c r="E8" s="2">
        <v>200</v>
      </c>
      <c r="F8" s="2">
        <v>3.9600000000000003E-2</v>
      </c>
      <c r="G8" s="2">
        <v>2.76E-2</v>
      </c>
      <c r="H8" s="91">
        <f t="shared" si="0"/>
        <v>0.30303030303030309</v>
      </c>
      <c r="I8" s="2" t="s">
        <v>98</v>
      </c>
      <c r="J8" s="93" t="s">
        <v>229</v>
      </c>
      <c r="K8" s="2" t="s">
        <v>230</v>
      </c>
      <c r="L8" s="2" t="s">
        <v>76</v>
      </c>
      <c r="M8" s="2">
        <v>2</v>
      </c>
      <c r="N8" s="6">
        <v>60</v>
      </c>
      <c r="O8" s="98"/>
      <c r="P8" s="2" t="s">
        <v>7</v>
      </c>
      <c r="Q8" s="95">
        <v>45497</v>
      </c>
      <c r="R8" s="2">
        <v>17</v>
      </c>
      <c r="S8" s="2">
        <v>1.9</v>
      </c>
      <c r="T8" s="2">
        <v>0.15</v>
      </c>
      <c r="U8" s="2">
        <v>1.8</v>
      </c>
      <c r="V8" s="2">
        <v>0.15</v>
      </c>
      <c r="W8" s="2">
        <v>1.2</v>
      </c>
      <c r="X8" s="2">
        <v>0.28000000000000003</v>
      </c>
      <c r="Y8" s="2">
        <v>0.3</v>
      </c>
      <c r="Z8" s="2">
        <v>0.43</v>
      </c>
      <c r="AA8" s="2">
        <v>0.5</v>
      </c>
      <c r="AB8" s="2">
        <v>7.1</v>
      </c>
      <c r="AC8">
        <v>41</v>
      </c>
      <c r="AD8">
        <v>129</v>
      </c>
      <c r="AE8">
        <v>131</v>
      </c>
      <c r="AF8">
        <v>135</v>
      </c>
      <c r="AG8">
        <v>50</v>
      </c>
      <c r="AH8" s="35" t="s">
        <v>1412</v>
      </c>
      <c r="AI8" s="35" t="s">
        <v>1412</v>
      </c>
      <c r="AJ8" s="35" t="s">
        <v>1412</v>
      </c>
      <c r="AK8">
        <v>200</v>
      </c>
      <c r="AL8">
        <v>309</v>
      </c>
      <c r="AM8" t="s">
        <v>78</v>
      </c>
      <c r="AN8" s="35" t="s">
        <v>1412</v>
      </c>
      <c r="AO8" s="35" t="s">
        <v>1412</v>
      </c>
      <c r="AY8">
        <v>2</v>
      </c>
      <c r="AZ8" s="5">
        <f t="shared" si="1"/>
        <v>16.901408450704228</v>
      </c>
      <c r="BA8" s="5">
        <f t="shared" si="2"/>
        <v>8.4507042253521139</v>
      </c>
    </row>
    <row r="9" spans="1:53" x14ac:dyDescent="0.3">
      <c r="A9" s="2"/>
      <c r="B9" s="2"/>
      <c r="C9" s="2"/>
      <c r="D9" s="2"/>
      <c r="E9" s="2"/>
      <c r="F9" s="2"/>
      <c r="G9" s="2"/>
      <c r="H9" s="91"/>
      <c r="I9" s="2"/>
      <c r="J9" s="2"/>
      <c r="K9" s="2"/>
      <c r="L9" s="2"/>
      <c r="M9" s="2"/>
      <c r="N9" s="2"/>
      <c r="O9" s="2"/>
      <c r="P9" s="2"/>
      <c r="Q9" s="97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BA9" s="5"/>
    </row>
    <row r="10" spans="1:53" x14ac:dyDescent="0.3">
      <c r="A10" s="2">
        <v>8</v>
      </c>
      <c r="B10" s="2" t="s">
        <v>0</v>
      </c>
      <c r="C10" s="2" t="s">
        <v>21</v>
      </c>
      <c r="D10" s="2" t="s">
        <v>355</v>
      </c>
      <c r="E10" s="2">
        <v>850</v>
      </c>
      <c r="F10" s="2">
        <v>9.4999999999999998E-3</v>
      </c>
      <c r="G10" s="2">
        <v>7.4000000000000003E-3</v>
      </c>
      <c r="H10" s="91">
        <f t="shared" ref="H10:H19" si="3">(F10-G10)/F10</f>
        <v>0.22105263157894731</v>
      </c>
      <c r="I10" s="2" t="s">
        <v>73</v>
      </c>
      <c r="J10" s="2" t="s">
        <v>356</v>
      </c>
      <c r="K10" s="2" t="s">
        <v>357</v>
      </c>
      <c r="L10" s="2" t="s">
        <v>1402</v>
      </c>
      <c r="M10" s="2">
        <v>6</v>
      </c>
      <c r="N10" s="6">
        <v>25</v>
      </c>
      <c r="O10" s="6"/>
      <c r="P10" s="2" t="s">
        <v>359</v>
      </c>
      <c r="Q10" s="96">
        <v>45421</v>
      </c>
      <c r="R10" s="2">
        <v>15</v>
      </c>
      <c r="S10" s="2">
        <v>1.4</v>
      </c>
      <c r="T10" s="2">
        <v>0.3</v>
      </c>
      <c r="U10" s="2">
        <v>1.4</v>
      </c>
      <c r="V10" s="2">
        <v>0.3</v>
      </c>
      <c r="W10" s="2">
        <v>0.5</v>
      </c>
      <c r="X10" s="2">
        <v>0.18</v>
      </c>
      <c r="Y10" s="2">
        <v>0.15</v>
      </c>
      <c r="Z10" s="2">
        <v>0.4</v>
      </c>
      <c r="AA10" s="2">
        <v>0.25</v>
      </c>
      <c r="AB10" s="2">
        <v>5.3</v>
      </c>
      <c r="AC10">
        <v>48</v>
      </c>
      <c r="AD10">
        <v>102</v>
      </c>
      <c r="AE10">
        <v>102</v>
      </c>
      <c r="AF10">
        <v>102</v>
      </c>
      <c r="AG10">
        <v>40</v>
      </c>
      <c r="AH10">
        <v>20</v>
      </c>
      <c r="AI10">
        <v>40</v>
      </c>
      <c r="AJ10">
        <v>20</v>
      </c>
      <c r="AK10">
        <v>100</v>
      </c>
      <c r="AL10">
        <v>338</v>
      </c>
      <c r="AM10" t="s">
        <v>78</v>
      </c>
      <c r="AN10">
        <v>1000</v>
      </c>
      <c r="AO10">
        <v>10</v>
      </c>
      <c r="AY10" s="108">
        <v>5</v>
      </c>
      <c r="AZ10" s="5">
        <f t="shared" si="1"/>
        <v>67.924528301886795</v>
      </c>
      <c r="BA10" s="5">
        <f t="shared" ref="BA10:BA33" si="4">60/AB10</f>
        <v>11.320754716981133</v>
      </c>
    </row>
    <row r="11" spans="1:53" x14ac:dyDescent="0.3">
      <c r="A11" s="2">
        <v>1135</v>
      </c>
      <c r="B11" s="2" t="s">
        <v>0</v>
      </c>
      <c r="C11" s="2" t="s">
        <v>21</v>
      </c>
      <c r="D11" s="2" t="s">
        <v>449</v>
      </c>
      <c r="E11" s="2">
        <v>500</v>
      </c>
      <c r="F11" s="2">
        <v>1.18E-2</v>
      </c>
      <c r="G11" s="2">
        <v>7.4999999999999997E-3</v>
      </c>
      <c r="H11" s="91">
        <f t="shared" si="3"/>
        <v>0.36440677966101698</v>
      </c>
      <c r="I11" s="2" t="s">
        <v>73</v>
      </c>
      <c r="J11" s="104" t="s">
        <v>74</v>
      </c>
      <c r="K11" s="2" t="s">
        <v>5</v>
      </c>
      <c r="L11" s="2" t="s">
        <v>1402</v>
      </c>
      <c r="M11" s="2">
        <v>6</v>
      </c>
      <c r="N11" s="6">
        <v>40</v>
      </c>
      <c r="O11" s="6"/>
      <c r="P11" s="2" t="s">
        <v>359</v>
      </c>
      <c r="Q11" s="95">
        <v>45499</v>
      </c>
      <c r="R11" s="2">
        <v>14</v>
      </c>
      <c r="S11" s="2">
        <v>2.2999999999999998</v>
      </c>
      <c r="T11" s="2">
        <v>0.5</v>
      </c>
      <c r="U11" s="2">
        <v>2.2999999999999998</v>
      </c>
      <c r="V11" s="2">
        <v>0.5</v>
      </c>
      <c r="W11" s="2">
        <v>1</v>
      </c>
      <c r="X11" s="2">
        <v>0.16</v>
      </c>
      <c r="Y11" s="2">
        <v>0.17</v>
      </c>
      <c r="Z11" s="2">
        <v>0.4</v>
      </c>
      <c r="AA11" s="99">
        <v>0.25</v>
      </c>
      <c r="AB11" s="2">
        <v>8.1</v>
      </c>
      <c r="AC11">
        <v>54</v>
      </c>
      <c r="AD11">
        <v>97</v>
      </c>
      <c r="AE11">
        <v>97</v>
      </c>
      <c r="AF11">
        <v>97</v>
      </c>
      <c r="AG11">
        <v>40</v>
      </c>
      <c r="AH11">
        <v>20</v>
      </c>
      <c r="AI11">
        <v>40</v>
      </c>
      <c r="AJ11">
        <v>20</v>
      </c>
      <c r="AK11">
        <v>70</v>
      </c>
      <c r="AL11">
        <v>315</v>
      </c>
      <c r="AM11" t="s">
        <v>78</v>
      </c>
      <c r="AN11">
        <v>900</v>
      </c>
      <c r="AO11">
        <v>10</v>
      </c>
      <c r="AY11">
        <v>2</v>
      </c>
      <c r="AZ11" s="5">
        <f t="shared" si="1"/>
        <v>44.444444444444443</v>
      </c>
      <c r="BA11" s="5">
        <f t="shared" si="4"/>
        <v>7.4074074074074074</v>
      </c>
    </row>
    <row r="12" spans="1:53" x14ac:dyDescent="0.3">
      <c r="A12" s="2">
        <v>1915</v>
      </c>
      <c r="B12" s="2" t="s">
        <v>0</v>
      </c>
      <c r="C12" s="2" t="s">
        <v>21</v>
      </c>
      <c r="D12" s="2" t="s">
        <v>162</v>
      </c>
      <c r="E12" s="2">
        <v>300</v>
      </c>
      <c r="F12" s="2">
        <v>2.5000000000000001E-2</v>
      </c>
      <c r="G12" s="2">
        <v>2.0400000000000001E-2</v>
      </c>
      <c r="H12" s="91">
        <f t="shared" si="3"/>
        <v>0.184</v>
      </c>
      <c r="I12" s="2" t="s">
        <v>73</v>
      </c>
      <c r="J12" s="27" t="s">
        <v>161</v>
      </c>
      <c r="K12" s="2" t="s">
        <v>163</v>
      </c>
      <c r="L12" s="2" t="s">
        <v>1402</v>
      </c>
      <c r="M12" s="2">
        <v>2</v>
      </c>
      <c r="N12" s="6">
        <v>45</v>
      </c>
      <c r="O12" s="100"/>
      <c r="P12" s="2" t="s">
        <v>359</v>
      </c>
      <c r="Q12" s="95">
        <v>45411</v>
      </c>
      <c r="R12" s="2">
        <v>16</v>
      </c>
      <c r="S12" s="2">
        <v>0.9</v>
      </c>
      <c r="T12" s="2">
        <v>0.1</v>
      </c>
      <c r="U12" s="2">
        <v>1</v>
      </c>
      <c r="V12" s="2">
        <v>0.1</v>
      </c>
      <c r="W12" s="2">
        <v>0.3</v>
      </c>
      <c r="X12" s="2">
        <v>0.36</v>
      </c>
      <c r="Y12" s="2">
        <v>0.2</v>
      </c>
      <c r="Z12" s="2">
        <v>0.14000000000000001</v>
      </c>
      <c r="AA12" s="2">
        <v>0.5</v>
      </c>
      <c r="AB12" s="2">
        <v>4</v>
      </c>
      <c r="AC12">
        <v>45</v>
      </c>
      <c r="AD12">
        <v>104</v>
      </c>
      <c r="AE12">
        <v>109</v>
      </c>
      <c r="AF12">
        <v>114</v>
      </c>
      <c r="AG12">
        <v>40</v>
      </c>
      <c r="AL12">
        <v>383</v>
      </c>
      <c r="AP12">
        <v>111</v>
      </c>
      <c r="AQ12">
        <v>112</v>
      </c>
      <c r="AY12">
        <v>9</v>
      </c>
      <c r="AZ12" s="5">
        <f t="shared" si="1"/>
        <v>30</v>
      </c>
      <c r="BA12" s="5">
        <f t="shared" si="4"/>
        <v>15</v>
      </c>
    </row>
    <row r="13" spans="1:53" x14ac:dyDescent="0.3">
      <c r="A13" s="2">
        <v>1916</v>
      </c>
      <c r="B13" s="2" t="s">
        <v>0</v>
      </c>
      <c r="C13" s="2" t="s">
        <v>21</v>
      </c>
      <c r="D13" s="2" t="s">
        <v>165</v>
      </c>
      <c r="E13" s="2">
        <v>300</v>
      </c>
      <c r="F13" s="2">
        <v>2.5000000000000001E-2</v>
      </c>
      <c r="G13" s="2">
        <v>2.0400000000000001E-2</v>
      </c>
      <c r="H13" s="91">
        <f t="shared" si="3"/>
        <v>0.184</v>
      </c>
      <c r="I13" s="2" t="s">
        <v>73</v>
      </c>
      <c r="J13" s="27" t="s">
        <v>161</v>
      </c>
      <c r="K13" s="2" t="s">
        <v>163</v>
      </c>
      <c r="L13" s="2" t="s">
        <v>1402</v>
      </c>
      <c r="M13" s="2">
        <v>2</v>
      </c>
      <c r="N13" s="6">
        <v>50</v>
      </c>
      <c r="O13" s="6"/>
      <c r="P13" s="2" t="s">
        <v>359</v>
      </c>
      <c r="Q13" s="95">
        <v>45378</v>
      </c>
      <c r="R13" s="2">
        <v>15</v>
      </c>
      <c r="S13" s="2">
        <v>0.8</v>
      </c>
      <c r="T13" s="2">
        <v>0.1</v>
      </c>
      <c r="U13" s="2">
        <v>1</v>
      </c>
      <c r="V13" s="2">
        <v>0.13</v>
      </c>
      <c r="W13" s="2">
        <v>0.25</v>
      </c>
      <c r="X13" s="2">
        <v>0.14000000000000001</v>
      </c>
      <c r="Y13" s="2">
        <v>0.21</v>
      </c>
      <c r="Z13" s="2">
        <v>0.3</v>
      </c>
      <c r="AA13" s="2">
        <v>0.2</v>
      </c>
      <c r="AB13" s="2">
        <v>3.6</v>
      </c>
      <c r="AC13">
        <v>48</v>
      </c>
      <c r="AD13">
        <v>103</v>
      </c>
      <c r="AE13">
        <v>103</v>
      </c>
      <c r="AF13">
        <v>103</v>
      </c>
      <c r="AG13">
        <v>40</v>
      </c>
      <c r="AH13">
        <v>20</v>
      </c>
      <c r="AI13">
        <v>40</v>
      </c>
      <c r="AJ13">
        <v>20</v>
      </c>
      <c r="AK13">
        <v>100</v>
      </c>
      <c r="AL13">
        <v>294</v>
      </c>
      <c r="AM13" t="s">
        <v>78</v>
      </c>
      <c r="AN13">
        <v>1200</v>
      </c>
      <c r="AO13">
        <v>10</v>
      </c>
      <c r="AY13">
        <v>10</v>
      </c>
      <c r="AZ13" s="5">
        <f t="shared" si="1"/>
        <v>33.333333333333336</v>
      </c>
      <c r="BA13" s="5">
        <f t="shared" si="4"/>
        <v>16.666666666666668</v>
      </c>
    </row>
    <row r="14" spans="1:53" x14ac:dyDescent="0.3">
      <c r="A14" s="2">
        <v>1823</v>
      </c>
      <c r="B14" s="2" t="s">
        <v>0</v>
      </c>
      <c r="C14" s="2" t="s">
        <v>21</v>
      </c>
      <c r="D14" s="2" t="s">
        <v>187</v>
      </c>
      <c r="E14" s="2">
        <v>200</v>
      </c>
      <c r="F14" s="2">
        <v>5.0599999999999999E-2</v>
      </c>
      <c r="G14" s="2">
        <v>4.2299999999999997E-2</v>
      </c>
      <c r="H14" s="91">
        <f t="shared" si="3"/>
        <v>0.16403162055335974</v>
      </c>
      <c r="I14" s="2" t="s">
        <v>73</v>
      </c>
      <c r="J14" s="27" t="s">
        <v>186</v>
      </c>
      <c r="K14" s="2" t="s">
        <v>5</v>
      </c>
      <c r="L14" s="2" t="s">
        <v>1402</v>
      </c>
      <c r="M14" s="2">
        <v>2</v>
      </c>
      <c r="N14" s="6">
        <v>55</v>
      </c>
      <c r="O14" s="6"/>
      <c r="P14" s="2" t="s">
        <v>7</v>
      </c>
      <c r="Q14" s="96">
        <v>45419</v>
      </c>
      <c r="R14" s="2">
        <v>12</v>
      </c>
      <c r="S14" s="2">
        <v>0.9</v>
      </c>
      <c r="T14" s="2">
        <v>0.3</v>
      </c>
      <c r="U14" s="2">
        <v>1</v>
      </c>
      <c r="V14" s="2">
        <v>0.1</v>
      </c>
      <c r="W14" s="2">
        <v>0.14000000000000001</v>
      </c>
      <c r="X14" s="2">
        <v>0.19</v>
      </c>
      <c r="Y14" s="2">
        <v>0.7</v>
      </c>
      <c r="Z14" s="2">
        <v>0.6</v>
      </c>
      <c r="AA14" s="2">
        <v>0.25</v>
      </c>
      <c r="AB14" s="2">
        <v>4.5999999999999996</v>
      </c>
      <c r="AC14">
        <v>50</v>
      </c>
      <c r="AD14">
        <v>110</v>
      </c>
      <c r="AE14">
        <v>110</v>
      </c>
      <c r="AF14">
        <v>108</v>
      </c>
      <c r="AG14">
        <v>40</v>
      </c>
      <c r="AH14">
        <v>30</v>
      </c>
      <c r="AI14">
        <v>40</v>
      </c>
      <c r="AJ14">
        <v>40</v>
      </c>
      <c r="AK14">
        <v>100</v>
      </c>
      <c r="AL14">
        <v>406</v>
      </c>
      <c r="AM14" t="s">
        <v>78</v>
      </c>
      <c r="AN14">
        <v>1500</v>
      </c>
      <c r="AO14">
        <v>10</v>
      </c>
      <c r="AY14">
        <v>7</v>
      </c>
      <c r="AZ14" s="5">
        <f t="shared" si="1"/>
        <v>26.086956521739133</v>
      </c>
      <c r="BA14" s="5">
        <f t="shared" si="4"/>
        <v>13.043478260869566</v>
      </c>
    </row>
    <row r="15" spans="1:53" x14ac:dyDescent="0.3">
      <c r="A15" s="2">
        <v>1136</v>
      </c>
      <c r="B15" s="2" t="s">
        <v>0</v>
      </c>
      <c r="C15" s="2" t="s">
        <v>21</v>
      </c>
      <c r="D15" s="2" t="s">
        <v>451</v>
      </c>
      <c r="E15" s="2">
        <v>500</v>
      </c>
      <c r="F15" s="2">
        <v>1.4200000000000001E-2</v>
      </c>
      <c r="G15" s="2">
        <v>8.8000000000000005E-3</v>
      </c>
      <c r="H15" s="91">
        <f t="shared" si="3"/>
        <v>0.38028169014084506</v>
      </c>
      <c r="I15" s="2" t="s">
        <v>73</v>
      </c>
      <c r="J15" s="104" t="s">
        <v>452</v>
      </c>
      <c r="K15" s="2" t="s">
        <v>5</v>
      </c>
      <c r="L15" s="2" t="s">
        <v>1402</v>
      </c>
      <c r="M15" s="2">
        <v>6</v>
      </c>
      <c r="N15" s="6">
        <v>35</v>
      </c>
      <c r="O15" s="6"/>
      <c r="P15" s="2" t="s">
        <v>359</v>
      </c>
      <c r="Q15" s="95">
        <v>45423</v>
      </c>
      <c r="R15" s="2">
        <v>14</v>
      </c>
      <c r="S15" s="2">
        <v>2</v>
      </c>
      <c r="T15" s="2">
        <v>0.5</v>
      </c>
      <c r="U15" s="2">
        <v>2</v>
      </c>
      <c r="V15" s="2">
        <v>0.5</v>
      </c>
      <c r="W15" s="2">
        <v>1.2</v>
      </c>
      <c r="X15" s="2">
        <v>0.15</v>
      </c>
      <c r="Y15" s="2">
        <v>0.17</v>
      </c>
      <c r="Z15" s="2">
        <v>0.6</v>
      </c>
      <c r="AA15" s="2">
        <v>0.3</v>
      </c>
      <c r="AB15" s="2">
        <v>8</v>
      </c>
      <c r="AC15">
        <v>55</v>
      </c>
      <c r="AD15">
        <v>99</v>
      </c>
      <c r="AE15">
        <v>99</v>
      </c>
      <c r="AF15">
        <v>99</v>
      </c>
      <c r="AG15">
        <v>40</v>
      </c>
      <c r="AH15">
        <v>20</v>
      </c>
      <c r="AI15">
        <v>40</v>
      </c>
      <c r="AJ15">
        <v>20</v>
      </c>
      <c r="AK15">
        <v>100</v>
      </c>
      <c r="AL15">
        <v>315</v>
      </c>
      <c r="AM15" t="s">
        <v>78</v>
      </c>
      <c r="AN15">
        <v>700</v>
      </c>
      <c r="AO15">
        <v>10</v>
      </c>
      <c r="AY15">
        <v>3</v>
      </c>
      <c r="AZ15" s="5">
        <f t="shared" si="1"/>
        <v>45</v>
      </c>
      <c r="BA15" s="5">
        <f t="shared" si="4"/>
        <v>7.5</v>
      </c>
    </row>
    <row r="16" spans="1:53" x14ac:dyDescent="0.3">
      <c r="A16" s="2">
        <v>1087</v>
      </c>
      <c r="B16" s="2" t="s">
        <v>0</v>
      </c>
      <c r="C16" s="2" t="s">
        <v>21</v>
      </c>
      <c r="D16" s="2" t="s">
        <v>538</v>
      </c>
      <c r="E16" s="2">
        <v>100</v>
      </c>
      <c r="F16" s="2">
        <v>7.9899999999999999E-2</v>
      </c>
      <c r="G16" s="2">
        <v>6.13E-2</v>
      </c>
      <c r="H16" s="91">
        <f t="shared" si="3"/>
        <v>0.23279098873591988</v>
      </c>
      <c r="I16" s="2" t="s">
        <v>73</v>
      </c>
      <c r="J16" s="27" t="s">
        <v>186</v>
      </c>
      <c r="K16" s="2" t="s">
        <v>105</v>
      </c>
      <c r="L16" s="2" t="s">
        <v>76</v>
      </c>
      <c r="M16" s="2">
        <v>1</v>
      </c>
      <c r="N16" s="6">
        <v>62</v>
      </c>
      <c r="O16" s="6"/>
      <c r="P16" s="2" t="s">
        <v>7</v>
      </c>
      <c r="Q16" s="95">
        <v>45385</v>
      </c>
      <c r="R16" s="2">
        <v>14</v>
      </c>
      <c r="S16" s="2">
        <v>1.3</v>
      </c>
      <c r="T16" s="2">
        <v>0.1</v>
      </c>
      <c r="U16" s="2">
        <v>1</v>
      </c>
      <c r="V16" s="2">
        <v>0.1</v>
      </c>
      <c r="W16" s="2">
        <v>0.5</v>
      </c>
      <c r="X16" s="2">
        <v>0.13</v>
      </c>
      <c r="Y16" s="2">
        <v>0.16</v>
      </c>
      <c r="Z16" s="2">
        <v>0.3</v>
      </c>
      <c r="AA16" s="2">
        <v>0.22</v>
      </c>
      <c r="AB16" s="2">
        <v>4.3</v>
      </c>
      <c r="AC16">
        <v>49</v>
      </c>
      <c r="AD16">
        <v>114</v>
      </c>
      <c r="AE16">
        <v>111</v>
      </c>
      <c r="AF16">
        <v>100</v>
      </c>
      <c r="AG16">
        <v>48</v>
      </c>
      <c r="AH16">
        <v>20</v>
      </c>
      <c r="AI16">
        <v>40</v>
      </c>
      <c r="AJ16">
        <v>20</v>
      </c>
      <c r="AK16">
        <v>100</v>
      </c>
      <c r="AL16">
        <v>289</v>
      </c>
      <c r="AM16" t="s">
        <v>78</v>
      </c>
      <c r="AN16">
        <v>1000</v>
      </c>
      <c r="AO16">
        <v>10</v>
      </c>
      <c r="AY16">
        <v>8</v>
      </c>
      <c r="AZ16" s="5">
        <f t="shared" si="1"/>
        <v>13.953488372093023</v>
      </c>
      <c r="BA16" s="5">
        <f t="shared" si="4"/>
        <v>13.953488372093023</v>
      </c>
    </row>
    <row r="17" spans="1:54" x14ac:dyDescent="0.3">
      <c r="A17" s="2">
        <v>906</v>
      </c>
      <c r="B17" s="2" t="s">
        <v>0</v>
      </c>
      <c r="C17" s="2" t="s">
        <v>21</v>
      </c>
      <c r="D17" s="2" t="s">
        <v>366</v>
      </c>
      <c r="E17" s="2">
        <v>1080</v>
      </c>
      <c r="F17" s="2">
        <v>1.32E-2</v>
      </c>
      <c r="G17" s="2">
        <v>1.04E-2</v>
      </c>
      <c r="H17" s="91">
        <f t="shared" si="3"/>
        <v>0.21212121212121215</v>
      </c>
      <c r="I17" s="2" t="s">
        <v>73</v>
      </c>
      <c r="J17" s="105" t="s">
        <v>367</v>
      </c>
      <c r="K17" s="2" t="s">
        <v>305</v>
      </c>
      <c r="L17" s="2" t="s">
        <v>1402</v>
      </c>
      <c r="M17" s="2">
        <v>6</v>
      </c>
      <c r="N17" s="6">
        <v>24</v>
      </c>
      <c r="O17" s="6"/>
      <c r="P17" s="2" t="s">
        <v>7</v>
      </c>
      <c r="Q17" s="95">
        <v>45348</v>
      </c>
      <c r="R17" s="2">
        <v>15</v>
      </c>
      <c r="S17" s="2">
        <v>1.8</v>
      </c>
      <c r="T17" s="2">
        <v>0.2</v>
      </c>
      <c r="U17" s="2">
        <v>2</v>
      </c>
      <c r="V17" s="2">
        <v>0.3</v>
      </c>
      <c r="W17" s="2">
        <v>0.6</v>
      </c>
      <c r="X17" s="2">
        <v>0.16</v>
      </c>
      <c r="Y17" s="2">
        <v>0.18</v>
      </c>
      <c r="Z17" s="2">
        <v>0.7</v>
      </c>
      <c r="AA17" s="2">
        <v>0.28000000000000003</v>
      </c>
      <c r="AB17" s="2">
        <v>6.5</v>
      </c>
      <c r="AC17">
        <v>41</v>
      </c>
      <c r="AD17">
        <v>100</v>
      </c>
      <c r="AE17">
        <v>100</v>
      </c>
      <c r="AF17">
        <v>100</v>
      </c>
      <c r="AG17">
        <v>45</v>
      </c>
      <c r="AH17">
        <v>20</v>
      </c>
      <c r="AI17">
        <v>40</v>
      </c>
      <c r="AJ17">
        <v>20</v>
      </c>
      <c r="AK17">
        <v>100</v>
      </c>
      <c r="AL17">
        <v>368</v>
      </c>
      <c r="AM17" t="s">
        <v>78</v>
      </c>
      <c r="AN17">
        <v>1200</v>
      </c>
      <c r="AO17">
        <v>10</v>
      </c>
      <c r="AY17">
        <v>4</v>
      </c>
      <c r="AZ17" s="5">
        <f t="shared" si="1"/>
        <v>55.384615384615387</v>
      </c>
      <c r="BA17" s="5">
        <f t="shared" si="4"/>
        <v>9.2307692307692299</v>
      </c>
    </row>
    <row r="18" spans="1:54" x14ac:dyDescent="0.3">
      <c r="A18" s="2">
        <v>1082</v>
      </c>
      <c r="B18" s="2" t="s">
        <v>0</v>
      </c>
      <c r="C18" s="2" t="s">
        <v>21</v>
      </c>
      <c r="D18" s="2" t="s">
        <v>513</v>
      </c>
      <c r="E18" s="2">
        <v>100</v>
      </c>
      <c r="F18" s="2">
        <v>9.3299999999999994E-2</v>
      </c>
      <c r="G18" s="2">
        <v>7.1999999999999995E-2</v>
      </c>
      <c r="H18" s="91">
        <f t="shared" si="3"/>
        <v>0.22829581993569134</v>
      </c>
      <c r="I18" s="2" t="s">
        <v>73</v>
      </c>
      <c r="J18" s="27" t="s">
        <v>514</v>
      </c>
      <c r="K18" s="2" t="s">
        <v>105</v>
      </c>
      <c r="L18" s="2" t="s">
        <v>76</v>
      </c>
      <c r="M18" s="2">
        <v>1</v>
      </c>
      <c r="N18" s="6">
        <v>50</v>
      </c>
      <c r="O18" s="6"/>
      <c r="P18" s="2" t="s">
        <v>7</v>
      </c>
      <c r="Q18" s="95">
        <v>45376</v>
      </c>
      <c r="R18" s="2">
        <v>14</v>
      </c>
      <c r="S18" s="2">
        <v>1.1000000000000001</v>
      </c>
      <c r="T18" s="2">
        <v>0.2</v>
      </c>
      <c r="U18" s="2">
        <v>1.1000000000000001</v>
      </c>
      <c r="V18" s="2">
        <v>0.2</v>
      </c>
      <c r="W18" s="2">
        <v>0.5</v>
      </c>
      <c r="X18" s="2">
        <v>0.13</v>
      </c>
      <c r="Y18" s="2">
        <v>0.18</v>
      </c>
      <c r="Z18" s="2">
        <v>0.45</v>
      </c>
      <c r="AA18" s="2">
        <v>0.35</v>
      </c>
      <c r="AB18" s="2">
        <v>4.8</v>
      </c>
      <c r="AC18">
        <v>52</v>
      </c>
      <c r="AD18">
        <v>113</v>
      </c>
      <c r="AE18">
        <v>11</v>
      </c>
      <c r="AF18">
        <v>109</v>
      </c>
      <c r="AG18">
        <v>45</v>
      </c>
      <c r="AH18">
        <v>20</v>
      </c>
      <c r="AI18">
        <v>40</v>
      </c>
      <c r="AJ18">
        <v>20</v>
      </c>
      <c r="AK18">
        <v>100</v>
      </c>
      <c r="AL18">
        <v>288</v>
      </c>
      <c r="AM18" t="s">
        <v>78</v>
      </c>
      <c r="AN18">
        <v>400</v>
      </c>
      <c r="AO18">
        <v>10</v>
      </c>
      <c r="AY18">
        <v>6</v>
      </c>
      <c r="AZ18" s="5">
        <f t="shared" si="1"/>
        <v>12.5</v>
      </c>
      <c r="BA18" s="5">
        <f t="shared" si="4"/>
        <v>12.5</v>
      </c>
    </row>
    <row r="19" spans="1:54" x14ac:dyDescent="0.3">
      <c r="A19" s="2">
        <v>1033</v>
      </c>
      <c r="B19" s="2" t="s">
        <v>0</v>
      </c>
      <c r="C19" s="2" t="s">
        <v>21</v>
      </c>
      <c r="D19" s="2" t="s">
        <v>425</v>
      </c>
      <c r="E19" s="2">
        <v>960</v>
      </c>
      <c r="F19" s="2">
        <v>1.2699999999999999E-2</v>
      </c>
      <c r="G19" s="2">
        <v>9.4999999999999998E-3</v>
      </c>
      <c r="H19" s="91">
        <f t="shared" si="3"/>
        <v>0.25196850393700787</v>
      </c>
      <c r="I19" s="2" t="s">
        <v>73</v>
      </c>
      <c r="J19" s="105" t="s">
        <v>426</v>
      </c>
      <c r="K19" s="2" t="s">
        <v>105</v>
      </c>
      <c r="L19" s="2" t="s">
        <v>76</v>
      </c>
      <c r="M19" s="2">
        <v>10</v>
      </c>
      <c r="N19" s="6">
        <v>25</v>
      </c>
      <c r="O19" s="6"/>
      <c r="P19" s="2" t="s">
        <v>7</v>
      </c>
      <c r="Q19" s="95">
        <v>45360</v>
      </c>
      <c r="R19" s="2">
        <v>14</v>
      </c>
      <c r="S19" s="2">
        <v>2.5</v>
      </c>
      <c r="T19" s="2">
        <v>0.5</v>
      </c>
      <c r="U19" s="2">
        <v>2</v>
      </c>
      <c r="V19" s="2">
        <v>0.55000000000000004</v>
      </c>
      <c r="W19" s="2">
        <v>0.5</v>
      </c>
      <c r="X19" s="2">
        <v>0.16</v>
      </c>
      <c r="Y19" s="2">
        <v>0.3</v>
      </c>
      <c r="Z19" s="2">
        <v>0.9</v>
      </c>
      <c r="AA19" s="2">
        <v>0.6</v>
      </c>
      <c r="AB19" s="2">
        <v>8.5</v>
      </c>
      <c r="AC19">
        <v>39</v>
      </c>
      <c r="AD19">
        <v>119</v>
      </c>
      <c r="AE19">
        <v>119</v>
      </c>
      <c r="AF19">
        <v>119</v>
      </c>
      <c r="AG19">
        <v>45</v>
      </c>
      <c r="AH19">
        <v>20</v>
      </c>
      <c r="AI19">
        <v>40</v>
      </c>
      <c r="AJ19">
        <v>20</v>
      </c>
      <c r="AK19">
        <v>100</v>
      </c>
      <c r="AL19">
        <v>340</v>
      </c>
      <c r="AM19" t="s">
        <v>78</v>
      </c>
      <c r="AN19">
        <v>700</v>
      </c>
      <c r="AO19">
        <v>10</v>
      </c>
      <c r="AY19" s="108">
        <v>1</v>
      </c>
      <c r="AZ19" s="5">
        <f t="shared" si="1"/>
        <v>70.588235294117652</v>
      </c>
      <c r="BA19" s="5">
        <f t="shared" si="4"/>
        <v>7.0588235294117645</v>
      </c>
    </row>
    <row r="20" spans="1:54" x14ac:dyDescent="0.3">
      <c r="A20" s="2"/>
      <c r="B20" s="2"/>
      <c r="C20" s="2"/>
      <c r="D20" s="2"/>
      <c r="E20" s="2"/>
      <c r="F20" s="2"/>
      <c r="G20" s="2"/>
      <c r="H20" s="91"/>
      <c r="I20" s="2"/>
      <c r="J20" s="2"/>
      <c r="K20" s="2"/>
      <c r="L20" s="2"/>
      <c r="M20" s="2"/>
      <c r="N20" s="6"/>
      <c r="O20" s="6"/>
      <c r="P20" s="2"/>
      <c r="Q20" s="9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BA20" s="5"/>
    </row>
    <row r="21" spans="1:54" x14ac:dyDescent="0.3">
      <c r="A21" s="2">
        <v>1914</v>
      </c>
      <c r="B21" s="2" t="s">
        <v>0</v>
      </c>
      <c r="C21" s="2" t="s">
        <v>21</v>
      </c>
      <c r="D21" s="2" t="s">
        <v>106</v>
      </c>
      <c r="E21" s="2">
        <v>300</v>
      </c>
      <c r="F21" s="2">
        <v>2.6200000000000001E-2</v>
      </c>
      <c r="G21" s="2">
        <v>2.1399999999999999E-2</v>
      </c>
      <c r="H21" s="91">
        <f t="shared" ref="H21:H33" si="5">(F21-G21)/F21</f>
        <v>0.18320610687022909</v>
      </c>
      <c r="I21" s="2" t="s">
        <v>82</v>
      </c>
      <c r="J21" s="106" t="s">
        <v>107</v>
      </c>
      <c r="K21" s="2" t="s">
        <v>90</v>
      </c>
      <c r="L21" s="2" t="s">
        <v>1402</v>
      </c>
      <c r="M21" s="2">
        <v>3</v>
      </c>
      <c r="N21" s="6">
        <v>45</v>
      </c>
      <c r="O21" s="6"/>
      <c r="P21" s="2" t="s">
        <v>359</v>
      </c>
      <c r="Q21" s="101" t="s">
        <v>108</v>
      </c>
      <c r="R21" s="2" t="s">
        <v>109</v>
      </c>
      <c r="S21" s="102" t="s">
        <v>110</v>
      </c>
      <c r="T21" s="102" t="s">
        <v>111</v>
      </c>
      <c r="U21" s="102" t="s">
        <v>112</v>
      </c>
      <c r="V21" s="102" t="s">
        <v>111</v>
      </c>
      <c r="W21" s="102" t="s">
        <v>113</v>
      </c>
      <c r="X21" s="102" t="s">
        <v>114</v>
      </c>
      <c r="Y21" s="102" t="s">
        <v>115</v>
      </c>
      <c r="Z21" s="102" t="s">
        <v>116</v>
      </c>
      <c r="AA21" s="102" t="s">
        <v>117</v>
      </c>
      <c r="AB21" s="102" t="s">
        <v>118</v>
      </c>
      <c r="AC21" s="13" t="s">
        <v>119</v>
      </c>
      <c r="AD21" s="13" t="s">
        <v>120</v>
      </c>
      <c r="AE21" s="13" t="s">
        <v>120</v>
      </c>
      <c r="AF21" s="13" t="s">
        <v>120</v>
      </c>
      <c r="AG21" s="13" t="s">
        <v>121</v>
      </c>
      <c r="AH21" s="13" t="s">
        <v>122</v>
      </c>
      <c r="AI21" s="13" t="s">
        <v>123</v>
      </c>
      <c r="AJ21" s="13" t="s">
        <v>122</v>
      </c>
      <c r="AK21" s="13" t="s">
        <v>124</v>
      </c>
      <c r="AL21" s="13" t="s">
        <v>125</v>
      </c>
      <c r="AM21" s="13" t="s">
        <v>78</v>
      </c>
      <c r="AN21" s="13" t="s">
        <v>126</v>
      </c>
      <c r="AO21" s="39" t="s">
        <v>127</v>
      </c>
      <c r="AP21" s="13"/>
      <c r="AQ21" s="13"/>
      <c r="AR21" s="13"/>
      <c r="AS21" s="13"/>
      <c r="AT21" s="13"/>
      <c r="AY21">
        <v>6</v>
      </c>
      <c r="AZ21" s="5" t="e">
        <f t="shared" si="1"/>
        <v>#VALUE!</v>
      </c>
      <c r="BA21" s="5" t="e">
        <f t="shared" si="4"/>
        <v>#VALUE!</v>
      </c>
    </row>
    <row r="22" spans="1:54" x14ac:dyDescent="0.3">
      <c r="A22" s="2">
        <v>1922</v>
      </c>
      <c r="B22" s="2" t="s">
        <v>0</v>
      </c>
      <c r="C22" s="2" t="s">
        <v>21</v>
      </c>
      <c r="D22" s="2" t="s">
        <v>176</v>
      </c>
      <c r="E22" s="2">
        <v>300</v>
      </c>
      <c r="F22" s="2">
        <v>1.84E-2</v>
      </c>
      <c r="G22" s="2">
        <v>1.5800000000000002E-2</v>
      </c>
      <c r="H22" s="91">
        <f t="shared" si="5"/>
        <v>0.14130434782608686</v>
      </c>
      <c r="I22" s="2" t="s">
        <v>82</v>
      </c>
      <c r="J22" s="106" t="s">
        <v>177</v>
      </c>
      <c r="K22" s="2" t="s">
        <v>90</v>
      </c>
      <c r="L22" s="2" t="s">
        <v>1402</v>
      </c>
      <c r="M22" s="2">
        <v>4</v>
      </c>
      <c r="N22" s="6">
        <v>60</v>
      </c>
      <c r="O22" s="6"/>
      <c r="P22" s="2" t="s">
        <v>7</v>
      </c>
      <c r="Q22" s="95">
        <v>45404</v>
      </c>
      <c r="R22" s="2">
        <v>12</v>
      </c>
      <c r="S22" s="2">
        <v>1.3</v>
      </c>
      <c r="T22" s="2">
        <v>0.3</v>
      </c>
      <c r="U22" s="2">
        <v>1.2</v>
      </c>
      <c r="V22" s="2">
        <v>0.3</v>
      </c>
      <c r="W22" s="2">
        <v>0.7</v>
      </c>
      <c r="X22" s="2">
        <v>0.15</v>
      </c>
      <c r="Y22" s="2">
        <v>0.18</v>
      </c>
      <c r="Z22" s="2">
        <v>0.4</v>
      </c>
      <c r="AA22" s="2">
        <v>0.3</v>
      </c>
      <c r="AB22" s="2">
        <v>5.2</v>
      </c>
      <c r="AC22">
        <v>49</v>
      </c>
      <c r="AD22">
        <v>106</v>
      </c>
      <c r="AE22">
        <v>106</v>
      </c>
      <c r="AF22">
        <v>106</v>
      </c>
      <c r="AG22">
        <v>40</v>
      </c>
      <c r="AH22">
        <v>38</v>
      </c>
      <c r="AI22">
        <v>40</v>
      </c>
      <c r="AJ22">
        <v>40</v>
      </c>
      <c r="AK22">
        <v>101</v>
      </c>
      <c r="AL22">
        <v>459</v>
      </c>
      <c r="AM22" t="s">
        <v>78</v>
      </c>
      <c r="AN22">
        <v>2000</v>
      </c>
      <c r="AO22">
        <v>10</v>
      </c>
      <c r="AY22">
        <v>7</v>
      </c>
      <c r="AZ22" s="5">
        <f t="shared" si="1"/>
        <v>46.153846153846153</v>
      </c>
      <c r="BA22" s="5">
        <f t="shared" si="4"/>
        <v>11.538461538461538</v>
      </c>
    </row>
    <row r="23" spans="1:54" x14ac:dyDescent="0.3">
      <c r="A23" s="2">
        <v>1093</v>
      </c>
      <c r="B23" s="2" t="s">
        <v>0</v>
      </c>
      <c r="C23" s="2" t="s">
        <v>21</v>
      </c>
      <c r="D23" s="2" t="s">
        <v>468</v>
      </c>
      <c r="E23" s="2">
        <v>300</v>
      </c>
      <c r="F23" s="2">
        <v>1.09E-2</v>
      </c>
      <c r="G23" s="2">
        <v>6.4000000000000003E-3</v>
      </c>
      <c r="H23" s="91">
        <f t="shared" si="5"/>
        <v>0.41284403669724767</v>
      </c>
      <c r="I23" s="2" t="s">
        <v>82</v>
      </c>
      <c r="J23" s="23" t="s">
        <v>134</v>
      </c>
      <c r="K23" s="2" t="s">
        <v>469</v>
      </c>
      <c r="L23" s="2" t="s">
        <v>1402</v>
      </c>
      <c r="M23" s="2">
        <v>6</v>
      </c>
      <c r="N23" s="6">
        <v>75</v>
      </c>
      <c r="O23" s="6"/>
      <c r="P23" s="2" t="s">
        <v>7</v>
      </c>
      <c r="Q23" s="96">
        <v>45348</v>
      </c>
      <c r="R23" s="2">
        <v>12</v>
      </c>
      <c r="S23" s="2">
        <v>2</v>
      </c>
      <c r="T23" s="2">
        <v>1.1000000000000001</v>
      </c>
      <c r="U23" s="2">
        <v>2.1</v>
      </c>
      <c r="V23" s="2">
        <v>1.1000000000000001</v>
      </c>
      <c r="W23" s="2">
        <v>0.25</v>
      </c>
      <c r="X23" s="2">
        <v>0.15</v>
      </c>
      <c r="Y23" s="2">
        <v>0.18</v>
      </c>
      <c r="Z23" s="2">
        <v>0.35</v>
      </c>
      <c r="AA23" s="2">
        <v>0.25</v>
      </c>
      <c r="AB23" s="2">
        <v>6.8</v>
      </c>
      <c r="AC23">
        <v>41</v>
      </c>
      <c r="AD23">
        <v>97</v>
      </c>
      <c r="AE23">
        <v>98</v>
      </c>
      <c r="AF23">
        <v>98</v>
      </c>
      <c r="AG23">
        <v>44</v>
      </c>
      <c r="AH23">
        <v>38</v>
      </c>
      <c r="AI23">
        <v>40</v>
      </c>
      <c r="AJ23">
        <v>40</v>
      </c>
      <c r="AK23">
        <v>67</v>
      </c>
      <c r="AL23">
        <v>328</v>
      </c>
      <c r="AM23" t="s">
        <v>78</v>
      </c>
      <c r="AN23">
        <v>2550</v>
      </c>
      <c r="AO23">
        <v>10</v>
      </c>
      <c r="AY23">
        <v>2</v>
      </c>
      <c r="AZ23" s="5">
        <f t="shared" si="1"/>
        <v>52.941176470588239</v>
      </c>
      <c r="BA23" s="5">
        <f t="shared" si="4"/>
        <v>8.8235294117647065</v>
      </c>
      <c r="BB23">
        <f>60*60*M23*7/E23/7</f>
        <v>72</v>
      </c>
    </row>
    <row r="24" spans="1:54" x14ac:dyDescent="0.3">
      <c r="A24" s="2">
        <v>591</v>
      </c>
      <c r="B24" s="2" t="s">
        <v>0</v>
      </c>
      <c r="C24" s="2" t="s">
        <v>21</v>
      </c>
      <c r="D24" s="2" t="s">
        <v>429</v>
      </c>
      <c r="E24" s="2">
        <v>1080</v>
      </c>
      <c r="F24" s="2">
        <v>7.1000000000000004E-3</v>
      </c>
      <c r="G24" s="2">
        <v>5.4999999999999997E-3</v>
      </c>
      <c r="H24" s="91">
        <f t="shared" si="5"/>
        <v>0.22535211267605643</v>
      </c>
      <c r="I24" s="2" t="s">
        <v>82</v>
      </c>
      <c r="J24" s="105" t="s">
        <v>107</v>
      </c>
      <c r="K24" s="2" t="s">
        <v>95</v>
      </c>
      <c r="L24" s="2" t="s">
        <v>1402</v>
      </c>
      <c r="M24" s="2">
        <v>15</v>
      </c>
      <c r="N24" s="6">
        <v>30</v>
      </c>
      <c r="O24" s="6"/>
      <c r="P24" s="2" t="s">
        <v>7</v>
      </c>
      <c r="Q24" s="95">
        <v>45351</v>
      </c>
      <c r="R24" s="2">
        <v>12</v>
      </c>
      <c r="S24" s="2">
        <v>1.9</v>
      </c>
      <c r="T24" s="2">
        <v>0.5</v>
      </c>
      <c r="U24" s="2">
        <v>2</v>
      </c>
      <c r="V24" s="2">
        <v>0.8</v>
      </c>
      <c r="W24" s="2">
        <v>1.3</v>
      </c>
      <c r="X24" s="2">
        <v>0.16</v>
      </c>
      <c r="Y24" s="2">
        <v>0.14000000000000001</v>
      </c>
      <c r="Z24" s="2">
        <v>0.9</v>
      </c>
      <c r="AA24" s="2">
        <v>0.6</v>
      </c>
      <c r="AB24" s="2">
        <v>8.6999999999999993</v>
      </c>
      <c r="AC24">
        <v>52</v>
      </c>
      <c r="AD24">
        <v>100</v>
      </c>
      <c r="AE24">
        <v>100</v>
      </c>
      <c r="AF24">
        <v>100</v>
      </c>
      <c r="AG24">
        <v>44</v>
      </c>
      <c r="AH24">
        <v>30</v>
      </c>
      <c r="AI24">
        <v>40</v>
      </c>
      <c r="AJ24">
        <v>40</v>
      </c>
      <c r="AK24">
        <v>66</v>
      </c>
      <c r="AL24">
        <v>510</v>
      </c>
      <c r="AM24" t="s">
        <v>78</v>
      </c>
      <c r="AN24">
        <v>2500</v>
      </c>
      <c r="AO24">
        <v>10</v>
      </c>
      <c r="AY24">
        <v>1</v>
      </c>
      <c r="AZ24" s="5">
        <f t="shared" si="1"/>
        <v>103.44827586206897</v>
      </c>
      <c r="BA24" s="5">
        <f t="shared" si="4"/>
        <v>6.8965517241379315</v>
      </c>
    </row>
    <row r="25" spans="1:54" x14ac:dyDescent="0.3">
      <c r="A25" s="2">
        <v>1821</v>
      </c>
      <c r="B25" s="2" t="s">
        <v>0</v>
      </c>
      <c r="C25" s="2" t="s">
        <v>21</v>
      </c>
      <c r="D25" s="2" t="s">
        <v>182</v>
      </c>
      <c r="E25" s="2">
        <v>360</v>
      </c>
      <c r="F25" s="2">
        <v>3.4299999999999997E-2</v>
      </c>
      <c r="G25" s="2">
        <v>2.8299999999999999E-2</v>
      </c>
      <c r="H25" s="91">
        <f t="shared" si="5"/>
        <v>0.17492711370262387</v>
      </c>
      <c r="I25" s="2" t="s">
        <v>82</v>
      </c>
      <c r="J25" s="107" t="s">
        <v>174</v>
      </c>
      <c r="K25" s="2" t="s">
        <v>175</v>
      </c>
      <c r="L25" s="2" t="s">
        <v>1402</v>
      </c>
      <c r="M25" s="2">
        <v>2</v>
      </c>
      <c r="N25" s="6">
        <v>41</v>
      </c>
      <c r="O25" s="6"/>
      <c r="P25" s="2" t="s">
        <v>7</v>
      </c>
      <c r="Q25" s="96">
        <v>45376</v>
      </c>
      <c r="R25" s="2">
        <v>12</v>
      </c>
      <c r="S25" s="2">
        <v>1.1000000000000001</v>
      </c>
      <c r="T25" s="2">
        <v>0.1</v>
      </c>
      <c r="U25" s="2">
        <v>1.1000000000000001</v>
      </c>
      <c r="V25" s="2">
        <v>0.1</v>
      </c>
      <c r="W25" s="2">
        <v>0.45</v>
      </c>
      <c r="X25" s="2">
        <v>0.12</v>
      </c>
      <c r="Y25" s="2">
        <v>0.22</v>
      </c>
      <c r="Z25" s="2">
        <v>0.4</v>
      </c>
      <c r="AA25" s="2">
        <v>0.18</v>
      </c>
      <c r="AB25" s="2">
        <v>3.6</v>
      </c>
      <c r="AC25">
        <v>46</v>
      </c>
      <c r="AD25">
        <v>106</v>
      </c>
      <c r="AE25">
        <v>106</v>
      </c>
      <c r="AF25">
        <v>106</v>
      </c>
      <c r="AG25">
        <v>40</v>
      </c>
      <c r="AH25">
        <v>30</v>
      </c>
      <c r="AI25">
        <v>40</v>
      </c>
      <c r="AJ25">
        <v>40</v>
      </c>
      <c r="AK25">
        <v>101</v>
      </c>
      <c r="AL25">
        <v>331</v>
      </c>
      <c r="AM25" t="s">
        <v>78</v>
      </c>
      <c r="AN25">
        <v>2500</v>
      </c>
      <c r="AO25">
        <v>10</v>
      </c>
      <c r="AY25">
        <v>9</v>
      </c>
      <c r="AZ25" s="5">
        <f t="shared" si="1"/>
        <v>33.333333333333336</v>
      </c>
      <c r="BA25" s="5">
        <f t="shared" si="4"/>
        <v>16.666666666666668</v>
      </c>
    </row>
    <row r="26" spans="1:54" x14ac:dyDescent="0.3">
      <c r="A26" s="2">
        <v>1819</v>
      </c>
      <c r="B26" s="2" t="s">
        <v>0</v>
      </c>
      <c r="C26" s="2" t="s">
        <v>21</v>
      </c>
      <c r="D26" s="2" t="s">
        <v>173</v>
      </c>
      <c r="E26" s="2">
        <v>360</v>
      </c>
      <c r="F26" s="2">
        <v>3.4299999999999997E-2</v>
      </c>
      <c r="G26" s="2">
        <v>2.8299999999999999E-2</v>
      </c>
      <c r="H26" s="91">
        <f t="shared" si="5"/>
        <v>0.17492711370262387</v>
      </c>
      <c r="I26" s="2" t="s">
        <v>82</v>
      </c>
      <c r="J26" s="106" t="s">
        <v>174</v>
      </c>
      <c r="K26" s="2" t="s">
        <v>175</v>
      </c>
      <c r="L26" s="2" t="s">
        <v>1402</v>
      </c>
      <c r="M26" s="2">
        <v>2</v>
      </c>
      <c r="N26" s="6">
        <v>41</v>
      </c>
      <c r="O26" s="6"/>
      <c r="P26" s="2" t="s">
        <v>7</v>
      </c>
      <c r="Q26" s="96">
        <v>45504</v>
      </c>
      <c r="R26" s="2">
        <v>12</v>
      </c>
      <c r="S26" s="2">
        <v>0.8</v>
      </c>
      <c r="T26" s="2">
        <v>0.15</v>
      </c>
      <c r="U26" s="2">
        <v>0.8</v>
      </c>
      <c r="V26" s="2">
        <v>0.15</v>
      </c>
      <c r="W26" s="2">
        <v>0.4</v>
      </c>
      <c r="X26" s="2">
        <v>0.12</v>
      </c>
      <c r="Y26" s="2">
        <v>0.16</v>
      </c>
      <c r="Z26" s="2">
        <v>0.33</v>
      </c>
      <c r="AA26" s="2">
        <v>0.15</v>
      </c>
      <c r="AB26" s="2">
        <v>3.6</v>
      </c>
      <c r="AC26">
        <v>51</v>
      </c>
      <c r="AD26">
        <v>104</v>
      </c>
      <c r="AE26">
        <v>104</v>
      </c>
      <c r="AF26">
        <v>104</v>
      </c>
      <c r="AG26">
        <v>40</v>
      </c>
      <c r="AH26">
        <v>30</v>
      </c>
      <c r="AI26">
        <v>40</v>
      </c>
      <c r="AJ26">
        <v>40</v>
      </c>
      <c r="AK26">
        <v>100</v>
      </c>
      <c r="AL26">
        <v>330</v>
      </c>
      <c r="AM26" t="s">
        <v>78</v>
      </c>
      <c r="AN26">
        <v>2400</v>
      </c>
      <c r="AO26">
        <v>10</v>
      </c>
      <c r="AY26">
        <v>9</v>
      </c>
      <c r="AZ26" s="5">
        <f t="shared" si="1"/>
        <v>33.333333333333336</v>
      </c>
      <c r="BA26" s="5">
        <f t="shared" si="4"/>
        <v>16.666666666666668</v>
      </c>
    </row>
    <row r="27" spans="1:54" x14ac:dyDescent="0.3">
      <c r="A27" s="2">
        <v>1078</v>
      </c>
      <c r="B27" s="2" t="s">
        <v>0</v>
      </c>
      <c r="C27" s="2" t="s">
        <v>21</v>
      </c>
      <c r="D27" s="2" t="s">
        <v>470</v>
      </c>
      <c r="E27" s="2">
        <v>240</v>
      </c>
      <c r="F27" s="2">
        <v>1.29E-2</v>
      </c>
      <c r="G27" s="2">
        <v>9.2999999999999992E-3</v>
      </c>
      <c r="H27" s="91">
        <f t="shared" si="5"/>
        <v>0.27906976744186052</v>
      </c>
      <c r="I27" s="2" t="s">
        <v>98</v>
      </c>
      <c r="J27" s="23" t="s">
        <v>174</v>
      </c>
      <c r="K27" s="2" t="s">
        <v>471</v>
      </c>
      <c r="L27" s="2" t="s">
        <v>1402</v>
      </c>
      <c r="M27" s="2">
        <v>6</v>
      </c>
      <c r="N27" s="6">
        <v>40</v>
      </c>
      <c r="O27" s="6"/>
      <c r="P27" s="2" t="s">
        <v>7</v>
      </c>
      <c r="Q27" s="95">
        <v>45366</v>
      </c>
      <c r="R27" s="2">
        <v>15</v>
      </c>
      <c r="S27" s="2">
        <v>3</v>
      </c>
      <c r="T27" s="2">
        <v>2.5</v>
      </c>
      <c r="U27" s="2">
        <v>3.8</v>
      </c>
      <c r="V27" s="2">
        <v>2</v>
      </c>
      <c r="W27" s="2">
        <v>0.35</v>
      </c>
      <c r="X27" s="2">
        <v>0.21</v>
      </c>
      <c r="Y27" s="2">
        <v>0.18</v>
      </c>
      <c r="Z27" s="2">
        <v>0.55000000000000004</v>
      </c>
      <c r="AA27" s="2">
        <v>0.57999999999999996</v>
      </c>
      <c r="AB27" s="2">
        <v>6.8</v>
      </c>
      <c r="AC27">
        <v>50</v>
      </c>
      <c r="AD27">
        <v>125</v>
      </c>
      <c r="AE27">
        <v>125</v>
      </c>
      <c r="AF27">
        <v>128</v>
      </c>
      <c r="AG27">
        <v>50</v>
      </c>
      <c r="AH27">
        <v>20</v>
      </c>
      <c r="AI27">
        <v>40</v>
      </c>
      <c r="AJ27">
        <v>20</v>
      </c>
      <c r="AK27">
        <v>100</v>
      </c>
      <c r="AL27">
        <v>392</v>
      </c>
      <c r="AM27" t="s">
        <v>78</v>
      </c>
      <c r="AN27">
        <v>1000</v>
      </c>
      <c r="AO27">
        <v>10</v>
      </c>
      <c r="AY27" s="108">
        <v>1</v>
      </c>
      <c r="AZ27" s="5">
        <f>60*M27/AB27</f>
        <v>52.941176470588239</v>
      </c>
      <c r="BA27" s="5">
        <f>60/AB27</f>
        <v>8.8235294117647065</v>
      </c>
      <c r="BB27">
        <f>60*60*M27*7/E27/7</f>
        <v>90</v>
      </c>
    </row>
    <row r="28" spans="1:54" x14ac:dyDescent="0.3">
      <c r="A28" s="2">
        <v>1818</v>
      </c>
      <c r="B28" s="2" t="s">
        <v>0</v>
      </c>
      <c r="C28" s="2" t="s">
        <v>21</v>
      </c>
      <c r="D28" s="2" t="s">
        <v>172</v>
      </c>
      <c r="E28" s="2">
        <v>200</v>
      </c>
      <c r="F28" s="2">
        <v>2.9899999999999999E-2</v>
      </c>
      <c r="G28" s="2">
        <v>2.47E-2</v>
      </c>
      <c r="H28" s="91">
        <f t="shared" si="5"/>
        <v>0.17391304347826086</v>
      </c>
      <c r="I28" s="2" t="s">
        <v>82</v>
      </c>
      <c r="J28" s="106" t="s">
        <v>89</v>
      </c>
      <c r="K28" s="2" t="s">
        <v>163</v>
      </c>
      <c r="L28" s="2" t="s">
        <v>1402</v>
      </c>
      <c r="M28" s="2">
        <v>2</v>
      </c>
      <c r="N28" s="6">
        <v>58</v>
      </c>
      <c r="O28" s="6"/>
      <c r="P28" s="2" t="s">
        <v>7</v>
      </c>
      <c r="Q28" s="96">
        <v>45391</v>
      </c>
      <c r="R28" s="2">
        <v>15</v>
      </c>
      <c r="S28" s="2">
        <v>1</v>
      </c>
      <c r="T28" s="2">
        <v>0.1</v>
      </c>
      <c r="U28" s="2">
        <v>1</v>
      </c>
      <c r="V28" s="2">
        <v>0.1</v>
      </c>
      <c r="W28" s="2">
        <v>0.5</v>
      </c>
      <c r="X28" s="2">
        <v>0.2</v>
      </c>
      <c r="Y28" s="2">
        <v>0.16</v>
      </c>
      <c r="Z28" s="2">
        <v>0.7</v>
      </c>
      <c r="AA28" s="2">
        <v>0.3</v>
      </c>
      <c r="AB28" s="2">
        <v>4.5999999999999996</v>
      </c>
      <c r="AC28">
        <v>45</v>
      </c>
      <c r="AD28">
        <v>106</v>
      </c>
      <c r="AE28">
        <v>106</v>
      </c>
      <c r="AF28">
        <v>106</v>
      </c>
      <c r="AG28">
        <v>50</v>
      </c>
      <c r="AH28">
        <v>20</v>
      </c>
      <c r="AI28">
        <v>40</v>
      </c>
      <c r="AJ28">
        <v>20</v>
      </c>
      <c r="AK28">
        <v>100</v>
      </c>
      <c r="AL28">
        <v>297</v>
      </c>
      <c r="AM28" t="s">
        <v>78</v>
      </c>
      <c r="AN28">
        <v>1000</v>
      </c>
      <c r="AO28">
        <v>10</v>
      </c>
      <c r="AY28">
        <v>6</v>
      </c>
      <c r="AZ28" s="5">
        <f t="shared" si="1"/>
        <v>26.086956521739133</v>
      </c>
      <c r="BA28" s="5">
        <f t="shared" si="4"/>
        <v>13.043478260869566</v>
      </c>
    </row>
    <row r="29" spans="1:54" x14ac:dyDescent="0.3">
      <c r="A29" s="2">
        <v>1828</v>
      </c>
      <c r="B29" s="2" t="s">
        <v>0</v>
      </c>
      <c r="C29" s="2" t="s">
        <v>21</v>
      </c>
      <c r="D29" s="2" t="s">
        <v>198</v>
      </c>
      <c r="E29" s="2">
        <v>720</v>
      </c>
      <c r="F29" s="2">
        <v>1.38E-2</v>
      </c>
      <c r="G29" s="2">
        <v>1.09E-2</v>
      </c>
      <c r="H29" s="91">
        <f t="shared" si="5"/>
        <v>0.21014492753623187</v>
      </c>
      <c r="I29" s="2" t="s">
        <v>82</v>
      </c>
      <c r="J29" s="7" t="s">
        <v>199</v>
      </c>
      <c r="K29" s="2" t="s">
        <v>200</v>
      </c>
      <c r="L29" s="2" t="s">
        <v>76</v>
      </c>
      <c r="M29" s="2">
        <v>3</v>
      </c>
      <c r="N29" s="30">
        <v>27</v>
      </c>
      <c r="O29" s="6"/>
      <c r="P29" s="2" t="s">
        <v>7</v>
      </c>
      <c r="Q29" s="96">
        <v>45418</v>
      </c>
      <c r="R29" s="2">
        <v>13</v>
      </c>
      <c r="S29" s="2">
        <v>1</v>
      </c>
      <c r="T29" s="2">
        <v>0.1</v>
      </c>
      <c r="U29" s="2">
        <v>1</v>
      </c>
      <c r="V29" s="2">
        <v>0.1</v>
      </c>
      <c r="W29" s="2">
        <v>0.46</v>
      </c>
      <c r="X29" s="2">
        <v>0.28000000000000003</v>
      </c>
      <c r="Y29" s="2">
        <v>0.12</v>
      </c>
      <c r="Z29" s="2">
        <v>0.4</v>
      </c>
      <c r="AA29" s="2">
        <v>0.1</v>
      </c>
      <c r="AB29" s="2">
        <v>4</v>
      </c>
      <c r="AC29">
        <v>49</v>
      </c>
      <c r="AD29">
        <v>104</v>
      </c>
      <c r="AE29">
        <v>106</v>
      </c>
      <c r="AF29">
        <v>106</v>
      </c>
      <c r="AG29">
        <v>42</v>
      </c>
      <c r="AH29">
        <v>20</v>
      </c>
      <c r="AI29">
        <v>40</v>
      </c>
      <c r="AJ29">
        <v>20</v>
      </c>
      <c r="AK29">
        <v>65</v>
      </c>
      <c r="AL29">
        <v>181</v>
      </c>
      <c r="AM29" t="s">
        <v>78</v>
      </c>
      <c r="AN29">
        <v>500</v>
      </c>
      <c r="AO29">
        <v>10</v>
      </c>
      <c r="AY29">
        <v>8</v>
      </c>
      <c r="AZ29" s="5">
        <f t="shared" si="1"/>
        <v>45</v>
      </c>
      <c r="BA29" s="5">
        <f t="shared" si="4"/>
        <v>15</v>
      </c>
    </row>
    <row r="30" spans="1:54" x14ac:dyDescent="0.3">
      <c r="A30" s="2">
        <v>1831</v>
      </c>
      <c r="B30" s="2" t="s">
        <v>0</v>
      </c>
      <c r="C30" s="2" t="s">
        <v>21</v>
      </c>
      <c r="D30" s="2" t="s">
        <v>340</v>
      </c>
      <c r="E30" s="2">
        <v>200</v>
      </c>
      <c r="F30" s="2">
        <v>3.8399999999999997E-2</v>
      </c>
      <c r="G30" s="2">
        <v>2.7199999999999998E-2</v>
      </c>
      <c r="H30" s="91">
        <f t="shared" si="5"/>
        <v>0.29166666666666663</v>
      </c>
      <c r="I30" s="2" t="s">
        <v>82</v>
      </c>
      <c r="J30" s="7" t="s">
        <v>341</v>
      </c>
      <c r="K30" s="2" t="s">
        <v>5</v>
      </c>
      <c r="L30" s="2" t="s">
        <v>1402</v>
      </c>
      <c r="M30" s="2">
        <v>2</v>
      </c>
      <c r="N30" s="6">
        <v>58</v>
      </c>
      <c r="O30" s="6"/>
      <c r="P30" s="2" t="s">
        <v>7</v>
      </c>
      <c r="Q30" s="95">
        <v>45390</v>
      </c>
      <c r="R30" s="2">
        <v>13</v>
      </c>
      <c r="S30" s="2">
        <v>1.2</v>
      </c>
      <c r="T30" s="2">
        <v>0.1</v>
      </c>
      <c r="U30" s="2">
        <v>1.2</v>
      </c>
      <c r="V30" s="2">
        <v>0.1</v>
      </c>
      <c r="W30" s="2">
        <v>1.2</v>
      </c>
      <c r="X30" s="2">
        <v>0.18</v>
      </c>
      <c r="Y30" s="2">
        <v>0.25</v>
      </c>
      <c r="Z30" s="2">
        <v>0.6</v>
      </c>
      <c r="AA30" s="2">
        <v>0.25</v>
      </c>
      <c r="AB30" s="2">
        <v>5.4</v>
      </c>
      <c r="AC30">
        <v>35</v>
      </c>
      <c r="AD30">
        <v>101</v>
      </c>
      <c r="AE30">
        <v>102</v>
      </c>
      <c r="AF30">
        <v>107</v>
      </c>
      <c r="AG30">
        <v>48</v>
      </c>
      <c r="AH30">
        <v>20</v>
      </c>
      <c r="AI30">
        <v>40</v>
      </c>
      <c r="AJ30">
        <v>20</v>
      </c>
      <c r="AK30">
        <v>100</v>
      </c>
      <c r="AL30">
        <v>263</v>
      </c>
      <c r="AM30" t="s">
        <v>78</v>
      </c>
      <c r="AN30">
        <v>400</v>
      </c>
      <c r="AO30">
        <v>10</v>
      </c>
      <c r="AY30">
        <v>5</v>
      </c>
      <c r="AZ30" s="5">
        <f t="shared" si="1"/>
        <v>22.222222222222221</v>
      </c>
      <c r="BA30" s="5">
        <f t="shared" si="4"/>
        <v>11.111111111111111</v>
      </c>
    </row>
    <row r="31" spans="1:54" x14ac:dyDescent="0.3">
      <c r="A31" s="2">
        <v>1084</v>
      </c>
      <c r="B31" s="2" t="s">
        <v>0</v>
      </c>
      <c r="C31" s="2" t="s">
        <v>21</v>
      </c>
      <c r="D31" s="2" t="s">
        <v>515</v>
      </c>
      <c r="E31" s="2">
        <v>100</v>
      </c>
      <c r="F31" s="2">
        <v>0.1066</v>
      </c>
      <c r="G31" s="2">
        <v>8.2699999999999996E-2</v>
      </c>
      <c r="H31" s="91">
        <f t="shared" si="5"/>
        <v>0.22420262664165108</v>
      </c>
      <c r="I31" s="2" t="s">
        <v>73</v>
      </c>
      <c r="J31" s="106" t="s">
        <v>516</v>
      </c>
      <c r="K31" s="2" t="s">
        <v>105</v>
      </c>
      <c r="L31" s="2" t="s">
        <v>76</v>
      </c>
      <c r="M31" s="2">
        <v>1</v>
      </c>
      <c r="N31" s="6">
        <v>44</v>
      </c>
      <c r="O31" s="103"/>
      <c r="P31" s="2" t="s">
        <v>7</v>
      </c>
      <c r="Q31" s="95">
        <v>45392</v>
      </c>
      <c r="R31" s="2" t="s">
        <v>518</v>
      </c>
      <c r="S31" s="102" t="s">
        <v>519</v>
      </c>
      <c r="T31" s="102" t="s">
        <v>520</v>
      </c>
      <c r="U31" s="102" t="s">
        <v>521</v>
      </c>
      <c r="V31" s="102" t="s">
        <v>520</v>
      </c>
      <c r="W31" s="102" t="s">
        <v>522</v>
      </c>
      <c r="X31" s="102" t="s">
        <v>523</v>
      </c>
      <c r="Y31" s="102" t="s">
        <v>524</v>
      </c>
      <c r="Z31" s="102" t="s">
        <v>525</v>
      </c>
      <c r="AA31" s="102" t="s">
        <v>526</v>
      </c>
      <c r="AB31" s="102" t="s">
        <v>527</v>
      </c>
      <c r="AC31" t="s">
        <v>528</v>
      </c>
      <c r="AD31" t="s">
        <v>529</v>
      </c>
      <c r="AE31" t="s">
        <v>530</v>
      </c>
      <c r="AF31" t="s">
        <v>531</v>
      </c>
      <c r="AG31" t="s">
        <v>532</v>
      </c>
      <c r="AH31" s="13" t="s">
        <v>122</v>
      </c>
      <c r="AI31" s="13" t="s">
        <v>123</v>
      </c>
      <c r="AJ31" s="13" t="s">
        <v>122</v>
      </c>
      <c r="AK31" t="s">
        <v>124</v>
      </c>
      <c r="AL31" t="s">
        <v>533</v>
      </c>
      <c r="AM31" t="s">
        <v>78</v>
      </c>
      <c r="AN31" s="13" t="s">
        <v>534</v>
      </c>
      <c r="AO31" s="39" t="s">
        <v>127</v>
      </c>
      <c r="AY31">
        <v>4</v>
      </c>
      <c r="AZ31" s="5" t="e">
        <f t="shared" si="1"/>
        <v>#VALUE!</v>
      </c>
      <c r="BA31" s="5" t="e">
        <f t="shared" si="4"/>
        <v>#VALUE!</v>
      </c>
    </row>
    <row r="32" spans="1:54" x14ac:dyDescent="0.3">
      <c r="A32" s="2">
        <v>1832</v>
      </c>
      <c r="B32" s="2" t="s">
        <v>0</v>
      </c>
      <c r="C32" s="2" t="s">
        <v>21</v>
      </c>
      <c r="D32" s="2" t="s">
        <v>336</v>
      </c>
      <c r="E32" s="2">
        <v>200</v>
      </c>
      <c r="F32" s="2">
        <v>4.3799999999999999E-2</v>
      </c>
      <c r="G32" s="2">
        <v>3.0800000000000001E-2</v>
      </c>
      <c r="H32" s="91">
        <f t="shared" si="5"/>
        <v>0.29680365296803651</v>
      </c>
      <c r="I32" s="2" t="s">
        <v>82</v>
      </c>
      <c r="J32" s="7" t="s">
        <v>337</v>
      </c>
      <c r="K32" s="2" t="s">
        <v>305</v>
      </c>
      <c r="L32" s="2" t="s">
        <v>1402</v>
      </c>
      <c r="M32" s="2">
        <v>2</v>
      </c>
      <c r="N32" s="6">
        <v>43</v>
      </c>
      <c r="O32" s="6"/>
      <c r="P32" s="2" t="s">
        <v>7</v>
      </c>
      <c r="Q32" s="96">
        <v>45372</v>
      </c>
      <c r="R32" s="2">
        <v>13</v>
      </c>
      <c r="S32" s="2">
        <v>1.5</v>
      </c>
      <c r="T32" s="2">
        <v>0.3</v>
      </c>
      <c r="U32" s="2">
        <v>1.5</v>
      </c>
      <c r="V32" s="2">
        <v>0.3</v>
      </c>
      <c r="W32" s="2">
        <v>0.8</v>
      </c>
      <c r="X32" s="2">
        <v>0.33</v>
      </c>
      <c r="Y32" s="2">
        <v>0.3</v>
      </c>
      <c r="Z32" s="2">
        <v>0.9</v>
      </c>
      <c r="AA32" s="2">
        <v>0.45</v>
      </c>
      <c r="AB32" s="2">
        <v>6.7</v>
      </c>
      <c r="AC32">
        <v>54</v>
      </c>
      <c r="AD32">
        <v>108</v>
      </c>
      <c r="AE32">
        <v>108</v>
      </c>
      <c r="AF32">
        <v>108</v>
      </c>
      <c r="AG32">
        <v>45</v>
      </c>
      <c r="AH32">
        <v>20</v>
      </c>
      <c r="AI32">
        <v>40</v>
      </c>
      <c r="AJ32">
        <v>20</v>
      </c>
      <c r="AK32">
        <v>100</v>
      </c>
      <c r="AL32">
        <v>270</v>
      </c>
      <c r="AM32" t="s">
        <v>78</v>
      </c>
      <c r="AN32">
        <v>700</v>
      </c>
      <c r="AO32">
        <v>10</v>
      </c>
      <c r="AY32">
        <v>3</v>
      </c>
      <c r="AZ32" s="5">
        <f t="shared" si="1"/>
        <v>17.910447761194028</v>
      </c>
      <c r="BA32" s="5">
        <f t="shared" si="4"/>
        <v>8.9552238805970141</v>
      </c>
    </row>
    <row r="33" spans="1:53" x14ac:dyDescent="0.3">
      <c r="A33" s="2">
        <v>1829</v>
      </c>
      <c r="B33" s="2" t="s">
        <v>0</v>
      </c>
      <c r="C33" s="2" t="s">
        <v>21</v>
      </c>
      <c r="D33" s="2" t="s">
        <v>204</v>
      </c>
      <c r="E33" s="2">
        <v>720</v>
      </c>
      <c r="F33" s="2">
        <v>2.07E-2</v>
      </c>
      <c r="G33" s="2">
        <v>1.4999999999999999E-2</v>
      </c>
      <c r="H33" s="91">
        <f t="shared" si="5"/>
        <v>0.27536231884057971</v>
      </c>
      <c r="I33" s="2" t="s">
        <v>82</v>
      </c>
      <c r="J33" s="7" t="s">
        <v>205</v>
      </c>
      <c r="K33" s="2" t="s">
        <v>200</v>
      </c>
      <c r="L33" s="2" t="s">
        <v>76</v>
      </c>
      <c r="M33" s="2">
        <v>3</v>
      </c>
      <c r="N33" s="6">
        <v>21</v>
      </c>
      <c r="O33" s="6"/>
      <c r="P33" s="2" t="s">
        <v>7</v>
      </c>
      <c r="Q33" s="96">
        <v>45414</v>
      </c>
      <c r="R33" s="2">
        <v>13</v>
      </c>
      <c r="S33" s="2">
        <v>1</v>
      </c>
      <c r="T33" s="2">
        <v>0.2</v>
      </c>
      <c r="U33" s="2">
        <v>1</v>
      </c>
      <c r="V33" s="2">
        <v>0.2</v>
      </c>
      <c r="W33" s="2">
        <v>0.6</v>
      </c>
      <c r="X33" s="2">
        <v>0.28000000000000003</v>
      </c>
      <c r="Y33" s="2">
        <v>0.12</v>
      </c>
      <c r="Z33" s="2">
        <v>0.6</v>
      </c>
      <c r="AA33" s="2">
        <v>0.2</v>
      </c>
      <c r="AB33" s="2">
        <v>4.5999999999999996</v>
      </c>
      <c r="AC33">
        <v>48</v>
      </c>
      <c r="AD33">
        <v>106</v>
      </c>
      <c r="AE33">
        <v>106</v>
      </c>
      <c r="AF33">
        <v>105</v>
      </c>
      <c r="AG33">
        <v>42</v>
      </c>
      <c r="AH33">
        <v>20</v>
      </c>
      <c r="AI33">
        <v>40</v>
      </c>
      <c r="AJ33">
        <v>20</v>
      </c>
      <c r="AK33">
        <v>65</v>
      </c>
      <c r="AL33">
        <v>180</v>
      </c>
      <c r="AM33" t="s">
        <v>78</v>
      </c>
      <c r="AN33">
        <v>400</v>
      </c>
      <c r="AO33">
        <v>10</v>
      </c>
      <c r="AY33">
        <v>6</v>
      </c>
      <c r="AZ33" s="5">
        <f t="shared" si="1"/>
        <v>39.130434782608695</v>
      </c>
      <c r="BA33" s="5">
        <f t="shared" si="4"/>
        <v>13.043478260869566</v>
      </c>
    </row>
  </sheetData>
  <sortState xmlns:xlrd2="http://schemas.microsoft.com/office/spreadsheetml/2017/richdata2" ref="A2:AT32">
    <sortCondition ref="I2:I32"/>
  </sortState>
  <conditionalFormatting sqref="AB4:AB8 AB27 AB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:AB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:AB26 AB28:AB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:AZ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:AZ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:BA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A02F-6547-4AEF-8CC2-20285F83B7B7}">
  <sheetPr codeName="Hoja9">
    <pageSetUpPr fitToPage="1"/>
  </sheetPr>
  <dimension ref="A1:BA14"/>
  <sheetViews>
    <sheetView zoomScale="110" zoomScaleNormal="110" workbookViewId="0">
      <selection activeCell="D2" sqref="D2"/>
    </sheetView>
  </sheetViews>
  <sheetFormatPr defaultColWidth="11.44140625" defaultRowHeight="14.4" x14ac:dyDescent="0.3"/>
  <cols>
    <col min="4" max="4" width="36.33203125" bestFit="1" customWidth="1"/>
    <col min="6" max="9" width="0" hidden="1" customWidth="1"/>
    <col min="10" max="10" width="20" bestFit="1" customWidth="1"/>
    <col min="11" max="12" width="0" hidden="1" customWidth="1"/>
    <col min="15" max="15" width="5.6640625" customWidth="1"/>
    <col min="16" max="17" width="0" hidden="1" customWidth="1"/>
    <col min="18" max="18" width="5.6640625" bestFit="1" customWidth="1"/>
    <col min="19" max="19" width="13.88671875" hidden="1" customWidth="1"/>
    <col min="20" max="20" width="17.88671875" hidden="1" customWidth="1"/>
    <col min="21" max="21" width="9.88671875" hidden="1" customWidth="1"/>
    <col min="22" max="22" width="18.5546875" hidden="1" customWidth="1"/>
    <col min="23" max="23" width="16.33203125" hidden="1" customWidth="1"/>
    <col min="24" max="24" width="19.44140625" hidden="1" customWidth="1"/>
    <col min="25" max="25" width="9.6640625" hidden="1" customWidth="1"/>
    <col min="26" max="26" width="10.5546875" hidden="1" customWidth="1"/>
    <col min="27" max="27" width="15.6640625" hidden="1" customWidth="1"/>
    <col min="28" max="28" width="17" bestFit="1" customWidth="1"/>
    <col min="29" max="29" width="6.5546875" hidden="1" customWidth="1"/>
    <col min="30" max="32" width="8.5546875" hidden="1" customWidth="1"/>
    <col min="33" max="33" width="13.44140625" hidden="1" customWidth="1"/>
    <col min="34" max="34" width="23.6640625" hidden="1" customWidth="1"/>
    <col min="35" max="35" width="20" hidden="1" customWidth="1"/>
    <col min="36" max="36" width="18.88671875" hidden="1" customWidth="1"/>
    <col min="37" max="37" width="9.88671875" hidden="1" customWidth="1"/>
    <col min="38" max="38" width="9.5546875" hidden="1" customWidth="1"/>
    <col min="39" max="39" width="7.6640625" hidden="1" customWidth="1"/>
    <col min="40" max="40" width="12.88671875" hidden="1" customWidth="1"/>
    <col min="41" max="41" width="18" hidden="1" customWidth="1"/>
    <col min="42" max="43" width="6.44140625" hidden="1" customWidth="1"/>
    <col min="44" max="50" width="0" hidden="1" customWidth="1"/>
    <col min="52" max="52" width="11.44140625" style="5"/>
  </cols>
  <sheetData>
    <row r="1" spans="1:53" s="32" customFormat="1" ht="28.8" x14ac:dyDescent="0.3">
      <c r="A1" s="109" t="s">
        <v>1389</v>
      </c>
      <c r="B1" s="109" t="s">
        <v>24</v>
      </c>
      <c r="C1" s="109" t="s">
        <v>25</v>
      </c>
      <c r="D1" s="109" t="s">
        <v>26</v>
      </c>
      <c r="E1" s="109" t="s">
        <v>27</v>
      </c>
      <c r="F1" s="109" t="s">
        <v>28</v>
      </c>
      <c r="G1" s="109" t="s">
        <v>29</v>
      </c>
      <c r="H1" s="110" t="s">
        <v>30</v>
      </c>
      <c r="I1" s="109" t="s">
        <v>31</v>
      </c>
      <c r="J1" s="109" t="s">
        <v>32</v>
      </c>
      <c r="K1" s="109" t="s">
        <v>33</v>
      </c>
      <c r="L1" s="109" t="s">
        <v>34</v>
      </c>
      <c r="M1" s="109" t="s">
        <v>37</v>
      </c>
      <c r="N1" s="111" t="s">
        <v>16</v>
      </c>
      <c r="O1" s="111"/>
      <c r="P1" s="109" t="s">
        <v>45</v>
      </c>
      <c r="Q1" s="109" t="s">
        <v>44</v>
      </c>
      <c r="R1" s="109" t="s">
        <v>46</v>
      </c>
      <c r="S1" s="109" t="s">
        <v>47</v>
      </c>
      <c r="T1" s="109" t="s">
        <v>48</v>
      </c>
      <c r="U1" s="109" t="s">
        <v>49</v>
      </c>
      <c r="V1" s="109" t="s">
        <v>50</v>
      </c>
      <c r="W1" s="109" t="s">
        <v>51</v>
      </c>
      <c r="X1" s="109" t="s">
        <v>52</v>
      </c>
      <c r="Y1" s="109" t="s">
        <v>53</v>
      </c>
      <c r="Z1" s="109" t="s">
        <v>54</v>
      </c>
      <c r="AA1" s="109" t="s">
        <v>55</v>
      </c>
      <c r="AB1" s="109" t="s">
        <v>56</v>
      </c>
      <c r="AC1" s="112" t="s">
        <v>57</v>
      </c>
      <c r="AD1" s="113" t="s">
        <v>58</v>
      </c>
      <c r="AE1" s="113" t="s">
        <v>59</v>
      </c>
      <c r="AF1" s="113" t="s">
        <v>60</v>
      </c>
      <c r="AG1" s="113" t="s">
        <v>61</v>
      </c>
      <c r="AH1" s="113" t="s">
        <v>62</v>
      </c>
      <c r="AI1" s="113" t="s">
        <v>63</v>
      </c>
      <c r="AJ1" s="113" t="s">
        <v>64</v>
      </c>
      <c r="AK1" s="113" t="s">
        <v>65</v>
      </c>
      <c r="AL1" s="113" t="s">
        <v>66</v>
      </c>
      <c r="AM1" s="113" t="s">
        <v>67</v>
      </c>
      <c r="AN1" s="113" t="s">
        <v>68</v>
      </c>
      <c r="AO1" s="113" t="s">
        <v>69</v>
      </c>
      <c r="AP1" s="113" t="s">
        <v>70</v>
      </c>
      <c r="AQ1" s="113" t="s">
        <v>71</v>
      </c>
      <c r="AZ1" s="114" t="s">
        <v>1410</v>
      </c>
      <c r="BA1" s="18" t="s">
        <v>1411</v>
      </c>
    </row>
    <row r="2" spans="1:53" x14ac:dyDescent="0.3">
      <c r="A2" s="2">
        <v>1914</v>
      </c>
      <c r="B2" s="2" t="s">
        <v>0</v>
      </c>
      <c r="C2" s="2" t="s">
        <v>21</v>
      </c>
      <c r="D2" s="2" t="s">
        <v>106</v>
      </c>
      <c r="E2" s="2">
        <v>300</v>
      </c>
      <c r="F2" s="2">
        <v>2.6200000000000001E-2</v>
      </c>
      <c r="G2" s="2">
        <v>2.1399999999999999E-2</v>
      </c>
      <c r="H2" s="91">
        <f t="shared" ref="H2:H14" si="0">(F2-G2)/F2</f>
        <v>0.18320610687022909</v>
      </c>
      <c r="I2" s="2" t="s">
        <v>82</v>
      </c>
      <c r="J2" s="2" t="s">
        <v>107</v>
      </c>
      <c r="K2" s="2" t="s">
        <v>90</v>
      </c>
      <c r="L2" s="2" t="s">
        <v>1402</v>
      </c>
      <c r="M2" s="2">
        <v>3</v>
      </c>
      <c r="N2" s="6">
        <v>45</v>
      </c>
      <c r="O2" s="6"/>
      <c r="P2" s="2" t="s">
        <v>359</v>
      </c>
      <c r="Q2" s="101" t="s">
        <v>108</v>
      </c>
      <c r="R2" s="2" t="s">
        <v>109</v>
      </c>
      <c r="S2" s="102" t="s">
        <v>110</v>
      </c>
      <c r="T2" s="102" t="s">
        <v>111</v>
      </c>
      <c r="U2" s="102" t="s">
        <v>112</v>
      </c>
      <c r="V2" s="102" t="s">
        <v>111</v>
      </c>
      <c r="W2" s="102" t="s">
        <v>113</v>
      </c>
      <c r="X2" s="102" t="s">
        <v>114</v>
      </c>
      <c r="Y2" s="102" t="s">
        <v>115</v>
      </c>
      <c r="Z2" s="102" t="s">
        <v>116</v>
      </c>
      <c r="AA2" s="102" t="s">
        <v>117</v>
      </c>
      <c r="AB2" s="102" t="s">
        <v>118</v>
      </c>
      <c r="AC2" s="13" t="s">
        <v>119</v>
      </c>
      <c r="AD2" s="13" t="s">
        <v>120</v>
      </c>
      <c r="AE2" s="13" t="s">
        <v>120</v>
      </c>
      <c r="AF2" s="13" t="s">
        <v>120</v>
      </c>
      <c r="AG2" s="13" t="s">
        <v>121</v>
      </c>
      <c r="AH2" s="13" t="s">
        <v>122</v>
      </c>
      <c r="AI2" s="13" t="s">
        <v>123</v>
      </c>
      <c r="AJ2" s="13" t="s">
        <v>122</v>
      </c>
      <c r="AK2" s="13" t="s">
        <v>124</v>
      </c>
      <c r="AL2" s="13" t="s">
        <v>125</v>
      </c>
      <c r="AM2" s="13" t="s">
        <v>78</v>
      </c>
      <c r="AN2" s="13" t="s">
        <v>126</v>
      </c>
      <c r="AO2" s="39" t="s">
        <v>127</v>
      </c>
      <c r="AP2" s="13"/>
      <c r="AQ2" s="13"/>
      <c r="AR2" s="13"/>
      <c r="AS2" s="13"/>
      <c r="AT2" s="13"/>
      <c r="AY2">
        <v>6</v>
      </c>
      <c r="AZ2" s="5" t="e">
        <f t="shared" ref="AZ2:AZ14" si="1">60*M2/AB2</f>
        <v>#VALUE!</v>
      </c>
      <c r="BA2" s="5" t="e">
        <f t="shared" ref="BA2:BA14" si="2">60/AB2</f>
        <v>#VALUE!</v>
      </c>
    </row>
    <row r="3" spans="1:53" x14ac:dyDescent="0.3">
      <c r="A3" s="2">
        <v>1922</v>
      </c>
      <c r="B3" s="2" t="s">
        <v>0</v>
      </c>
      <c r="C3" s="2" t="s">
        <v>21</v>
      </c>
      <c r="D3" s="2" t="s">
        <v>176</v>
      </c>
      <c r="E3" s="2">
        <v>300</v>
      </c>
      <c r="F3" s="2">
        <v>1.84E-2</v>
      </c>
      <c r="G3" s="2">
        <v>1.5800000000000002E-2</v>
      </c>
      <c r="H3" s="91">
        <f t="shared" si="0"/>
        <v>0.14130434782608686</v>
      </c>
      <c r="I3" s="2" t="s">
        <v>82</v>
      </c>
      <c r="J3" s="2" t="s">
        <v>177</v>
      </c>
      <c r="K3" s="2" t="s">
        <v>90</v>
      </c>
      <c r="L3" s="2" t="s">
        <v>1402</v>
      </c>
      <c r="M3" s="2">
        <v>4</v>
      </c>
      <c r="N3" s="6">
        <v>60</v>
      </c>
      <c r="O3" s="6"/>
      <c r="P3" s="2" t="s">
        <v>7</v>
      </c>
      <c r="Q3" s="95">
        <v>45404</v>
      </c>
      <c r="R3" s="2">
        <v>12</v>
      </c>
      <c r="S3" s="2">
        <v>1.3</v>
      </c>
      <c r="T3" s="2">
        <v>0.3</v>
      </c>
      <c r="U3" s="2">
        <v>1.2</v>
      </c>
      <c r="V3" s="2">
        <v>0.3</v>
      </c>
      <c r="W3" s="2">
        <v>0.7</v>
      </c>
      <c r="X3" s="2">
        <v>0.15</v>
      </c>
      <c r="Y3" s="2">
        <v>0.18</v>
      </c>
      <c r="Z3" s="2">
        <v>0.4</v>
      </c>
      <c r="AA3" s="2">
        <v>0.3</v>
      </c>
      <c r="AB3" s="2">
        <v>5.2</v>
      </c>
      <c r="AC3">
        <v>49</v>
      </c>
      <c r="AD3">
        <v>106</v>
      </c>
      <c r="AE3">
        <v>106</v>
      </c>
      <c r="AF3">
        <v>106</v>
      </c>
      <c r="AG3">
        <v>40</v>
      </c>
      <c r="AH3">
        <v>38</v>
      </c>
      <c r="AI3">
        <v>40</v>
      </c>
      <c r="AJ3">
        <v>40</v>
      </c>
      <c r="AK3">
        <v>101</v>
      </c>
      <c r="AL3">
        <v>459</v>
      </c>
      <c r="AM3" t="s">
        <v>78</v>
      </c>
      <c r="AN3">
        <v>2000</v>
      </c>
      <c r="AO3">
        <v>10</v>
      </c>
      <c r="AY3">
        <v>7</v>
      </c>
      <c r="AZ3" s="5">
        <f t="shared" si="1"/>
        <v>46.153846153846153</v>
      </c>
      <c r="BA3" s="5">
        <f t="shared" si="2"/>
        <v>11.538461538461538</v>
      </c>
    </row>
    <row r="4" spans="1:53" x14ac:dyDescent="0.3">
      <c r="A4" s="2">
        <v>1093</v>
      </c>
      <c r="B4" s="2" t="s">
        <v>0</v>
      </c>
      <c r="C4" s="2" t="s">
        <v>21</v>
      </c>
      <c r="D4" s="2" t="s">
        <v>468</v>
      </c>
      <c r="E4" s="2">
        <v>300</v>
      </c>
      <c r="F4" s="2">
        <v>1.09E-2</v>
      </c>
      <c r="G4" s="2">
        <v>6.4000000000000003E-3</v>
      </c>
      <c r="H4" s="91">
        <f t="shared" si="0"/>
        <v>0.41284403669724767</v>
      </c>
      <c r="I4" s="2" t="s">
        <v>82</v>
      </c>
      <c r="J4" s="2" t="s">
        <v>134</v>
      </c>
      <c r="K4" s="2" t="s">
        <v>469</v>
      </c>
      <c r="L4" s="2" t="s">
        <v>1402</v>
      </c>
      <c r="M4" s="2">
        <v>6</v>
      </c>
      <c r="N4" s="6">
        <v>75</v>
      </c>
      <c r="O4" s="6"/>
      <c r="P4" s="2" t="s">
        <v>7</v>
      </c>
      <c r="Q4" s="96">
        <v>45348</v>
      </c>
      <c r="R4" s="2">
        <v>12</v>
      </c>
      <c r="S4" s="2">
        <v>2</v>
      </c>
      <c r="T4" s="2">
        <v>1.1000000000000001</v>
      </c>
      <c r="U4" s="2">
        <v>2.1</v>
      </c>
      <c r="V4" s="2">
        <v>1.1000000000000001</v>
      </c>
      <c r="W4" s="2">
        <v>0.25</v>
      </c>
      <c r="X4" s="2">
        <v>0.15</v>
      </c>
      <c r="Y4" s="2">
        <v>0.18</v>
      </c>
      <c r="Z4" s="2">
        <v>0.35</v>
      </c>
      <c r="AA4" s="2">
        <v>0.25</v>
      </c>
      <c r="AB4" s="2">
        <v>6.8</v>
      </c>
      <c r="AC4">
        <v>41</v>
      </c>
      <c r="AD4">
        <v>97</v>
      </c>
      <c r="AE4">
        <v>98</v>
      </c>
      <c r="AF4">
        <v>98</v>
      </c>
      <c r="AG4">
        <v>44</v>
      </c>
      <c r="AH4">
        <v>38</v>
      </c>
      <c r="AI4">
        <v>40</v>
      </c>
      <c r="AJ4">
        <v>40</v>
      </c>
      <c r="AK4">
        <v>67</v>
      </c>
      <c r="AL4">
        <v>328</v>
      </c>
      <c r="AM4" t="s">
        <v>78</v>
      </c>
      <c r="AN4">
        <v>2550</v>
      </c>
      <c r="AO4">
        <v>10</v>
      </c>
      <c r="AY4">
        <v>2</v>
      </c>
      <c r="AZ4" s="5">
        <f t="shared" si="1"/>
        <v>52.941176470588239</v>
      </c>
      <c r="BA4" s="5">
        <f t="shared" si="2"/>
        <v>8.8235294117647065</v>
      </c>
    </row>
    <row r="5" spans="1:53" x14ac:dyDescent="0.3">
      <c r="A5" s="2">
        <v>591</v>
      </c>
      <c r="B5" s="2" t="s">
        <v>0</v>
      </c>
      <c r="C5" s="2" t="s">
        <v>21</v>
      </c>
      <c r="D5" s="2" t="s">
        <v>429</v>
      </c>
      <c r="E5" s="2">
        <v>1080</v>
      </c>
      <c r="F5" s="2">
        <v>7.1000000000000004E-3</v>
      </c>
      <c r="G5" s="2">
        <v>5.4999999999999997E-3</v>
      </c>
      <c r="H5" s="91">
        <f t="shared" si="0"/>
        <v>0.22535211267605643</v>
      </c>
      <c r="I5" s="2" t="s">
        <v>82</v>
      </c>
      <c r="J5" s="2" t="s">
        <v>107</v>
      </c>
      <c r="K5" s="2" t="s">
        <v>95</v>
      </c>
      <c r="L5" s="2" t="s">
        <v>1402</v>
      </c>
      <c r="M5" s="2">
        <v>15</v>
      </c>
      <c r="N5" s="6">
        <v>30</v>
      </c>
      <c r="O5" s="6"/>
      <c r="P5" s="2" t="s">
        <v>7</v>
      </c>
      <c r="Q5" s="95">
        <v>45351</v>
      </c>
      <c r="R5" s="2">
        <v>12</v>
      </c>
      <c r="S5" s="2">
        <v>1.9</v>
      </c>
      <c r="T5" s="2">
        <v>0.5</v>
      </c>
      <c r="U5" s="2">
        <v>2</v>
      </c>
      <c r="V5" s="2">
        <v>0.8</v>
      </c>
      <c r="W5" s="2">
        <v>1.3</v>
      </c>
      <c r="X5" s="2">
        <v>0.16</v>
      </c>
      <c r="Y5" s="2">
        <v>0.14000000000000001</v>
      </c>
      <c r="Z5" s="2">
        <v>0.9</v>
      </c>
      <c r="AA5" s="2">
        <v>0.6</v>
      </c>
      <c r="AB5" s="2">
        <v>8.6999999999999993</v>
      </c>
      <c r="AC5">
        <v>52</v>
      </c>
      <c r="AD5">
        <v>100</v>
      </c>
      <c r="AE5">
        <v>100</v>
      </c>
      <c r="AF5">
        <v>100</v>
      </c>
      <c r="AG5">
        <v>44</v>
      </c>
      <c r="AH5">
        <v>30</v>
      </c>
      <c r="AI5">
        <v>40</v>
      </c>
      <c r="AJ5">
        <v>40</v>
      </c>
      <c r="AK5">
        <v>66</v>
      </c>
      <c r="AL5">
        <v>510</v>
      </c>
      <c r="AM5" t="s">
        <v>78</v>
      </c>
      <c r="AN5">
        <v>2500</v>
      </c>
      <c r="AO5">
        <v>10</v>
      </c>
      <c r="AY5">
        <v>1</v>
      </c>
      <c r="AZ5" s="5">
        <f t="shared" si="1"/>
        <v>103.44827586206897</v>
      </c>
      <c r="BA5" s="5">
        <f t="shared" si="2"/>
        <v>6.8965517241379315</v>
      </c>
    </row>
    <row r="6" spans="1:53" x14ac:dyDescent="0.3">
      <c r="A6" s="2">
        <v>1821</v>
      </c>
      <c r="B6" s="2" t="s">
        <v>0</v>
      </c>
      <c r="C6" s="2" t="s">
        <v>21</v>
      </c>
      <c r="D6" s="2" t="s">
        <v>182</v>
      </c>
      <c r="E6" s="2">
        <v>360</v>
      </c>
      <c r="F6" s="2">
        <v>3.4299999999999997E-2</v>
      </c>
      <c r="G6" s="2">
        <v>2.8299999999999999E-2</v>
      </c>
      <c r="H6" s="91">
        <f t="shared" si="0"/>
        <v>0.17492711370262387</v>
      </c>
      <c r="I6" s="2" t="s">
        <v>82</v>
      </c>
      <c r="J6" s="2" t="s">
        <v>174</v>
      </c>
      <c r="K6" s="2" t="s">
        <v>175</v>
      </c>
      <c r="L6" s="2" t="s">
        <v>1402</v>
      </c>
      <c r="M6" s="2">
        <v>2</v>
      </c>
      <c r="N6" s="6">
        <v>41</v>
      </c>
      <c r="O6" s="6"/>
      <c r="P6" s="2" t="s">
        <v>7</v>
      </c>
      <c r="Q6" s="96">
        <v>45376</v>
      </c>
      <c r="R6" s="2">
        <v>12</v>
      </c>
      <c r="S6" s="2">
        <v>1.1000000000000001</v>
      </c>
      <c r="T6" s="2">
        <v>0.1</v>
      </c>
      <c r="U6" s="2">
        <v>1.1000000000000001</v>
      </c>
      <c r="V6" s="2">
        <v>0.1</v>
      </c>
      <c r="W6" s="2">
        <v>0.45</v>
      </c>
      <c r="X6" s="2">
        <v>0.12</v>
      </c>
      <c r="Y6" s="2">
        <v>0.22</v>
      </c>
      <c r="Z6" s="2">
        <v>0.4</v>
      </c>
      <c r="AA6" s="2">
        <v>0.18</v>
      </c>
      <c r="AB6" s="2">
        <v>3.6</v>
      </c>
      <c r="AC6">
        <v>46</v>
      </c>
      <c r="AD6">
        <v>106</v>
      </c>
      <c r="AE6">
        <v>106</v>
      </c>
      <c r="AF6">
        <v>106</v>
      </c>
      <c r="AG6">
        <v>40</v>
      </c>
      <c r="AH6">
        <v>30</v>
      </c>
      <c r="AI6">
        <v>40</v>
      </c>
      <c r="AJ6">
        <v>40</v>
      </c>
      <c r="AK6">
        <v>101</v>
      </c>
      <c r="AL6">
        <v>331</v>
      </c>
      <c r="AM6" t="s">
        <v>78</v>
      </c>
      <c r="AN6">
        <v>2500</v>
      </c>
      <c r="AO6">
        <v>10</v>
      </c>
      <c r="AY6">
        <v>9</v>
      </c>
      <c r="AZ6" s="5">
        <f t="shared" si="1"/>
        <v>33.333333333333336</v>
      </c>
      <c r="BA6" s="5">
        <f t="shared" si="2"/>
        <v>16.666666666666668</v>
      </c>
    </row>
    <row r="7" spans="1:53" x14ac:dyDescent="0.3">
      <c r="A7" s="2">
        <v>1819</v>
      </c>
      <c r="B7" s="2" t="s">
        <v>0</v>
      </c>
      <c r="C7" s="2" t="s">
        <v>21</v>
      </c>
      <c r="D7" s="2" t="s">
        <v>173</v>
      </c>
      <c r="E7" s="2">
        <v>360</v>
      </c>
      <c r="F7" s="2">
        <v>3.4299999999999997E-2</v>
      </c>
      <c r="G7" s="2">
        <v>2.8299999999999999E-2</v>
      </c>
      <c r="H7" s="91">
        <f t="shared" si="0"/>
        <v>0.17492711370262387</v>
      </c>
      <c r="I7" s="2" t="s">
        <v>82</v>
      </c>
      <c r="J7" s="2" t="s">
        <v>174</v>
      </c>
      <c r="K7" s="2" t="s">
        <v>175</v>
      </c>
      <c r="L7" s="2" t="s">
        <v>1402</v>
      </c>
      <c r="M7" s="2">
        <v>2</v>
      </c>
      <c r="N7" s="6">
        <v>41</v>
      </c>
      <c r="O7" s="6"/>
      <c r="P7" s="2" t="s">
        <v>7</v>
      </c>
      <c r="Q7" s="96">
        <v>45504</v>
      </c>
      <c r="R7" s="2">
        <v>12</v>
      </c>
      <c r="S7" s="2">
        <v>0.8</v>
      </c>
      <c r="T7" s="2">
        <v>0.15</v>
      </c>
      <c r="U7" s="2">
        <v>0.8</v>
      </c>
      <c r="V7" s="2">
        <v>0.15</v>
      </c>
      <c r="W7" s="2">
        <v>0.4</v>
      </c>
      <c r="X7" s="2">
        <v>0.12</v>
      </c>
      <c r="Y7" s="2">
        <v>0.16</v>
      </c>
      <c r="Z7" s="2">
        <v>0.33</v>
      </c>
      <c r="AA7" s="2">
        <v>0.15</v>
      </c>
      <c r="AB7" s="2">
        <v>3.6</v>
      </c>
      <c r="AC7">
        <v>51</v>
      </c>
      <c r="AD7">
        <v>104</v>
      </c>
      <c r="AE7">
        <v>104</v>
      </c>
      <c r="AF7">
        <v>104</v>
      </c>
      <c r="AG7">
        <v>40</v>
      </c>
      <c r="AH7">
        <v>30</v>
      </c>
      <c r="AI7">
        <v>40</v>
      </c>
      <c r="AJ7">
        <v>40</v>
      </c>
      <c r="AK7">
        <v>100</v>
      </c>
      <c r="AL7">
        <v>330</v>
      </c>
      <c r="AM7" t="s">
        <v>78</v>
      </c>
      <c r="AN7">
        <v>2400</v>
      </c>
      <c r="AO7">
        <v>10</v>
      </c>
      <c r="AY7">
        <v>9</v>
      </c>
      <c r="AZ7" s="5">
        <f t="shared" si="1"/>
        <v>33.333333333333336</v>
      </c>
      <c r="BA7" s="5">
        <f t="shared" si="2"/>
        <v>16.666666666666668</v>
      </c>
    </row>
    <row r="8" spans="1:53" x14ac:dyDescent="0.3">
      <c r="A8" s="2">
        <v>1078</v>
      </c>
      <c r="B8" s="2" t="s">
        <v>0</v>
      </c>
      <c r="C8" s="2" t="s">
        <v>21</v>
      </c>
      <c r="D8" s="2" t="s">
        <v>470</v>
      </c>
      <c r="E8" s="2">
        <v>240</v>
      </c>
      <c r="F8" s="2">
        <v>1.29E-2</v>
      </c>
      <c r="G8" s="2">
        <v>9.2999999999999992E-3</v>
      </c>
      <c r="H8" s="91">
        <f t="shared" si="0"/>
        <v>0.27906976744186052</v>
      </c>
      <c r="I8" s="2" t="s">
        <v>98</v>
      </c>
      <c r="J8" s="2" t="s">
        <v>174</v>
      </c>
      <c r="K8" s="2" t="s">
        <v>471</v>
      </c>
      <c r="L8" s="2" t="s">
        <v>1402</v>
      </c>
      <c r="M8" s="2">
        <v>6</v>
      </c>
      <c r="N8" s="6">
        <v>40</v>
      </c>
      <c r="O8" s="6"/>
      <c r="P8" s="2" t="s">
        <v>7</v>
      </c>
      <c r="Q8" s="95">
        <v>45366</v>
      </c>
      <c r="R8" s="2">
        <v>15</v>
      </c>
      <c r="S8" s="2">
        <v>3</v>
      </c>
      <c r="T8" s="2">
        <v>2.5</v>
      </c>
      <c r="U8" s="2">
        <v>3.8</v>
      </c>
      <c r="V8" s="2">
        <v>2</v>
      </c>
      <c r="W8" s="2">
        <v>0.35</v>
      </c>
      <c r="X8" s="2">
        <v>0.21</v>
      </c>
      <c r="Y8" s="2">
        <v>0.18</v>
      </c>
      <c r="Z8" s="2">
        <v>0.55000000000000004</v>
      </c>
      <c r="AA8" s="2">
        <v>0.57999999999999996</v>
      </c>
      <c r="AB8" s="2">
        <v>13.5</v>
      </c>
      <c r="AC8">
        <v>50</v>
      </c>
      <c r="AD8">
        <v>125</v>
      </c>
      <c r="AE8">
        <v>125</v>
      </c>
      <c r="AF8">
        <v>128</v>
      </c>
      <c r="AG8">
        <v>50</v>
      </c>
      <c r="AH8">
        <v>20</v>
      </c>
      <c r="AI8">
        <v>40</v>
      </c>
      <c r="AJ8">
        <v>20</v>
      </c>
      <c r="AK8">
        <v>100</v>
      </c>
      <c r="AL8">
        <v>392</v>
      </c>
      <c r="AM8" t="s">
        <v>78</v>
      </c>
      <c r="AN8">
        <v>1000</v>
      </c>
      <c r="AO8">
        <v>10</v>
      </c>
      <c r="AY8">
        <v>1</v>
      </c>
      <c r="AZ8" s="5">
        <f>60*M8/AB8</f>
        <v>26.666666666666668</v>
      </c>
      <c r="BA8" s="5">
        <f>60/AB8</f>
        <v>4.4444444444444446</v>
      </c>
    </row>
    <row r="9" spans="1:53" x14ac:dyDescent="0.3">
      <c r="A9" s="2">
        <v>1818</v>
      </c>
      <c r="B9" s="2" t="s">
        <v>0</v>
      </c>
      <c r="C9" s="2" t="s">
        <v>21</v>
      </c>
      <c r="D9" s="2" t="s">
        <v>172</v>
      </c>
      <c r="E9" s="2">
        <v>200</v>
      </c>
      <c r="F9" s="2">
        <v>2.9899999999999999E-2</v>
      </c>
      <c r="G9" s="2">
        <v>2.47E-2</v>
      </c>
      <c r="H9" s="91">
        <f t="shared" si="0"/>
        <v>0.17391304347826086</v>
      </c>
      <c r="I9" s="2" t="s">
        <v>82</v>
      </c>
      <c r="J9" s="2" t="s">
        <v>89</v>
      </c>
      <c r="K9" s="2" t="s">
        <v>163</v>
      </c>
      <c r="L9" s="2" t="s">
        <v>1402</v>
      </c>
      <c r="M9" s="2">
        <v>2</v>
      </c>
      <c r="N9" s="6">
        <v>58</v>
      </c>
      <c r="O9" s="6"/>
      <c r="P9" s="2" t="s">
        <v>7</v>
      </c>
      <c r="Q9" s="96">
        <v>45391</v>
      </c>
      <c r="R9" s="2">
        <v>15</v>
      </c>
      <c r="S9" s="2">
        <v>1</v>
      </c>
      <c r="T9" s="2">
        <v>0.1</v>
      </c>
      <c r="U9" s="2">
        <v>1</v>
      </c>
      <c r="V9" s="2">
        <v>0.1</v>
      </c>
      <c r="W9" s="2">
        <v>0.5</v>
      </c>
      <c r="X9" s="2">
        <v>0.2</v>
      </c>
      <c r="Y9" s="2">
        <v>0.16</v>
      </c>
      <c r="Z9" s="2">
        <v>0.7</v>
      </c>
      <c r="AA9" s="2">
        <v>0.3</v>
      </c>
      <c r="AB9" s="2">
        <v>4.5999999999999996</v>
      </c>
      <c r="AC9">
        <v>45</v>
      </c>
      <c r="AD9">
        <v>106</v>
      </c>
      <c r="AE9">
        <v>106</v>
      </c>
      <c r="AF9">
        <v>106</v>
      </c>
      <c r="AG9">
        <v>50</v>
      </c>
      <c r="AH9">
        <v>20</v>
      </c>
      <c r="AI9">
        <v>40</v>
      </c>
      <c r="AJ9">
        <v>20</v>
      </c>
      <c r="AK9">
        <v>100</v>
      </c>
      <c r="AL9">
        <v>297</v>
      </c>
      <c r="AM9" t="s">
        <v>78</v>
      </c>
      <c r="AN9">
        <v>1000</v>
      </c>
      <c r="AO9">
        <v>10</v>
      </c>
      <c r="AY9">
        <v>6</v>
      </c>
      <c r="AZ9" s="5">
        <f t="shared" si="1"/>
        <v>26.086956521739133</v>
      </c>
      <c r="BA9" s="5">
        <f t="shared" si="2"/>
        <v>13.043478260869566</v>
      </c>
    </row>
    <row r="10" spans="1:53" x14ac:dyDescent="0.3">
      <c r="A10" s="2">
        <v>1828</v>
      </c>
      <c r="B10" s="2" t="s">
        <v>0</v>
      </c>
      <c r="C10" s="2" t="s">
        <v>21</v>
      </c>
      <c r="D10" s="2" t="s">
        <v>198</v>
      </c>
      <c r="E10" s="2">
        <v>720</v>
      </c>
      <c r="F10" s="2">
        <v>1.38E-2</v>
      </c>
      <c r="G10" s="2">
        <v>1.09E-2</v>
      </c>
      <c r="H10" s="91">
        <f t="shared" si="0"/>
        <v>0.21014492753623187</v>
      </c>
      <c r="I10" s="2" t="s">
        <v>82</v>
      </c>
      <c r="J10" s="2" t="s">
        <v>199</v>
      </c>
      <c r="K10" s="2" t="s">
        <v>200</v>
      </c>
      <c r="L10" s="2" t="s">
        <v>76</v>
      </c>
      <c r="M10" s="2">
        <v>3</v>
      </c>
      <c r="N10" s="30">
        <v>27</v>
      </c>
      <c r="O10" s="6"/>
      <c r="P10" s="2" t="s">
        <v>7</v>
      </c>
      <c r="Q10" s="96">
        <v>45418</v>
      </c>
      <c r="R10" s="2">
        <v>13</v>
      </c>
      <c r="S10" s="2">
        <v>1</v>
      </c>
      <c r="T10" s="2">
        <v>0.1</v>
      </c>
      <c r="U10" s="2">
        <v>1</v>
      </c>
      <c r="V10" s="2">
        <v>0.1</v>
      </c>
      <c r="W10" s="2">
        <v>0.46</v>
      </c>
      <c r="X10" s="2">
        <v>0.28000000000000003</v>
      </c>
      <c r="Y10" s="2">
        <v>0.12</v>
      </c>
      <c r="Z10" s="2">
        <v>0.4</v>
      </c>
      <c r="AA10" s="2">
        <v>0.1</v>
      </c>
      <c r="AB10" s="2">
        <v>4</v>
      </c>
      <c r="AC10">
        <v>49</v>
      </c>
      <c r="AD10">
        <v>104</v>
      </c>
      <c r="AE10">
        <v>106</v>
      </c>
      <c r="AF10">
        <v>106</v>
      </c>
      <c r="AG10">
        <v>42</v>
      </c>
      <c r="AH10">
        <v>20</v>
      </c>
      <c r="AI10">
        <v>40</v>
      </c>
      <c r="AJ10">
        <v>20</v>
      </c>
      <c r="AK10">
        <v>65</v>
      </c>
      <c r="AL10">
        <v>181</v>
      </c>
      <c r="AM10" t="s">
        <v>78</v>
      </c>
      <c r="AN10">
        <v>500</v>
      </c>
      <c r="AO10">
        <v>10</v>
      </c>
      <c r="AY10">
        <v>8</v>
      </c>
      <c r="AZ10" s="5">
        <f t="shared" si="1"/>
        <v>45</v>
      </c>
      <c r="BA10" s="5">
        <f t="shared" si="2"/>
        <v>15</v>
      </c>
    </row>
    <row r="11" spans="1:53" x14ac:dyDescent="0.3">
      <c r="A11" s="2">
        <v>1831</v>
      </c>
      <c r="B11" s="2" t="s">
        <v>0</v>
      </c>
      <c r="C11" s="2" t="s">
        <v>21</v>
      </c>
      <c r="D11" s="2" t="s">
        <v>340</v>
      </c>
      <c r="E11" s="2">
        <v>200</v>
      </c>
      <c r="F11" s="2">
        <v>3.8399999999999997E-2</v>
      </c>
      <c r="G11" s="2">
        <v>2.7199999999999998E-2</v>
      </c>
      <c r="H11" s="91">
        <f t="shared" si="0"/>
        <v>0.29166666666666663</v>
      </c>
      <c r="I11" s="2" t="s">
        <v>82</v>
      </c>
      <c r="J11" s="2" t="s">
        <v>341</v>
      </c>
      <c r="K11" s="2" t="s">
        <v>5</v>
      </c>
      <c r="L11" s="2" t="s">
        <v>1402</v>
      </c>
      <c r="M11" s="2">
        <v>2</v>
      </c>
      <c r="N11" s="6">
        <v>58</v>
      </c>
      <c r="O11" s="6"/>
      <c r="P11" s="2" t="s">
        <v>7</v>
      </c>
      <c r="Q11" s="95">
        <v>45390</v>
      </c>
      <c r="R11" s="2">
        <v>13</v>
      </c>
      <c r="S11" s="2">
        <v>1.2</v>
      </c>
      <c r="T11" s="2">
        <v>0.1</v>
      </c>
      <c r="U11" s="2">
        <v>1.2</v>
      </c>
      <c r="V11" s="2">
        <v>0.1</v>
      </c>
      <c r="W11" s="2">
        <v>1.2</v>
      </c>
      <c r="X11" s="2">
        <v>0.18</v>
      </c>
      <c r="Y11" s="2">
        <v>0.25</v>
      </c>
      <c r="Z11" s="2">
        <v>0.6</v>
      </c>
      <c r="AA11" s="2">
        <v>0.25</v>
      </c>
      <c r="AB11" s="2">
        <v>5.4</v>
      </c>
      <c r="AC11">
        <v>35</v>
      </c>
      <c r="AD11">
        <v>101</v>
      </c>
      <c r="AE11">
        <v>102</v>
      </c>
      <c r="AF11">
        <v>107</v>
      </c>
      <c r="AG11">
        <v>48</v>
      </c>
      <c r="AH11">
        <v>20</v>
      </c>
      <c r="AI11">
        <v>40</v>
      </c>
      <c r="AJ11">
        <v>20</v>
      </c>
      <c r="AK11">
        <v>100</v>
      </c>
      <c r="AL11">
        <v>263</v>
      </c>
      <c r="AM11" t="s">
        <v>78</v>
      </c>
      <c r="AN11">
        <v>400</v>
      </c>
      <c r="AO11">
        <v>10</v>
      </c>
      <c r="AY11">
        <v>5</v>
      </c>
      <c r="AZ11" s="5">
        <f t="shared" si="1"/>
        <v>22.222222222222221</v>
      </c>
      <c r="BA11" s="5">
        <f t="shared" si="2"/>
        <v>11.111111111111111</v>
      </c>
    </row>
    <row r="12" spans="1:53" x14ac:dyDescent="0.3">
      <c r="A12" s="2">
        <v>1084</v>
      </c>
      <c r="B12" s="2" t="s">
        <v>0</v>
      </c>
      <c r="C12" s="2" t="s">
        <v>21</v>
      </c>
      <c r="D12" s="2" t="s">
        <v>515</v>
      </c>
      <c r="E12" s="2">
        <v>100</v>
      </c>
      <c r="F12" s="2">
        <v>0.1066</v>
      </c>
      <c r="G12" s="2">
        <v>8.2699999999999996E-2</v>
      </c>
      <c r="H12" s="91">
        <f t="shared" si="0"/>
        <v>0.22420262664165108</v>
      </c>
      <c r="I12" s="2" t="s">
        <v>73</v>
      </c>
      <c r="J12" s="2" t="s">
        <v>516</v>
      </c>
      <c r="K12" s="2" t="s">
        <v>105</v>
      </c>
      <c r="L12" s="2" t="s">
        <v>76</v>
      </c>
      <c r="M12" s="2">
        <v>1</v>
      </c>
      <c r="N12" s="6">
        <v>44</v>
      </c>
      <c r="O12" s="103"/>
      <c r="P12" s="2" t="s">
        <v>7</v>
      </c>
      <c r="Q12" s="95">
        <v>45392</v>
      </c>
      <c r="R12" s="2" t="s">
        <v>518</v>
      </c>
      <c r="S12" s="102" t="s">
        <v>519</v>
      </c>
      <c r="T12" s="102" t="s">
        <v>520</v>
      </c>
      <c r="U12" s="102" t="s">
        <v>521</v>
      </c>
      <c r="V12" s="102" t="s">
        <v>520</v>
      </c>
      <c r="W12" s="102" t="s">
        <v>522</v>
      </c>
      <c r="X12" s="102" t="s">
        <v>523</v>
      </c>
      <c r="Y12" s="102" t="s">
        <v>524</v>
      </c>
      <c r="Z12" s="102" t="s">
        <v>525</v>
      </c>
      <c r="AA12" s="102" t="s">
        <v>526</v>
      </c>
      <c r="AB12" s="102" t="s">
        <v>527</v>
      </c>
      <c r="AC12" t="s">
        <v>528</v>
      </c>
      <c r="AD12" t="s">
        <v>529</v>
      </c>
      <c r="AE12" t="s">
        <v>530</v>
      </c>
      <c r="AF12" t="s">
        <v>531</v>
      </c>
      <c r="AG12" t="s">
        <v>532</v>
      </c>
      <c r="AH12" s="13" t="s">
        <v>122</v>
      </c>
      <c r="AI12" s="13" t="s">
        <v>123</v>
      </c>
      <c r="AJ12" s="13" t="s">
        <v>122</v>
      </c>
      <c r="AK12" t="s">
        <v>124</v>
      </c>
      <c r="AL12" t="s">
        <v>533</v>
      </c>
      <c r="AM12" t="s">
        <v>78</v>
      </c>
      <c r="AN12" s="13" t="s">
        <v>534</v>
      </c>
      <c r="AO12" s="39" t="s">
        <v>127</v>
      </c>
      <c r="AY12">
        <v>4</v>
      </c>
      <c r="AZ12" s="5" t="e">
        <f t="shared" si="1"/>
        <v>#VALUE!</v>
      </c>
      <c r="BA12" s="5" t="e">
        <f t="shared" si="2"/>
        <v>#VALUE!</v>
      </c>
    </row>
    <row r="13" spans="1:53" x14ac:dyDescent="0.3">
      <c r="A13" s="2">
        <v>1832</v>
      </c>
      <c r="B13" s="2" t="s">
        <v>0</v>
      </c>
      <c r="C13" s="2" t="s">
        <v>21</v>
      </c>
      <c r="D13" s="2" t="s">
        <v>336</v>
      </c>
      <c r="E13" s="2">
        <v>200</v>
      </c>
      <c r="F13" s="2">
        <v>4.3799999999999999E-2</v>
      </c>
      <c r="G13" s="2">
        <v>3.0800000000000001E-2</v>
      </c>
      <c r="H13" s="91">
        <f t="shared" si="0"/>
        <v>0.29680365296803651</v>
      </c>
      <c r="I13" s="2" t="s">
        <v>82</v>
      </c>
      <c r="J13" s="2" t="s">
        <v>337</v>
      </c>
      <c r="K13" s="2" t="s">
        <v>305</v>
      </c>
      <c r="L13" s="2" t="s">
        <v>1402</v>
      </c>
      <c r="M13" s="2">
        <v>2</v>
      </c>
      <c r="N13" s="6">
        <v>43</v>
      </c>
      <c r="O13" s="6"/>
      <c r="P13" s="2" t="s">
        <v>7</v>
      </c>
      <c r="Q13" s="96">
        <v>45372</v>
      </c>
      <c r="R13" s="2">
        <v>13</v>
      </c>
      <c r="S13" s="2">
        <v>1.5</v>
      </c>
      <c r="T13" s="2">
        <v>0.3</v>
      </c>
      <c r="U13" s="2">
        <v>1.5</v>
      </c>
      <c r="V13" s="2">
        <v>0.3</v>
      </c>
      <c r="W13" s="2">
        <v>0.8</v>
      </c>
      <c r="X13" s="2">
        <v>0.33</v>
      </c>
      <c r="Y13" s="2">
        <v>0.3</v>
      </c>
      <c r="Z13" s="2">
        <v>0.9</v>
      </c>
      <c r="AA13" s="2">
        <v>0.45</v>
      </c>
      <c r="AB13" s="2">
        <v>6.7</v>
      </c>
      <c r="AC13">
        <v>54</v>
      </c>
      <c r="AD13">
        <v>108</v>
      </c>
      <c r="AE13">
        <v>108</v>
      </c>
      <c r="AF13">
        <v>108</v>
      </c>
      <c r="AG13">
        <v>45</v>
      </c>
      <c r="AH13">
        <v>20</v>
      </c>
      <c r="AI13">
        <v>40</v>
      </c>
      <c r="AJ13">
        <v>20</v>
      </c>
      <c r="AK13">
        <v>100</v>
      </c>
      <c r="AL13">
        <v>270</v>
      </c>
      <c r="AM13" t="s">
        <v>78</v>
      </c>
      <c r="AN13">
        <v>700</v>
      </c>
      <c r="AO13">
        <v>10</v>
      </c>
      <c r="AY13">
        <v>3</v>
      </c>
      <c r="AZ13" s="5">
        <f t="shared" si="1"/>
        <v>17.910447761194028</v>
      </c>
      <c r="BA13" s="5">
        <f t="shared" si="2"/>
        <v>8.9552238805970141</v>
      </c>
    </row>
    <row r="14" spans="1:53" x14ac:dyDescent="0.3">
      <c r="A14" s="2">
        <v>1829</v>
      </c>
      <c r="B14" s="2" t="s">
        <v>0</v>
      </c>
      <c r="C14" s="2" t="s">
        <v>21</v>
      </c>
      <c r="D14" s="2" t="s">
        <v>204</v>
      </c>
      <c r="E14" s="2">
        <v>720</v>
      </c>
      <c r="F14" s="2">
        <v>2.07E-2</v>
      </c>
      <c r="G14" s="2">
        <v>1.4999999999999999E-2</v>
      </c>
      <c r="H14" s="91">
        <f t="shared" si="0"/>
        <v>0.27536231884057971</v>
      </c>
      <c r="I14" s="2" t="s">
        <v>82</v>
      </c>
      <c r="J14" s="2" t="s">
        <v>205</v>
      </c>
      <c r="K14" s="2" t="s">
        <v>200</v>
      </c>
      <c r="L14" s="2" t="s">
        <v>76</v>
      </c>
      <c r="M14" s="2">
        <v>3</v>
      </c>
      <c r="N14" s="6">
        <v>21</v>
      </c>
      <c r="O14" s="6"/>
      <c r="P14" s="2" t="s">
        <v>7</v>
      </c>
      <c r="Q14" s="96">
        <v>45414</v>
      </c>
      <c r="R14" s="2">
        <v>13</v>
      </c>
      <c r="S14" s="2">
        <v>1</v>
      </c>
      <c r="T14" s="2">
        <v>0.2</v>
      </c>
      <c r="U14" s="2">
        <v>1</v>
      </c>
      <c r="V14" s="2">
        <v>0.2</v>
      </c>
      <c r="W14" s="2">
        <v>0.6</v>
      </c>
      <c r="X14" s="2">
        <v>0.28000000000000003</v>
      </c>
      <c r="Y14" s="2">
        <v>0.12</v>
      </c>
      <c r="Z14" s="2">
        <v>0.6</v>
      </c>
      <c r="AA14" s="2">
        <v>0.2</v>
      </c>
      <c r="AB14" s="2">
        <v>4.5999999999999996</v>
      </c>
      <c r="AC14">
        <v>48</v>
      </c>
      <c r="AD14">
        <v>106</v>
      </c>
      <c r="AE14">
        <v>106</v>
      </c>
      <c r="AF14">
        <v>105</v>
      </c>
      <c r="AG14">
        <v>42</v>
      </c>
      <c r="AH14">
        <v>20</v>
      </c>
      <c r="AI14">
        <v>40</v>
      </c>
      <c r="AJ14">
        <v>20</v>
      </c>
      <c r="AK14">
        <v>65</v>
      </c>
      <c r="AL14">
        <v>180</v>
      </c>
      <c r="AM14" t="s">
        <v>78</v>
      </c>
      <c r="AN14">
        <v>400</v>
      </c>
      <c r="AO14">
        <v>10</v>
      </c>
      <c r="AY14">
        <v>6</v>
      </c>
      <c r="AZ14" s="5">
        <f t="shared" si="1"/>
        <v>39.130434782608695</v>
      </c>
      <c r="BA14" s="5">
        <f t="shared" si="2"/>
        <v>13.043478260869566</v>
      </c>
    </row>
  </sheetData>
  <conditionalFormatting sqref="AZ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15:AZ1048576 AZ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5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E1DE-2510-40C4-AA14-691160AD1FA9}">
  <sheetPr codeName="Hoja5">
    <pageSetUpPr fitToPage="1"/>
  </sheetPr>
  <dimension ref="C1:U58"/>
  <sheetViews>
    <sheetView topLeftCell="A10" zoomScale="90" zoomScaleNormal="90" workbookViewId="0">
      <selection activeCell="H22" sqref="H22"/>
    </sheetView>
  </sheetViews>
  <sheetFormatPr defaultColWidth="11.44140625" defaultRowHeight="13.2" x14ac:dyDescent="0.25"/>
  <cols>
    <col min="1" max="1" width="11.44140625" style="44"/>
    <col min="2" max="2" width="2.5546875" style="44" customWidth="1"/>
    <col min="3" max="3" width="3" style="44" bestFit="1" customWidth="1"/>
    <col min="4" max="4" width="31.88671875" style="44" customWidth="1"/>
    <col min="5" max="5" width="0.109375" style="44" customWidth="1"/>
    <col min="6" max="6" width="22.5546875" style="44" customWidth="1"/>
    <col min="7" max="7" width="3.44140625" style="44" customWidth="1"/>
    <col min="8" max="8" width="27" style="44" customWidth="1"/>
    <col min="9" max="9" width="12.88671875" style="44" customWidth="1"/>
    <col min="10" max="10" width="19.109375" style="44" customWidth="1"/>
    <col min="11" max="11" width="2.109375" style="44" customWidth="1"/>
    <col min="12" max="13" width="11.44140625" style="44"/>
    <col min="14" max="14" width="2.44140625" style="44" customWidth="1"/>
    <col min="15" max="15" width="3" style="44" bestFit="1" customWidth="1"/>
    <col min="16" max="16" width="31.88671875" style="44" customWidth="1"/>
    <col min="17" max="17" width="0.109375" style="44" customWidth="1"/>
    <col min="18" max="18" width="22.5546875" style="44" customWidth="1"/>
    <col min="19" max="19" width="3.44140625" style="44" customWidth="1"/>
    <col min="20" max="20" width="27" style="44" customWidth="1"/>
    <col min="21" max="21" width="28.109375" style="44" customWidth="1"/>
    <col min="22" max="16384" width="11.44140625" style="44"/>
  </cols>
  <sheetData>
    <row r="1" spans="3:21" ht="16.5" customHeight="1" x14ac:dyDescent="0.25">
      <c r="C1" s="173"/>
      <c r="D1" s="174"/>
      <c r="E1" s="179" t="s">
        <v>1413</v>
      </c>
      <c r="F1" s="180"/>
      <c r="G1" s="180"/>
      <c r="H1" s="234"/>
      <c r="I1" s="83" t="s">
        <v>1414</v>
      </c>
      <c r="J1" s="84"/>
      <c r="O1" s="173"/>
      <c r="P1" s="174"/>
      <c r="Q1" s="179" t="s">
        <v>1413</v>
      </c>
      <c r="R1" s="180"/>
      <c r="S1" s="180"/>
      <c r="T1" s="180"/>
      <c r="U1" s="43" t="s">
        <v>1415</v>
      </c>
    </row>
    <row r="2" spans="3:21" ht="16.5" customHeight="1" x14ac:dyDescent="0.25">
      <c r="C2" s="175"/>
      <c r="D2" s="176"/>
      <c r="E2" s="181"/>
      <c r="F2" s="182"/>
      <c r="G2" s="182"/>
      <c r="H2" s="235"/>
      <c r="I2" s="83" t="s">
        <v>1416</v>
      </c>
      <c r="J2" s="84">
        <f>Masterdata!AE211</f>
        <v>0</v>
      </c>
      <c r="O2" s="175"/>
      <c r="P2" s="176"/>
      <c r="Q2" s="181"/>
      <c r="R2" s="182"/>
      <c r="S2" s="182"/>
      <c r="T2" s="182"/>
      <c r="U2" s="46" t="s">
        <v>1417</v>
      </c>
    </row>
    <row r="3" spans="3:21" ht="16.5" customHeight="1" x14ac:dyDescent="0.25">
      <c r="C3" s="175"/>
      <c r="D3" s="176"/>
      <c r="E3" s="181"/>
      <c r="F3" s="182"/>
      <c r="G3" s="182"/>
      <c r="H3" s="235"/>
      <c r="I3" s="83" t="s">
        <v>1418</v>
      </c>
      <c r="J3" s="90">
        <f>Masterdata!AD211</f>
        <v>0</v>
      </c>
      <c r="O3" s="175"/>
      <c r="P3" s="176"/>
      <c r="Q3" s="181"/>
      <c r="R3" s="182"/>
      <c r="S3" s="182"/>
      <c r="T3" s="182"/>
      <c r="U3" s="46" t="s">
        <v>1418</v>
      </c>
    </row>
    <row r="4" spans="3:21" ht="16.5" customHeight="1" thickBot="1" x14ac:dyDescent="0.3">
      <c r="C4" s="175"/>
      <c r="D4" s="176"/>
      <c r="E4" s="183"/>
      <c r="F4" s="184"/>
      <c r="G4" s="184"/>
      <c r="H4" s="236"/>
      <c r="I4" s="85" t="s">
        <v>1419</v>
      </c>
      <c r="J4" s="86"/>
      <c r="O4" s="175"/>
      <c r="P4" s="176"/>
      <c r="Q4" s="183"/>
      <c r="R4" s="184"/>
      <c r="S4" s="184"/>
      <c r="T4" s="184"/>
      <c r="U4" s="47" t="s">
        <v>1420</v>
      </c>
    </row>
    <row r="5" spans="3:21" ht="16.5" customHeight="1" thickBot="1" x14ac:dyDescent="0.3">
      <c r="C5" s="177"/>
      <c r="D5" s="178"/>
      <c r="E5" s="175" t="s">
        <v>1421</v>
      </c>
      <c r="F5" s="176"/>
      <c r="G5" s="176"/>
      <c r="H5" s="176"/>
      <c r="I5" s="176"/>
      <c r="J5" s="205"/>
      <c r="O5" s="177"/>
      <c r="P5" s="178"/>
      <c r="Q5" s="185" t="s">
        <v>1421</v>
      </c>
      <c r="R5" s="186"/>
      <c r="S5" s="186"/>
      <c r="T5" s="186"/>
      <c r="U5" s="186"/>
    </row>
    <row r="6" spans="3:21" ht="18" thickBot="1" x14ac:dyDescent="0.3">
      <c r="C6" s="196" t="s">
        <v>1422</v>
      </c>
      <c r="D6" s="197"/>
      <c r="E6" s="198" t="str">
        <f>Masterdata!D211</f>
        <v>TRAP BULK</v>
      </c>
      <c r="F6" s="199"/>
      <c r="G6" s="199"/>
      <c r="H6" s="199"/>
      <c r="I6" s="200"/>
      <c r="J6" s="115">
        <f>Masterdata!A211</f>
        <v>14</v>
      </c>
      <c r="O6" s="196" t="s">
        <v>1422</v>
      </c>
      <c r="P6" s="197"/>
      <c r="Q6" s="198"/>
      <c r="R6" s="199"/>
      <c r="S6" s="199"/>
      <c r="T6" s="199"/>
      <c r="U6" s="199"/>
    </row>
    <row r="7" spans="3:21" ht="6" customHeight="1" thickBot="1" x14ac:dyDescent="0.3">
      <c r="C7" s="48"/>
      <c r="D7" s="48"/>
      <c r="E7" s="48"/>
      <c r="F7" s="48"/>
      <c r="G7" s="48"/>
      <c r="H7" s="48"/>
      <c r="I7" s="48"/>
      <c r="J7" s="48"/>
      <c r="O7" s="48"/>
      <c r="P7" s="48"/>
      <c r="Q7" s="48"/>
      <c r="R7" s="48"/>
      <c r="S7" s="48"/>
      <c r="T7" s="48"/>
      <c r="U7" s="48"/>
    </row>
    <row r="8" spans="3:21" ht="16.5" customHeight="1" thickBot="1" x14ac:dyDescent="0.3">
      <c r="C8" s="203" t="s">
        <v>1423</v>
      </c>
      <c r="D8" s="204"/>
      <c r="E8" s="204"/>
      <c r="F8" s="204"/>
      <c r="G8" s="204"/>
      <c r="H8" s="204"/>
      <c r="I8" s="204"/>
      <c r="J8" s="205"/>
      <c r="O8" s="201" t="s">
        <v>1423</v>
      </c>
      <c r="P8" s="202"/>
      <c r="Q8" s="202"/>
      <c r="R8" s="202"/>
      <c r="S8" s="202"/>
      <c r="T8" s="202"/>
      <c r="U8" s="202"/>
    </row>
    <row r="9" spans="3:21" ht="9" customHeight="1" thickBot="1" x14ac:dyDescent="0.3">
      <c r="C9" s="48"/>
      <c r="D9" s="45"/>
      <c r="E9" s="45"/>
      <c r="F9" s="45"/>
      <c r="G9" s="45"/>
      <c r="H9" s="45"/>
      <c r="I9" s="45"/>
      <c r="J9" s="45"/>
      <c r="O9" s="48"/>
      <c r="P9" s="45"/>
      <c r="Q9" s="45"/>
      <c r="R9" s="45"/>
      <c r="S9" s="45"/>
      <c r="T9" s="45"/>
      <c r="U9" s="45"/>
    </row>
    <row r="10" spans="3:21" ht="15" customHeight="1" thickBot="1" x14ac:dyDescent="0.3">
      <c r="C10" s="187" t="s">
        <v>1424</v>
      </c>
      <c r="D10" s="188"/>
      <c r="E10" s="49" t="s">
        <v>1425</v>
      </c>
      <c r="F10" s="50" t="s">
        <v>1425</v>
      </c>
      <c r="G10" s="48"/>
      <c r="H10" s="231" t="s">
        <v>1426</v>
      </c>
      <c r="I10" s="223" t="s">
        <v>1425</v>
      </c>
      <c r="J10" s="224"/>
      <c r="O10" s="187" t="s">
        <v>1424</v>
      </c>
      <c r="P10" s="188"/>
      <c r="Q10" s="49" t="s">
        <v>1425</v>
      </c>
      <c r="R10" s="50" t="s">
        <v>1425</v>
      </c>
      <c r="S10" s="48"/>
      <c r="T10" s="191" t="s">
        <v>1426</v>
      </c>
      <c r="U10" s="51" t="s">
        <v>1425</v>
      </c>
    </row>
    <row r="11" spans="3:21" ht="12.75" customHeight="1" x14ac:dyDescent="0.25">
      <c r="C11" s="189"/>
      <c r="D11" s="190"/>
      <c r="E11" s="52" t="s">
        <v>1427</v>
      </c>
      <c r="F11" s="50" t="s">
        <v>1428</v>
      </c>
      <c r="G11" s="48"/>
      <c r="H11" s="232"/>
      <c r="I11" s="227" t="s">
        <v>1428</v>
      </c>
      <c r="J11" s="228"/>
      <c r="O11" s="189"/>
      <c r="P11" s="190"/>
      <c r="Q11" s="52" t="s">
        <v>1427</v>
      </c>
      <c r="R11" s="50" t="s">
        <v>1428</v>
      </c>
      <c r="S11" s="48"/>
      <c r="T11" s="192"/>
      <c r="U11" s="194" t="s">
        <v>1428</v>
      </c>
    </row>
    <row r="12" spans="3:21" ht="20.25" customHeight="1" x14ac:dyDescent="0.25">
      <c r="C12" s="53" t="s">
        <v>1429</v>
      </c>
      <c r="D12" s="54"/>
      <c r="E12" s="55"/>
      <c r="F12" s="56">
        <f>Masterdata!AF211</f>
        <v>0</v>
      </c>
      <c r="G12" s="48"/>
      <c r="H12" s="233"/>
      <c r="I12" s="229"/>
      <c r="J12" s="211"/>
      <c r="O12" s="53" t="s">
        <v>1429</v>
      </c>
      <c r="P12" s="54"/>
      <c r="Q12" s="55"/>
      <c r="R12" s="56"/>
      <c r="S12" s="48"/>
      <c r="T12" s="193"/>
      <c r="U12" s="195"/>
    </row>
    <row r="13" spans="3:21" ht="21.75" customHeight="1" x14ac:dyDescent="0.25">
      <c r="C13" s="206" t="s">
        <v>1430</v>
      </c>
      <c r="D13" s="207"/>
      <c r="E13" s="59"/>
      <c r="F13" s="56">
        <f>Masterdata!AG211</f>
        <v>0</v>
      </c>
      <c r="G13" s="48"/>
      <c r="H13" s="60" t="s">
        <v>1431</v>
      </c>
      <c r="I13" s="210"/>
      <c r="J13" s="211"/>
      <c r="O13" s="206" t="s">
        <v>1430</v>
      </c>
      <c r="P13" s="207"/>
      <c r="Q13" s="59"/>
      <c r="R13" s="56"/>
      <c r="S13" s="48"/>
      <c r="T13" s="60" t="s">
        <v>1431</v>
      </c>
      <c r="U13" s="61"/>
    </row>
    <row r="14" spans="3:21" ht="21.75" customHeight="1" x14ac:dyDescent="0.25">
      <c r="C14" s="208" t="s">
        <v>1432</v>
      </c>
      <c r="D14" s="209"/>
      <c r="E14" s="59"/>
      <c r="F14" s="56">
        <f>Masterdata!AH211</f>
        <v>0</v>
      </c>
      <c r="G14" s="48"/>
      <c r="H14" s="60" t="s">
        <v>1429</v>
      </c>
      <c r="I14" s="210">
        <f>Masterdata!AU211</f>
        <v>0</v>
      </c>
      <c r="J14" s="211"/>
      <c r="O14" s="208" t="s">
        <v>1432</v>
      </c>
      <c r="P14" s="209"/>
      <c r="Q14" s="59"/>
      <c r="R14" s="56"/>
      <c r="S14" s="48"/>
      <c r="T14" s="60" t="s">
        <v>1429</v>
      </c>
      <c r="U14" s="61"/>
    </row>
    <row r="15" spans="3:21" ht="21.75" customHeight="1" x14ac:dyDescent="0.25">
      <c r="C15" s="208" t="s">
        <v>1433</v>
      </c>
      <c r="D15" s="209"/>
      <c r="E15" s="59"/>
      <c r="F15" s="56">
        <f>Masterdata!AI211</f>
        <v>0</v>
      </c>
      <c r="G15" s="48"/>
      <c r="H15" s="60" t="s">
        <v>1434</v>
      </c>
      <c r="I15" s="210">
        <f>Masterdata!AV211</f>
        <v>0</v>
      </c>
      <c r="J15" s="211"/>
      <c r="O15" s="208" t="s">
        <v>1433</v>
      </c>
      <c r="P15" s="209"/>
      <c r="Q15" s="59"/>
      <c r="R15" s="56"/>
      <c r="S15" s="48"/>
      <c r="T15" s="60" t="s">
        <v>1434</v>
      </c>
      <c r="U15" s="61"/>
    </row>
    <row r="16" spans="3:21" ht="20.25" customHeight="1" thickBot="1" x14ac:dyDescent="0.3">
      <c r="C16" s="206" t="s">
        <v>1435</v>
      </c>
      <c r="D16" s="207"/>
      <c r="E16" s="59"/>
      <c r="F16" s="56">
        <f>Masterdata!AJ211</f>
        <v>0</v>
      </c>
      <c r="G16" s="48"/>
      <c r="H16" s="62" t="s">
        <v>1436</v>
      </c>
      <c r="I16" s="212">
        <f>Masterdata!AW211</f>
        <v>0</v>
      </c>
      <c r="J16" s="213"/>
      <c r="O16" s="206" t="s">
        <v>1435</v>
      </c>
      <c r="P16" s="207"/>
      <c r="Q16" s="59"/>
      <c r="R16" s="56"/>
      <c r="S16" s="48"/>
      <c r="T16" s="62" t="s">
        <v>1436</v>
      </c>
      <c r="U16" s="63"/>
    </row>
    <row r="17" spans="3:21" ht="20.25" customHeight="1" x14ac:dyDescent="0.25">
      <c r="C17" s="206" t="s">
        <v>1437</v>
      </c>
      <c r="D17" s="207"/>
      <c r="E17" s="59"/>
      <c r="F17" s="56">
        <f>Masterdata!AK211</f>
        <v>0</v>
      </c>
      <c r="G17" s="48"/>
      <c r="H17" s="214" t="s">
        <v>1438</v>
      </c>
      <c r="I17" s="215"/>
      <c r="J17" s="215"/>
      <c r="O17" s="206" t="s">
        <v>1435</v>
      </c>
      <c r="P17" s="207"/>
      <c r="Q17" s="59"/>
      <c r="R17" s="56"/>
      <c r="S17" s="48"/>
      <c r="T17" s="64" t="s">
        <v>1438</v>
      </c>
      <c r="U17" s="65"/>
    </row>
    <row r="18" spans="3:21" ht="20.25" customHeight="1" thickBot="1" x14ac:dyDescent="0.3">
      <c r="C18" s="206" t="s">
        <v>1436</v>
      </c>
      <c r="D18" s="207"/>
      <c r="E18" s="59"/>
      <c r="F18" s="56">
        <f>Masterdata!AL211</f>
        <v>0</v>
      </c>
      <c r="G18" s="48"/>
      <c r="H18" s="214" t="s">
        <v>1439</v>
      </c>
      <c r="I18" s="215"/>
      <c r="J18" s="215"/>
      <c r="O18" s="206" t="s">
        <v>1436</v>
      </c>
      <c r="P18" s="207"/>
      <c r="Q18" s="59"/>
      <c r="R18" s="56"/>
      <c r="S18" s="48"/>
      <c r="T18" s="66" t="s">
        <v>1439</v>
      </c>
      <c r="U18" s="67"/>
    </row>
    <row r="19" spans="3:21" ht="20.25" customHeight="1" thickBot="1" x14ac:dyDescent="0.3">
      <c r="C19" s="206" t="s">
        <v>1440</v>
      </c>
      <c r="D19" s="207"/>
      <c r="E19" s="59"/>
      <c r="F19" s="56">
        <f>Masterdata!AM211</f>
        <v>0</v>
      </c>
      <c r="G19" s="48"/>
      <c r="H19" s="48"/>
      <c r="I19" s="48"/>
      <c r="J19" s="48"/>
      <c r="O19" s="206" t="s">
        <v>1440</v>
      </c>
      <c r="P19" s="207"/>
      <c r="Q19" s="59"/>
      <c r="R19" s="56"/>
      <c r="S19" s="48"/>
      <c r="T19" s="48"/>
      <c r="U19" s="48"/>
    </row>
    <row r="20" spans="3:21" ht="20.25" customHeight="1" thickBot="1" x14ac:dyDescent="0.3">
      <c r="C20" s="206" t="s">
        <v>1441</v>
      </c>
      <c r="D20" s="207"/>
      <c r="E20" s="59"/>
      <c r="F20" s="56">
        <f>Masterdata!AN211</f>
        <v>0</v>
      </c>
      <c r="G20" s="48"/>
      <c r="H20" s="187" t="s">
        <v>1440</v>
      </c>
      <c r="I20" s="223" t="s">
        <v>1425</v>
      </c>
      <c r="J20" s="224"/>
      <c r="O20" s="206" t="s">
        <v>1441</v>
      </c>
      <c r="P20" s="207"/>
      <c r="Q20" s="59"/>
      <c r="R20" s="56"/>
      <c r="S20" s="48"/>
      <c r="T20" s="187" t="s">
        <v>1440</v>
      </c>
      <c r="U20" s="50" t="s">
        <v>1425</v>
      </c>
    </row>
    <row r="21" spans="3:21" ht="20.25" customHeight="1" thickBot="1" x14ac:dyDescent="0.3">
      <c r="C21" s="206" t="s">
        <v>1442</v>
      </c>
      <c r="D21" s="207"/>
      <c r="E21" s="59"/>
      <c r="F21" s="56">
        <f>Masterdata!AO211</f>
        <v>0</v>
      </c>
      <c r="G21" s="48"/>
      <c r="H21" s="222"/>
      <c r="I21" s="225" t="s">
        <v>1428</v>
      </c>
      <c r="J21" s="226"/>
      <c r="O21" s="206" t="s">
        <v>1442</v>
      </c>
      <c r="P21" s="207"/>
      <c r="Q21" s="59"/>
      <c r="R21" s="56"/>
      <c r="S21" s="48"/>
      <c r="T21" s="222"/>
      <c r="U21" s="57" t="s">
        <v>1428</v>
      </c>
    </row>
    <row r="22" spans="3:21" ht="20.25" customHeight="1" x14ac:dyDescent="0.25">
      <c r="C22" s="64" t="s">
        <v>1443</v>
      </c>
      <c r="D22" s="68"/>
      <c r="E22" s="68"/>
      <c r="F22" s="65"/>
      <c r="G22" s="48"/>
      <c r="H22" s="69" t="s">
        <v>1444</v>
      </c>
      <c r="I22" s="210">
        <f>Masterdata!AX211</f>
        <v>0</v>
      </c>
      <c r="J22" s="211"/>
      <c r="O22" s="64" t="s">
        <v>1443</v>
      </c>
      <c r="P22" s="68"/>
      <c r="Q22" s="68"/>
      <c r="R22" s="65"/>
      <c r="S22" s="48"/>
      <c r="T22" s="69" t="s">
        <v>1444</v>
      </c>
      <c r="U22" s="70"/>
    </row>
    <row r="23" spans="3:21" ht="15" thickBot="1" x14ac:dyDescent="0.3">
      <c r="C23" s="66" t="s">
        <v>1445</v>
      </c>
      <c r="D23" s="71"/>
      <c r="E23" s="71"/>
      <c r="F23" s="67"/>
      <c r="G23" s="48"/>
      <c r="H23" s="72" t="s">
        <v>1446</v>
      </c>
      <c r="I23" s="210">
        <f>Masterdata!AY211</f>
        <v>0</v>
      </c>
      <c r="J23" s="211"/>
      <c r="O23" s="66" t="s">
        <v>1445</v>
      </c>
      <c r="P23" s="71"/>
      <c r="Q23" s="71"/>
      <c r="R23" s="67"/>
      <c r="S23" s="48"/>
      <c r="T23" s="72" t="s">
        <v>1447</v>
      </c>
      <c r="U23" s="61"/>
    </row>
    <row r="24" spans="3:21" ht="27" thickBot="1" x14ac:dyDescent="0.3">
      <c r="G24" s="48"/>
      <c r="H24" s="73" t="s">
        <v>1448</v>
      </c>
      <c r="I24" s="210">
        <f>Masterdata!BA211</f>
        <v>0</v>
      </c>
      <c r="J24" s="211"/>
      <c r="S24" s="48"/>
      <c r="T24" s="73" t="s">
        <v>1448</v>
      </c>
      <c r="U24" s="61"/>
    </row>
    <row r="25" spans="3:21" ht="21.75" customHeight="1" thickBot="1" x14ac:dyDescent="0.3">
      <c r="C25" s="216" t="s">
        <v>1449</v>
      </c>
      <c r="D25" s="217"/>
      <c r="E25" s="74" t="s">
        <v>1450</v>
      </c>
      <c r="F25" s="50" t="s">
        <v>1425</v>
      </c>
      <c r="G25" s="48"/>
      <c r="H25" s="75" t="s">
        <v>1451</v>
      </c>
      <c r="I25" s="212">
        <f>Masterdata!BB211</f>
        <v>0</v>
      </c>
      <c r="J25" s="213"/>
      <c r="O25" s="216" t="s">
        <v>1449</v>
      </c>
      <c r="P25" s="217"/>
      <c r="Q25" s="74" t="s">
        <v>1450</v>
      </c>
      <c r="R25" s="50" t="s">
        <v>1425</v>
      </c>
      <c r="S25" s="48"/>
      <c r="T25" s="75" t="s">
        <v>1451</v>
      </c>
      <c r="U25" s="76"/>
    </row>
    <row r="26" spans="3:21" ht="15" customHeight="1" thickBot="1" x14ac:dyDescent="0.3">
      <c r="C26" s="218"/>
      <c r="D26" s="219"/>
      <c r="E26" s="52" t="s">
        <v>1428</v>
      </c>
      <c r="F26" s="50" t="s">
        <v>1428</v>
      </c>
      <c r="G26" s="48"/>
      <c r="H26" s="48"/>
      <c r="I26" s="77"/>
      <c r="J26" s="77"/>
      <c r="O26" s="218"/>
      <c r="P26" s="219"/>
      <c r="Q26" s="52" t="s">
        <v>1428</v>
      </c>
      <c r="R26" s="50" t="s">
        <v>1428</v>
      </c>
      <c r="S26" s="48"/>
      <c r="T26" s="48"/>
      <c r="U26" s="77"/>
    </row>
    <row r="27" spans="3:21" ht="15" customHeight="1" thickBot="1" x14ac:dyDescent="0.3">
      <c r="C27" s="206" t="s">
        <v>1452</v>
      </c>
      <c r="D27" s="207"/>
      <c r="E27" s="55"/>
      <c r="F27" s="78">
        <f>Masterdata!AP211</f>
        <v>0</v>
      </c>
      <c r="G27" s="48"/>
      <c r="H27" s="237" t="s">
        <v>1453</v>
      </c>
      <c r="I27" s="238"/>
      <c r="J27" s="205"/>
      <c r="O27" s="206" t="s">
        <v>1452</v>
      </c>
      <c r="P27" s="207"/>
      <c r="Q27" s="55"/>
      <c r="R27" s="78"/>
      <c r="S27" s="48"/>
      <c r="T27" s="220" t="s">
        <v>1453</v>
      </c>
      <c r="U27" s="221"/>
    </row>
    <row r="28" spans="3:21" ht="21.75" customHeight="1" x14ac:dyDescent="0.25">
      <c r="C28" s="206" t="s">
        <v>1454</v>
      </c>
      <c r="D28" s="207"/>
      <c r="E28" s="59"/>
      <c r="F28" s="78">
        <f>Masterdata!AT211</f>
        <v>0</v>
      </c>
      <c r="G28" s="48"/>
      <c r="H28" s="87" t="s">
        <v>1455</v>
      </c>
      <c r="I28" s="230" t="str">
        <f>Masterdata!J211</f>
        <v>PAI NEGRO 520 x 400</v>
      </c>
      <c r="J28" s="228"/>
      <c r="O28" s="206" t="s">
        <v>1454</v>
      </c>
      <c r="P28" s="207"/>
      <c r="Q28" s="59"/>
      <c r="R28" s="78"/>
      <c r="S28" s="48"/>
      <c r="T28" s="58" t="s">
        <v>1455</v>
      </c>
      <c r="U28" s="79"/>
    </row>
    <row r="29" spans="3:21" ht="21.75" customHeight="1" x14ac:dyDescent="0.25">
      <c r="C29" s="206" t="s">
        <v>1456</v>
      </c>
      <c r="D29" s="207"/>
      <c r="E29" s="59"/>
      <c r="F29" s="78">
        <f>Masterdata!AQ211</f>
        <v>0</v>
      </c>
      <c r="G29" s="48"/>
      <c r="H29" s="88" t="s">
        <v>1457</v>
      </c>
      <c r="I29" s="210"/>
      <c r="J29" s="211"/>
      <c r="O29" s="206" t="s">
        <v>1456</v>
      </c>
      <c r="P29" s="207"/>
      <c r="Q29" s="59"/>
      <c r="R29" s="78"/>
      <c r="S29" s="48"/>
      <c r="T29" s="58" t="s">
        <v>1457</v>
      </c>
      <c r="U29" s="79"/>
    </row>
    <row r="30" spans="3:21" ht="21.75" customHeight="1" thickBot="1" x14ac:dyDescent="0.3">
      <c r="C30" s="206" t="s">
        <v>1458</v>
      </c>
      <c r="D30" s="207"/>
      <c r="E30" s="59"/>
      <c r="F30" s="78">
        <f>Masterdata!AR211</f>
        <v>0</v>
      </c>
      <c r="G30" s="48"/>
      <c r="H30" s="89" t="s">
        <v>1459</v>
      </c>
      <c r="I30" s="212"/>
      <c r="J30" s="213"/>
      <c r="O30" s="206" t="s">
        <v>1458</v>
      </c>
      <c r="P30" s="207"/>
      <c r="Q30" s="59"/>
      <c r="R30" s="78"/>
      <c r="S30" s="48"/>
      <c r="T30" s="58" t="s">
        <v>1459</v>
      </c>
      <c r="U30" s="79"/>
    </row>
    <row r="31" spans="3:21" ht="21.75" customHeight="1" thickBot="1" x14ac:dyDescent="0.3">
      <c r="C31" s="239" t="s">
        <v>1460</v>
      </c>
      <c r="D31" s="240"/>
      <c r="E31" s="80"/>
      <c r="F31" s="81">
        <f>Masterdata!AS211</f>
        <v>0</v>
      </c>
      <c r="G31" s="48"/>
      <c r="Q31" s="80"/>
      <c r="R31" s="81"/>
      <c r="S31" s="48"/>
    </row>
    <row r="32" spans="3:21" ht="21.75" customHeight="1" x14ac:dyDescent="0.25">
      <c r="C32" s="68" t="s">
        <v>1461</v>
      </c>
      <c r="D32" s="68"/>
      <c r="E32" s="68"/>
      <c r="F32" s="68"/>
      <c r="G32" s="48"/>
      <c r="O32" s="68" t="s">
        <v>1461</v>
      </c>
      <c r="P32" s="68"/>
      <c r="Q32" s="68"/>
      <c r="R32" s="68"/>
      <c r="S32" s="48"/>
    </row>
    <row r="33" spans="3:21" ht="13.5" customHeight="1" x14ac:dyDescent="0.25">
      <c r="C33" s="68" t="s">
        <v>1462</v>
      </c>
      <c r="D33" s="68"/>
      <c r="E33" s="68"/>
      <c r="F33" s="68"/>
      <c r="G33" s="48"/>
      <c r="O33" s="68" t="s">
        <v>1462</v>
      </c>
      <c r="P33" s="68"/>
      <c r="Q33" s="68"/>
      <c r="R33" s="68"/>
      <c r="S33" s="48"/>
    </row>
    <row r="34" spans="3:21" ht="13.5" customHeight="1" x14ac:dyDescent="0.25">
      <c r="C34" s="48"/>
      <c r="D34" s="48"/>
      <c r="E34" s="48"/>
      <c r="F34" s="48"/>
      <c r="G34" s="48"/>
      <c r="O34" s="48"/>
      <c r="P34" s="48"/>
      <c r="Q34" s="48"/>
      <c r="R34" s="48"/>
      <c r="S34" s="48"/>
    </row>
    <row r="35" spans="3:21" ht="13.5" customHeight="1" x14ac:dyDescent="0.25">
      <c r="D35" s="48"/>
      <c r="E35" s="48"/>
      <c r="F35" s="48"/>
      <c r="G35" s="48"/>
      <c r="P35" s="48"/>
      <c r="Q35" s="48"/>
      <c r="R35" s="48"/>
      <c r="S35" s="48"/>
    </row>
    <row r="36" spans="3:21" ht="21" customHeight="1" x14ac:dyDescent="0.25">
      <c r="O36" s="241"/>
      <c r="P36" s="241"/>
      <c r="Q36" s="241"/>
      <c r="R36" s="241"/>
      <c r="S36" s="241"/>
      <c r="T36" s="241"/>
      <c r="U36" s="241"/>
    </row>
    <row r="37" spans="3:21" ht="21" customHeight="1" x14ac:dyDescent="0.25">
      <c r="O37" s="241"/>
      <c r="P37" s="241"/>
      <c r="Q37" s="241"/>
      <c r="R37" s="241"/>
      <c r="S37" s="241"/>
      <c r="T37" s="241"/>
      <c r="U37" s="241"/>
    </row>
    <row r="38" spans="3:21" ht="21.75" hidden="1" customHeight="1" x14ac:dyDescent="0.25">
      <c r="O38" s="242"/>
      <c r="P38" s="243"/>
      <c r="Q38" s="243"/>
      <c r="R38" s="243"/>
      <c r="S38" s="243"/>
      <c r="T38" s="243"/>
      <c r="U38" s="243"/>
    </row>
    <row r="39" spans="3:21" ht="36.75" customHeight="1" x14ac:dyDescent="0.25">
      <c r="O39" s="48"/>
      <c r="P39" s="48"/>
      <c r="Q39" s="48"/>
      <c r="R39" s="48"/>
      <c r="S39" s="48"/>
      <c r="T39" s="48"/>
      <c r="U39" s="48"/>
    </row>
    <row r="40" spans="3:21" x14ac:dyDescent="0.25">
      <c r="P40" s="82"/>
    </row>
    <row r="41" spans="3:21" x14ac:dyDescent="0.25">
      <c r="D41" s="82"/>
      <c r="F41" s="44" t="s">
        <v>1463</v>
      </c>
      <c r="P41" s="82"/>
    </row>
    <row r="42" spans="3:21" x14ac:dyDescent="0.25">
      <c r="F42" s="44" t="s">
        <v>1464</v>
      </c>
      <c r="I42" s="44" t="s">
        <v>1465</v>
      </c>
      <c r="J42" s="44" t="s">
        <v>1466</v>
      </c>
    </row>
    <row r="43" spans="3:21" x14ac:dyDescent="0.25">
      <c r="F43" s="44" t="s">
        <v>1467</v>
      </c>
    </row>
    <row r="44" spans="3:21" x14ac:dyDescent="0.25">
      <c r="F44" s="44" t="s">
        <v>1468</v>
      </c>
    </row>
    <row r="45" spans="3:21" x14ac:dyDescent="0.25">
      <c r="F45" s="44">
        <v>208</v>
      </c>
    </row>
    <row r="46" spans="3:21" x14ac:dyDescent="0.25">
      <c r="F46" s="44">
        <v>208</v>
      </c>
    </row>
    <row r="58" ht="7.5" customHeight="1" x14ac:dyDescent="0.25"/>
  </sheetData>
  <mergeCells count="70">
    <mergeCell ref="C31:D31"/>
    <mergeCell ref="O36:U36"/>
    <mergeCell ref="O37:U37"/>
    <mergeCell ref="O38:U38"/>
    <mergeCell ref="O28:P28"/>
    <mergeCell ref="C29:D29"/>
    <mergeCell ref="O29:P29"/>
    <mergeCell ref="C30:D30"/>
    <mergeCell ref="O30:P30"/>
    <mergeCell ref="I29:J29"/>
    <mergeCell ref="I30:J30"/>
    <mergeCell ref="E5:J5"/>
    <mergeCell ref="I10:J10"/>
    <mergeCell ref="I11:J12"/>
    <mergeCell ref="C28:D28"/>
    <mergeCell ref="I28:J28"/>
    <mergeCell ref="C25:D26"/>
    <mergeCell ref="C16:D16"/>
    <mergeCell ref="C13:D13"/>
    <mergeCell ref="C10:D11"/>
    <mergeCell ref="H10:H12"/>
    <mergeCell ref="C1:D5"/>
    <mergeCell ref="E1:H4"/>
    <mergeCell ref="H27:J27"/>
    <mergeCell ref="I23:J23"/>
    <mergeCell ref="I24:J24"/>
    <mergeCell ref="I25:J25"/>
    <mergeCell ref="O25:P26"/>
    <mergeCell ref="C27:D27"/>
    <mergeCell ref="O27:P27"/>
    <mergeCell ref="T27:U27"/>
    <mergeCell ref="C19:D19"/>
    <mergeCell ref="O19:P19"/>
    <mergeCell ref="C20:D20"/>
    <mergeCell ref="H20:H21"/>
    <mergeCell ref="O20:P20"/>
    <mergeCell ref="T20:T21"/>
    <mergeCell ref="C21:D21"/>
    <mergeCell ref="O21:P21"/>
    <mergeCell ref="I20:J20"/>
    <mergeCell ref="I21:J21"/>
    <mergeCell ref="I22:J22"/>
    <mergeCell ref="O16:P16"/>
    <mergeCell ref="C17:D17"/>
    <mergeCell ref="O17:P17"/>
    <mergeCell ref="C18:D18"/>
    <mergeCell ref="O18:P18"/>
    <mergeCell ref="I16:J16"/>
    <mergeCell ref="H17:J17"/>
    <mergeCell ref="H18:J18"/>
    <mergeCell ref="O13:P13"/>
    <mergeCell ref="C14:D14"/>
    <mergeCell ref="O14:P14"/>
    <mergeCell ref="C15:D15"/>
    <mergeCell ref="O15:P15"/>
    <mergeCell ref="I13:J13"/>
    <mergeCell ref="I14:J14"/>
    <mergeCell ref="I15:J15"/>
    <mergeCell ref="C6:D6"/>
    <mergeCell ref="E6:I6"/>
    <mergeCell ref="O6:P6"/>
    <mergeCell ref="Q6:U6"/>
    <mergeCell ref="O8:U8"/>
    <mergeCell ref="C8:J8"/>
    <mergeCell ref="O1:P5"/>
    <mergeCell ref="Q1:T4"/>
    <mergeCell ref="Q5:U5"/>
    <mergeCell ref="O10:P11"/>
    <mergeCell ref="T10:T12"/>
    <mergeCell ref="U11:U12"/>
  </mergeCells>
  <pageMargins left="0" right="0" top="0" bottom="0.15748031496062992" header="0" footer="0"/>
  <pageSetup scale="89" orientation="landscape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590B-47BA-4861-97DE-7DEE869C2A9B}">
  <sheetPr>
    <pageSetUpPr fitToPage="1"/>
  </sheetPr>
  <dimension ref="A1:O325"/>
  <sheetViews>
    <sheetView workbookViewId="0">
      <selection activeCell="N1" sqref="N1:N1048576"/>
    </sheetView>
  </sheetViews>
  <sheetFormatPr defaultColWidth="11.44140625" defaultRowHeight="18" x14ac:dyDescent="0.35"/>
  <cols>
    <col min="1" max="1" width="8" style="36" customWidth="1"/>
    <col min="2" max="2" width="14" style="36" hidden="1" customWidth="1"/>
    <col min="3" max="3" width="50.88671875" style="36" bestFit="1" customWidth="1"/>
    <col min="4" max="4" width="21" style="36" customWidth="1"/>
    <col min="5" max="7" width="0" style="36" hidden="1" customWidth="1"/>
    <col min="8" max="8" width="3.109375" style="36" hidden="1" customWidth="1"/>
    <col min="9" max="9" width="9.44140625" style="36" hidden="1" customWidth="1"/>
    <col min="10" max="10" width="32.44140625" style="36" customWidth="1"/>
    <col min="11" max="13" width="0" style="36" hidden="1" customWidth="1"/>
    <col min="14" max="14" width="5.6640625" style="36" hidden="1" customWidth="1"/>
    <col min="15" max="15" width="24.109375" style="36" bestFit="1" customWidth="1"/>
  </cols>
  <sheetData>
    <row r="1" spans="1:15" x14ac:dyDescent="0.35">
      <c r="A1" s="125" t="s">
        <v>1389</v>
      </c>
      <c r="B1" s="125" t="s">
        <v>24</v>
      </c>
      <c r="C1" s="125" t="s">
        <v>26</v>
      </c>
      <c r="D1" s="125" t="s">
        <v>25</v>
      </c>
      <c r="E1" s="125" t="s">
        <v>27</v>
      </c>
      <c r="F1" s="125" t="s">
        <v>28</v>
      </c>
      <c r="G1" s="125" t="s">
        <v>29</v>
      </c>
      <c r="H1" s="126" t="s">
        <v>30</v>
      </c>
      <c r="I1" s="125" t="s">
        <v>31</v>
      </c>
      <c r="J1" s="125" t="s">
        <v>32</v>
      </c>
      <c r="K1" s="125" t="s">
        <v>33</v>
      </c>
      <c r="L1" s="125" t="s">
        <v>34</v>
      </c>
      <c r="M1" s="125" t="s">
        <v>37</v>
      </c>
      <c r="N1" s="127" t="s">
        <v>16</v>
      </c>
      <c r="O1" s="125" t="s">
        <v>1469</v>
      </c>
    </row>
    <row r="2" spans="1:15" x14ac:dyDescent="0.35">
      <c r="A2" s="125">
        <v>49</v>
      </c>
      <c r="B2" s="125" t="s">
        <v>0</v>
      </c>
      <c r="C2" s="125" t="s">
        <v>376</v>
      </c>
      <c r="D2" s="125" t="s">
        <v>21</v>
      </c>
      <c r="E2" s="125">
        <v>4910</v>
      </c>
      <c r="F2" s="125">
        <v>3.5000000000000001E-3</v>
      </c>
      <c r="G2" s="125">
        <v>2.5000000000000001E-3</v>
      </c>
      <c r="H2" s="128">
        <f t="shared" ref="H2:H22" si="0">(F2-G2)/F2</f>
        <v>0.2857142857142857</v>
      </c>
      <c r="I2" s="125" t="s">
        <v>98</v>
      </c>
      <c r="J2" s="125" t="s">
        <v>377</v>
      </c>
      <c r="K2" s="125" t="s">
        <v>105</v>
      </c>
      <c r="L2" s="125" t="s">
        <v>76</v>
      </c>
      <c r="M2" s="125">
        <v>14</v>
      </c>
      <c r="N2" s="127">
        <v>16</v>
      </c>
      <c r="O2" s="125"/>
    </row>
    <row r="3" spans="1:15" x14ac:dyDescent="0.35">
      <c r="A3" s="125">
        <v>170</v>
      </c>
      <c r="B3" s="125" t="s">
        <v>0</v>
      </c>
      <c r="C3" s="125" t="s">
        <v>383</v>
      </c>
      <c r="D3" s="125" t="s">
        <v>21</v>
      </c>
      <c r="E3" s="125">
        <v>4000</v>
      </c>
      <c r="F3" s="125">
        <v>3.7000000000000002E-3</v>
      </c>
      <c r="G3" s="125">
        <v>2.7000000000000001E-3</v>
      </c>
      <c r="H3" s="128">
        <f t="shared" si="0"/>
        <v>0.27027027027027029</v>
      </c>
      <c r="I3" s="125" t="s">
        <v>98</v>
      </c>
      <c r="J3" s="125" t="s">
        <v>377</v>
      </c>
      <c r="K3" s="125" t="s">
        <v>5</v>
      </c>
      <c r="L3" s="125" t="s">
        <v>1402</v>
      </c>
      <c r="M3" s="125">
        <v>21</v>
      </c>
      <c r="N3" s="127">
        <v>15</v>
      </c>
      <c r="O3" s="125"/>
    </row>
    <row r="4" spans="1:15" x14ac:dyDescent="0.35">
      <c r="A4" s="125">
        <v>189</v>
      </c>
      <c r="B4" s="125" t="s">
        <v>0</v>
      </c>
      <c r="C4" s="125" t="s">
        <v>388</v>
      </c>
      <c r="D4" s="125" t="s">
        <v>21</v>
      </c>
      <c r="E4" s="125">
        <v>4030</v>
      </c>
      <c r="F4" s="125">
        <v>2.3999999999999998E-3</v>
      </c>
      <c r="G4" s="125">
        <v>1.6999999999999999E-3</v>
      </c>
      <c r="H4" s="128">
        <f t="shared" si="0"/>
        <v>0.29166666666666663</v>
      </c>
      <c r="I4" s="125" t="s">
        <v>98</v>
      </c>
      <c r="J4" s="125" t="s">
        <v>389</v>
      </c>
      <c r="K4" s="125" t="s">
        <v>105</v>
      </c>
      <c r="L4" s="125" t="s">
        <v>76</v>
      </c>
      <c r="M4" s="125">
        <v>2</v>
      </c>
      <c r="N4" s="127">
        <v>60</v>
      </c>
      <c r="O4" s="125"/>
    </row>
    <row r="5" spans="1:15" x14ac:dyDescent="0.35">
      <c r="A5" s="125">
        <v>901</v>
      </c>
      <c r="B5" s="125" t="s">
        <v>0</v>
      </c>
      <c r="C5" s="125" t="s">
        <v>460</v>
      </c>
      <c r="D5" s="125" t="s">
        <v>21</v>
      </c>
      <c r="E5" s="125">
        <v>1500</v>
      </c>
      <c r="F5" s="125">
        <v>9.7000000000000003E-3</v>
      </c>
      <c r="G5" s="125">
        <v>6.4000000000000003E-3</v>
      </c>
      <c r="H5" s="128">
        <f t="shared" si="0"/>
        <v>0.34020618556701032</v>
      </c>
      <c r="I5" s="125" t="s">
        <v>98</v>
      </c>
      <c r="J5" s="125" t="s">
        <v>194</v>
      </c>
      <c r="K5" s="125" t="s">
        <v>105</v>
      </c>
      <c r="L5" s="125" t="s">
        <v>76</v>
      </c>
      <c r="M5" s="125">
        <v>10</v>
      </c>
      <c r="N5" s="127">
        <v>25</v>
      </c>
      <c r="O5" s="125"/>
    </row>
    <row r="6" spans="1:15" x14ac:dyDescent="0.35">
      <c r="A6" s="125">
        <v>1826</v>
      </c>
      <c r="B6" s="125" t="s">
        <v>0</v>
      </c>
      <c r="C6" s="125" t="s">
        <v>197</v>
      </c>
      <c r="D6" s="125" t="s">
        <v>21</v>
      </c>
      <c r="E6" s="125">
        <v>720</v>
      </c>
      <c r="F6" s="125">
        <v>1.09E-2</v>
      </c>
      <c r="G6" s="125">
        <v>7.4999999999999997E-3</v>
      </c>
      <c r="H6" s="128">
        <f t="shared" si="0"/>
        <v>0.31192660550458717</v>
      </c>
      <c r="I6" s="125" t="s">
        <v>98</v>
      </c>
      <c r="J6" s="125" t="s">
        <v>194</v>
      </c>
      <c r="K6" s="125" t="s">
        <v>105</v>
      </c>
      <c r="L6" s="125" t="s">
        <v>76</v>
      </c>
      <c r="M6" s="125">
        <v>3</v>
      </c>
      <c r="N6" s="127">
        <v>25</v>
      </c>
      <c r="O6" s="125"/>
    </row>
    <row r="7" spans="1:15" x14ac:dyDescent="0.35">
      <c r="A7" s="125">
        <v>1075</v>
      </c>
      <c r="B7" s="125" t="s">
        <v>0</v>
      </c>
      <c r="C7" s="125" t="s">
        <v>473</v>
      </c>
      <c r="D7" s="125" t="s">
        <v>21</v>
      </c>
      <c r="E7" s="125">
        <v>240</v>
      </c>
      <c r="F7" s="125">
        <v>1.29E-2</v>
      </c>
      <c r="G7" s="125">
        <v>9.2999999999999992E-3</v>
      </c>
      <c r="H7" s="129">
        <f t="shared" si="0"/>
        <v>0.27906976744186052</v>
      </c>
      <c r="I7" s="125" t="s">
        <v>98</v>
      </c>
      <c r="J7" s="125" t="s">
        <v>474</v>
      </c>
      <c r="K7" s="125"/>
      <c r="L7" s="125"/>
      <c r="M7" s="125">
        <v>18</v>
      </c>
      <c r="N7" s="127">
        <v>130</v>
      </c>
      <c r="O7" s="125"/>
    </row>
    <row r="8" spans="1:15" x14ac:dyDescent="0.35">
      <c r="A8" s="125">
        <v>1003</v>
      </c>
      <c r="B8" s="125" t="s">
        <v>0</v>
      </c>
      <c r="C8" s="125" t="s">
        <v>498</v>
      </c>
      <c r="D8" s="125" t="s">
        <v>21</v>
      </c>
      <c r="E8" s="125">
        <v>500</v>
      </c>
      <c r="F8" s="125">
        <v>1.6199999999999999E-2</v>
      </c>
      <c r="G8" s="125">
        <v>1.0800000000000001E-2</v>
      </c>
      <c r="H8" s="128">
        <f t="shared" si="0"/>
        <v>0.33333333333333326</v>
      </c>
      <c r="I8" s="125" t="s">
        <v>98</v>
      </c>
      <c r="J8" s="125" t="s">
        <v>499</v>
      </c>
      <c r="K8" s="125" t="s">
        <v>5</v>
      </c>
      <c r="L8" s="125" t="s">
        <v>1402</v>
      </c>
      <c r="M8" s="125">
        <v>40</v>
      </c>
      <c r="N8" s="127">
        <v>11</v>
      </c>
      <c r="O8" s="125"/>
    </row>
    <row r="9" spans="1:15" x14ac:dyDescent="0.35">
      <c r="A9" s="125">
        <v>100</v>
      </c>
      <c r="B9" s="125" t="s">
        <v>0</v>
      </c>
      <c r="C9" s="125" t="s">
        <v>226</v>
      </c>
      <c r="D9" s="125" t="s">
        <v>21</v>
      </c>
      <c r="E9" s="125">
        <v>200</v>
      </c>
      <c r="F9" s="125">
        <v>2.8899999999999999E-2</v>
      </c>
      <c r="G9" s="125">
        <v>1.66E-2</v>
      </c>
      <c r="H9" s="128">
        <f t="shared" si="0"/>
        <v>0.4256055363321799</v>
      </c>
      <c r="I9" s="125" t="s">
        <v>98</v>
      </c>
      <c r="J9" s="125" t="s">
        <v>227</v>
      </c>
      <c r="K9" s="125" t="s">
        <v>200</v>
      </c>
      <c r="L9" s="125" t="s">
        <v>76</v>
      </c>
      <c r="M9" s="125">
        <v>4</v>
      </c>
      <c r="N9" s="127">
        <v>60</v>
      </c>
      <c r="O9" s="125"/>
    </row>
    <row r="10" spans="1:15" x14ac:dyDescent="0.35">
      <c r="A10" s="125">
        <v>1130</v>
      </c>
      <c r="B10" s="125" t="s">
        <v>0</v>
      </c>
      <c r="C10" s="125" t="s">
        <v>503</v>
      </c>
      <c r="D10" s="125" t="s">
        <v>21</v>
      </c>
      <c r="E10" s="125">
        <v>200</v>
      </c>
      <c r="F10" s="125">
        <v>3.3500000000000002E-2</v>
      </c>
      <c r="G10" s="125">
        <v>1.9E-2</v>
      </c>
      <c r="H10" s="128">
        <f t="shared" si="0"/>
        <v>0.43283582089552242</v>
      </c>
      <c r="I10" s="125" t="s">
        <v>98</v>
      </c>
      <c r="J10" s="125" t="s">
        <v>504</v>
      </c>
      <c r="K10" s="125" t="s">
        <v>305</v>
      </c>
      <c r="L10" s="125" t="s">
        <v>1402</v>
      </c>
      <c r="M10" s="125">
        <v>18</v>
      </c>
      <c r="N10" s="127">
        <v>28</v>
      </c>
      <c r="O10" s="125"/>
    </row>
    <row r="11" spans="1:15" x14ac:dyDescent="0.35">
      <c r="A11" s="125">
        <v>1946</v>
      </c>
      <c r="B11" s="125" t="s">
        <v>0</v>
      </c>
      <c r="C11" s="125" t="s">
        <v>505</v>
      </c>
      <c r="D11" s="125" t="s">
        <v>21</v>
      </c>
      <c r="E11" s="125">
        <v>100</v>
      </c>
      <c r="F11" s="125">
        <v>3.0700000000000002E-2</v>
      </c>
      <c r="G11" s="125">
        <v>1.9E-2</v>
      </c>
      <c r="H11" s="128">
        <f t="shared" si="0"/>
        <v>0.38110749185667758</v>
      </c>
      <c r="I11" s="125" t="s">
        <v>98</v>
      </c>
      <c r="J11" s="125" t="s">
        <v>504</v>
      </c>
      <c r="K11" s="125" t="s">
        <v>471</v>
      </c>
      <c r="L11" s="125" t="s">
        <v>1402</v>
      </c>
      <c r="M11" s="125">
        <v>6</v>
      </c>
      <c r="N11" s="127">
        <v>70</v>
      </c>
      <c r="O11" s="125"/>
    </row>
    <row r="12" spans="1:15" x14ac:dyDescent="0.35">
      <c r="A12" s="125">
        <v>388</v>
      </c>
      <c r="B12" s="125" t="s">
        <v>84</v>
      </c>
      <c r="C12" s="125" t="s">
        <v>365</v>
      </c>
      <c r="D12" s="125" t="s">
        <v>21</v>
      </c>
      <c r="E12" s="125">
        <v>2400</v>
      </c>
      <c r="F12" s="125">
        <v>8.3000000000000001E-3</v>
      </c>
      <c r="G12" s="125">
        <v>7.3000000000000001E-3</v>
      </c>
      <c r="H12" s="128">
        <f t="shared" si="0"/>
        <v>0.12048192771084337</v>
      </c>
      <c r="I12" s="125" t="s">
        <v>98</v>
      </c>
      <c r="J12" s="125" t="s">
        <v>99</v>
      </c>
      <c r="K12" s="125" t="s">
        <v>95</v>
      </c>
      <c r="L12" s="125" t="s">
        <v>1402</v>
      </c>
      <c r="M12" s="125">
        <v>9</v>
      </c>
      <c r="N12" s="127">
        <v>20</v>
      </c>
      <c r="O12" s="125"/>
    </row>
    <row r="13" spans="1:15" x14ac:dyDescent="0.35">
      <c r="A13" s="125">
        <v>728</v>
      </c>
      <c r="B13" s="125" t="s">
        <v>0</v>
      </c>
      <c r="C13" s="125" t="s">
        <v>97</v>
      </c>
      <c r="D13" s="125" t="s">
        <v>21</v>
      </c>
      <c r="E13" s="125">
        <v>800</v>
      </c>
      <c r="F13" s="125">
        <v>1.3100000000000001E-2</v>
      </c>
      <c r="G13" s="125">
        <v>6.7999999999999996E-3</v>
      </c>
      <c r="H13" s="128">
        <f t="shared" si="0"/>
        <v>0.48091603053435117</v>
      </c>
      <c r="I13" s="125" t="s">
        <v>98</v>
      </c>
      <c r="J13" s="125" t="s">
        <v>99</v>
      </c>
      <c r="K13" s="125" t="s">
        <v>105</v>
      </c>
      <c r="L13" s="125" t="s">
        <v>76</v>
      </c>
      <c r="M13" s="125">
        <v>4</v>
      </c>
      <c r="N13" s="127">
        <v>28</v>
      </c>
      <c r="O13" s="125"/>
    </row>
    <row r="14" spans="1:15" x14ac:dyDescent="0.35">
      <c r="A14" s="125">
        <v>732</v>
      </c>
      <c r="B14" s="125" t="s">
        <v>0</v>
      </c>
      <c r="C14" s="125" t="s">
        <v>151</v>
      </c>
      <c r="D14" s="125" t="s">
        <v>21</v>
      </c>
      <c r="E14" s="125">
        <v>540</v>
      </c>
      <c r="F14" s="125">
        <v>2.4299999999999999E-2</v>
      </c>
      <c r="G14" s="125">
        <v>1.0500000000000001E-2</v>
      </c>
      <c r="H14" s="128">
        <f t="shared" si="0"/>
        <v>0.5679012345679012</v>
      </c>
      <c r="I14" s="125" t="s">
        <v>98</v>
      </c>
      <c r="J14" s="125" t="s">
        <v>99</v>
      </c>
      <c r="K14" s="125" t="s">
        <v>5</v>
      </c>
      <c r="L14" s="125" t="s">
        <v>1402</v>
      </c>
      <c r="M14" s="125">
        <v>10</v>
      </c>
      <c r="N14" s="127">
        <v>44</v>
      </c>
      <c r="O14" s="125"/>
    </row>
    <row r="15" spans="1:15" x14ac:dyDescent="0.35">
      <c r="A15" s="125">
        <v>51</v>
      </c>
      <c r="B15" s="125" t="s">
        <v>84</v>
      </c>
      <c r="C15" s="125" t="s">
        <v>223</v>
      </c>
      <c r="D15" s="125" t="s">
        <v>21</v>
      </c>
      <c r="E15" s="125">
        <v>160</v>
      </c>
      <c r="F15" s="125">
        <v>5.28E-2</v>
      </c>
      <c r="G15" s="125">
        <v>4.3700000000000003E-2</v>
      </c>
      <c r="H15" s="128">
        <f t="shared" si="0"/>
        <v>0.17234848484848478</v>
      </c>
      <c r="I15" s="125" t="s">
        <v>98</v>
      </c>
      <c r="J15" s="125" t="s">
        <v>220</v>
      </c>
      <c r="K15" s="125" t="s">
        <v>222</v>
      </c>
      <c r="L15" s="125" t="s">
        <v>76</v>
      </c>
      <c r="M15" s="125">
        <v>1</v>
      </c>
      <c r="N15" s="127">
        <v>58</v>
      </c>
      <c r="O15" s="125"/>
    </row>
    <row r="16" spans="1:15" x14ac:dyDescent="0.35">
      <c r="A16" s="125">
        <v>98</v>
      </c>
      <c r="B16" s="125" t="s">
        <v>0</v>
      </c>
      <c r="C16" s="125" t="s">
        <v>219</v>
      </c>
      <c r="D16" s="125" t="s">
        <v>21</v>
      </c>
      <c r="E16" s="125">
        <v>60</v>
      </c>
      <c r="F16" s="125">
        <v>5.7700000000000001E-2</v>
      </c>
      <c r="G16" s="125">
        <v>4.5999999999999999E-2</v>
      </c>
      <c r="H16" s="128">
        <f t="shared" si="0"/>
        <v>0.20277296360485272</v>
      </c>
      <c r="I16" s="125" t="s">
        <v>98</v>
      </c>
      <c r="J16" s="125" t="s">
        <v>220</v>
      </c>
      <c r="K16" s="125" t="s">
        <v>105</v>
      </c>
      <c r="L16" s="125" t="s">
        <v>76</v>
      </c>
      <c r="M16" s="125">
        <v>1</v>
      </c>
      <c r="N16" s="127">
        <v>90</v>
      </c>
      <c r="O16" s="125"/>
    </row>
    <row r="17" spans="1:15" x14ac:dyDescent="0.35">
      <c r="A17" s="125">
        <v>99</v>
      </c>
      <c r="B17" s="125" t="s">
        <v>0</v>
      </c>
      <c r="C17" s="125" t="s">
        <v>221</v>
      </c>
      <c r="D17" s="125" t="s">
        <v>21</v>
      </c>
      <c r="E17" s="125">
        <v>160</v>
      </c>
      <c r="F17" s="125">
        <v>5.7700000000000001E-2</v>
      </c>
      <c r="G17" s="125">
        <v>4.5999999999999999E-2</v>
      </c>
      <c r="H17" s="128">
        <f t="shared" si="0"/>
        <v>0.20277296360485272</v>
      </c>
      <c r="I17" s="125" t="s">
        <v>98</v>
      </c>
      <c r="J17" s="125" t="s">
        <v>220</v>
      </c>
      <c r="K17" s="125" t="s">
        <v>222</v>
      </c>
      <c r="L17" s="125" t="s">
        <v>76</v>
      </c>
      <c r="M17" s="125">
        <v>1</v>
      </c>
      <c r="N17" s="127">
        <v>37</v>
      </c>
      <c r="O17" s="125"/>
    </row>
    <row r="18" spans="1:15" x14ac:dyDescent="0.35">
      <c r="A18" s="125">
        <v>106</v>
      </c>
      <c r="B18" s="125" t="s">
        <v>0</v>
      </c>
      <c r="C18" s="125" t="s">
        <v>256</v>
      </c>
      <c r="D18" s="125" t="s">
        <v>21</v>
      </c>
      <c r="E18" s="125">
        <v>200</v>
      </c>
      <c r="F18" s="125">
        <v>4.7899999999999998E-2</v>
      </c>
      <c r="G18" s="125">
        <v>3.2000000000000001E-2</v>
      </c>
      <c r="H18" s="128">
        <f t="shared" si="0"/>
        <v>0.33194154488517741</v>
      </c>
      <c r="I18" s="125" t="s">
        <v>98</v>
      </c>
      <c r="J18" s="125" t="s">
        <v>257</v>
      </c>
      <c r="K18" s="125" t="s">
        <v>258</v>
      </c>
      <c r="L18" s="125" t="s">
        <v>76</v>
      </c>
      <c r="M18" s="125">
        <v>1</v>
      </c>
      <c r="N18" s="127">
        <v>40</v>
      </c>
      <c r="O18" s="125"/>
    </row>
    <row r="19" spans="1:15" x14ac:dyDescent="0.35">
      <c r="A19" s="125">
        <v>108</v>
      </c>
      <c r="B19" s="125" t="s">
        <v>0</v>
      </c>
      <c r="C19" s="125" t="s">
        <v>259</v>
      </c>
      <c r="D19" s="125" t="s">
        <v>21</v>
      </c>
      <c r="E19" s="125">
        <v>100</v>
      </c>
      <c r="F19" s="125">
        <v>5.9400000000000001E-2</v>
      </c>
      <c r="G19" s="125">
        <v>4.4400000000000002E-2</v>
      </c>
      <c r="H19" s="128">
        <f t="shared" si="0"/>
        <v>0.25252525252525249</v>
      </c>
      <c r="I19" s="125" t="s">
        <v>98</v>
      </c>
      <c r="J19" s="125" t="s">
        <v>260</v>
      </c>
      <c r="K19" s="125" t="s">
        <v>261</v>
      </c>
      <c r="L19" s="125" t="s">
        <v>76</v>
      </c>
      <c r="M19" s="125">
        <v>1</v>
      </c>
      <c r="N19" s="127">
        <v>50</v>
      </c>
      <c r="O19" s="125"/>
    </row>
    <row r="20" spans="1:15" x14ac:dyDescent="0.35">
      <c r="A20" s="125">
        <v>109</v>
      </c>
      <c r="B20" s="125" t="s">
        <v>84</v>
      </c>
      <c r="C20" s="125" t="s">
        <v>262</v>
      </c>
      <c r="D20" s="125" t="s">
        <v>21</v>
      </c>
      <c r="E20" s="125">
        <v>160</v>
      </c>
      <c r="F20" s="125">
        <v>5.9400000000000001E-2</v>
      </c>
      <c r="G20" s="125">
        <v>4.4400000000000002E-2</v>
      </c>
      <c r="H20" s="128">
        <f t="shared" si="0"/>
        <v>0.25252525252525249</v>
      </c>
      <c r="I20" s="125" t="s">
        <v>98</v>
      </c>
      <c r="J20" s="125" t="s">
        <v>260</v>
      </c>
      <c r="K20" s="125" t="s">
        <v>258</v>
      </c>
      <c r="L20" s="125" t="s">
        <v>76</v>
      </c>
      <c r="M20" s="125">
        <v>1</v>
      </c>
      <c r="N20" s="127">
        <v>32</v>
      </c>
      <c r="O20" s="125"/>
    </row>
    <row r="21" spans="1:15" x14ac:dyDescent="0.35">
      <c r="A21" s="125">
        <v>628</v>
      </c>
      <c r="B21" s="125" t="s">
        <v>0</v>
      </c>
      <c r="C21" s="125" t="s">
        <v>224</v>
      </c>
      <c r="D21" s="125" t="s">
        <v>21</v>
      </c>
      <c r="E21" s="125">
        <v>200</v>
      </c>
      <c r="F21" s="125">
        <v>3.7199999999999997E-2</v>
      </c>
      <c r="G21" s="125">
        <v>2.7199999999999998E-2</v>
      </c>
      <c r="H21" s="128">
        <f t="shared" si="0"/>
        <v>0.26881720430107525</v>
      </c>
      <c r="I21" s="125" t="s">
        <v>98</v>
      </c>
      <c r="J21" s="125" t="s">
        <v>225</v>
      </c>
      <c r="K21" s="125" t="s">
        <v>175</v>
      </c>
      <c r="L21" s="125" t="s">
        <v>1402</v>
      </c>
      <c r="M21" s="125">
        <v>2</v>
      </c>
      <c r="N21" s="127">
        <v>40</v>
      </c>
      <c r="O21" s="125"/>
    </row>
    <row r="22" spans="1:15" x14ac:dyDescent="0.35">
      <c r="A22" s="125">
        <v>103</v>
      </c>
      <c r="B22" s="125" t="s">
        <v>0</v>
      </c>
      <c r="C22" s="125" t="s">
        <v>228</v>
      </c>
      <c r="D22" s="125" t="s">
        <v>21</v>
      </c>
      <c r="E22" s="125">
        <v>200</v>
      </c>
      <c r="F22" s="125">
        <v>3.9600000000000003E-2</v>
      </c>
      <c r="G22" s="125">
        <v>2.76E-2</v>
      </c>
      <c r="H22" s="128">
        <f t="shared" si="0"/>
        <v>0.30303030303030309</v>
      </c>
      <c r="I22" s="125" t="s">
        <v>98</v>
      </c>
      <c r="J22" s="125" t="s">
        <v>229</v>
      </c>
      <c r="K22" s="125" t="s">
        <v>5</v>
      </c>
      <c r="L22" s="125" t="s">
        <v>1402</v>
      </c>
      <c r="M22" s="125">
        <v>12</v>
      </c>
      <c r="N22" s="127">
        <v>26</v>
      </c>
      <c r="O22" s="125"/>
    </row>
    <row r="23" spans="1:15" x14ac:dyDescent="0.35">
      <c r="A23" s="125"/>
      <c r="B23" s="125"/>
      <c r="C23" s="125"/>
      <c r="D23" s="125"/>
      <c r="E23" s="125"/>
      <c r="F23" s="125"/>
      <c r="G23" s="125"/>
      <c r="H23" s="128"/>
      <c r="I23" s="125"/>
      <c r="J23" s="125"/>
      <c r="K23" s="125"/>
      <c r="L23" s="125"/>
      <c r="M23" s="125"/>
      <c r="N23" s="127"/>
      <c r="O23" s="125"/>
    </row>
    <row r="24" spans="1:15" x14ac:dyDescent="0.35">
      <c r="A24" s="125">
        <v>707</v>
      </c>
      <c r="B24" s="125" t="s">
        <v>0</v>
      </c>
      <c r="C24" s="125" t="s">
        <v>963</v>
      </c>
      <c r="D24" s="125" t="s">
        <v>1</v>
      </c>
      <c r="E24" s="125">
        <v>1000</v>
      </c>
      <c r="F24" s="125">
        <v>2.4199999999999999E-2</v>
      </c>
      <c r="G24" s="125">
        <v>2.0400000000000001E-2</v>
      </c>
      <c r="H24" s="128">
        <f t="shared" ref="H24:H55" si="1">(F24-G24)/F24</f>
        <v>0.15702479338842967</v>
      </c>
      <c r="I24" s="125" t="s">
        <v>98</v>
      </c>
      <c r="J24" s="125" t="s">
        <v>964</v>
      </c>
      <c r="K24" s="125" t="s">
        <v>5</v>
      </c>
      <c r="L24" s="125" t="s">
        <v>1402</v>
      </c>
      <c r="M24" s="125">
        <v>54</v>
      </c>
      <c r="N24" s="127">
        <v>16</v>
      </c>
      <c r="O24" s="125"/>
    </row>
    <row r="25" spans="1:15" x14ac:dyDescent="0.35">
      <c r="A25" s="125">
        <v>791</v>
      </c>
      <c r="B25" s="125" t="s">
        <v>0</v>
      </c>
      <c r="C25" s="125" t="s">
        <v>1023</v>
      </c>
      <c r="D25" s="125" t="s">
        <v>1</v>
      </c>
      <c r="E25" s="125">
        <v>1000</v>
      </c>
      <c r="F25" s="125">
        <v>6.6E-3</v>
      </c>
      <c r="G25" s="125">
        <v>4.1999999999999997E-3</v>
      </c>
      <c r="H25" s="128">
        <f t="shared" si="1"/>
        <v>0.36363636363636365</v>
      </c>
      <c r="I25" s="125" t="s">
        <v>98</v>
      </c>
      <c r="J25" s="125" t="s">
        <v>1024</v>
      </c>
      <c r="K25" s="125" t="s">
        <v>105</v>
      </c>
      <c r="L25" s="125" t="s">
        <v>76</v>
      </c>
      <c r="M25" s="125">
        <v>3</v>
      </c>
      <c r="N25" s="127">
        <v>20</v>
      </c>
      <c r="O25" s="125"/>
    </row>
    <row r="26" spans="1:15" x14ac:dyDescent="0.35">
      <c r="A26" s="125">
        <v>889</v>
      </c>
      <c r="B26" s="125" t="s">
        <v>0</v>
      </c>
      <c r="C26" s="125" t="s">
        <v>1088</v>
      </c>
      <c r="D26" s="125" t="s">
        <v>1</v>
      </c>
      <c r="E26" s="125">
        <v>4500</v>
      </c>
      <c r="F26" s="125">
        <v>2.8999999999999998E-3</v>
      </c>
      <c r="G26" s="125">
        <v>1.9E-3</v>
      </c>
      <c r="H26" s="128">
        <f t="shared" si="1"/>
        <v>0.34482758620689652</v>
      </c>
      <c r="I26" s="125" t="s">
        <v>98</v>
      </c>
      <c r="J26" s="125" t="s">
        <v>1089</v>
      </c>
      <c r="K26" s="125" t="s">
        <v>105</v>
      </c>
      <c r="L26" s="125" t="s">
        <v>76</v>
      </c>
      <c r="M26" s="125">
        <v>27</v>
      </c>
      <c r="N26" s="127">
        <v>20</v>
      </c>
      <c r="O26" s="125"/>
    </row>
    <row r="27" spans="1:15" x14ac:dyDescent="0.35">
      <c r="A27" s="125">
        <v>1801</v>
      </c>
      <c r="B27" s="125" t="s">
        <v>0</v>
      </c>
      <c r="C27" s="125" t="s">
        <v>1246</v>
      </c>
      <c r="D27" s="125" t="s">
        <v>1</v>
      </c>
      <c r="E27" s="125">
        <v>2500</v>
      </c>
      <c r="F27" s="125">
        <v>5.7000000000000002E-3</v>
      </c>
      <c r="G27" s="125">
        <v>4.0000000000000001E-3</v>
      </c>
      <c r="H27" s="128">
        <f t="shared" si="1"/>
        <v>0.2982456140350877</v>
      </c>
      <c r="I27" s="125" t="s">
        <v>98</v>
      </c>
      <c r="J27" s="125" t="s">
        <v>1089</v>
      </c>
      <c r="K27" s="125" t="s">
        <v>105</v>
      </c>
      <c r="L27" s="125" t="s">
        <v>76</v>
      </c>
      <c r="M27" s="125">
        <v>2</v>
      </c>
      <c r="N27" s="127">
        <v>69</v>
      </c>
      <c r="O27" s="125"/>
    </row>
    <row r="28" spans="1:15" x14ac:dyDescent="0.35">
      <c r="A28" s="125">
        <v>18</v>
      </c>
      <c r="B28" s="125" t="s">
        <v>0</v>
      </c>
      <c r="C28" s="125" t="s">
        <v>571</v>
      </c>
      <c r="D28" s="125" t="s">
        <v>1</v>
      </c>
      <c r="E28" s="125">
        <v>4900</v>
      </c>
      <c r="F28" s="125">
        <v>2.5000000000000001E-3</v>
      </c>
      <c r="G28" s="125">
        <v>2.2000000000000001E-3</v>
      </c>
      <c r="H28" s="128">
        <f t="shared" si="1"/>
        <v>0.11999999999999997</v>
      </c>
      <c r="I28" s="125" t="s">
        <v>98</v>
      </c>
      <c r="J28" s="125" t="s">
        <v>572</v>
      </c>
      <c r="K28" s="125" t="s">
        <v>222</v>
      </c>
      <c r="L28" s="125" t="s">
        <v>76</v>
      </c>
      <c r="M28" s="125">
        <v>15</v>
      </c>
      <c r="N28" s="127">
        <v>14</v>
      </c>
      <c r="O28" s="125"/>
    </row>
    <row r="29" spans="1:15" x14ac:dyDescent="0.35">
      <c r="A29" s="125">
        <v>602</v>
      </c>
      <c r="B29" s="125" t="s">
        <v>0</v>
      </c>
      <c r="C29" s="125" t="s">
        <v>885</v>
      </c>
      <c r="D29" s="125" t="s">
        <v>1</v>
      </c>
      <c r="E29" s="125">
        <v>35</v>
      </c>
      <c r="F29" s="125">
        <v>0.38540000000000002</v>
      </c>
      <c r="G29" s="125">
        <v>0.28839999999999999</v>
      </c>
      <c r="H29" s="128">
        <f t="shared" si="1"/>
        <v>0.25168655941878576</v>
      </c>
      <c r="I29" s="125" t="s">
        <v>98</v>
      </c>
      <c r="J29" s="125" t="s">
        <v>886</v>
      </c>
      <c r="K29" s="125" t="s">
        <v>105</v>
      </c>
      <c r="L29" s="125" t="s">
        <v>76</v>
      </c>
      <c r="M29" s="125">
        <v>2</v>
      </c>
      <c r="N29" s="127">
        <v>60</v>
      </c>
      <c r="O29" s="125"/>
    </row>
    <row r="30" spans="1:15" x14ac:dyDescent="0.35">
      <c r="A30" s="125">
        <v>604</v>
      </c>
      <c r="B30" s="125" t="s">
        <v>0</v>
      </c>
      <c r="C30" s="125" t="s">
        <v>889</v>
      </c>
      <c r="D30" s="125" t="s">
        <v>1</v>
      </c>
      <c r="E30" s="125">
        <v>40</v>
      </c>
      <c r="F30" s="125">
        <v>0.39389999999999997</v>
      </c>
      <c r="G30" s="125">
        <v>0.28839999999999999</v>
      </c>
      <c r="H30" s="128">
        <f t="shared" si="1"/>
        <v>0.26783447575526781</v>
      </c>
      <c r="I30" s="125" t="s">
        <v>98</v>
      </c>
      <c r="J30" s="125" t="s">
        <v>886</v>
      </c>
      <c r="K30" s="125" t="s">
        <v>105</v>
      </c>
      <c r="L30" s="125" t="s">
        <v>76</v>
      </c>
      <c r="M30" s="125">
        <v>2</v>
      </c>
      <c r="N30" s="127">
        <v>44</v>
      </c>
      <c r="O30" s="125"/>
    </row>
    <row r="31" spans="1:15" x14ac:dyDescent="0.35">
      <c r="A31" s="125">
        <v>608</v>
      </c>
      <c r="B31" s="125" t="s">
        <v>0</v>
      </c>
      <c r="C31" s="125" t="s">
        <v>894</v>
      </c>
      <c r="D31" s="125" t="s">
        <v>1</v>
      </c>
      <c r="E31" s="125">
        <v>55</v>
      </c>
      <c r="F31" s="125">
        <v>0.40229999999999999</v>
      </c>
      <c r="G31" s="125">
        <v>0.28839999999999999</v>
      </c>
      <c r="H31" s="128">
        <f t="shared" si="1"/>
        <v>0.28312204822271936</v>
      </c>
      <c r="I31" s="125" t="s">
        <v>98</v>
      </c>
      <c r="J31" s="125" t="s">
        <v>886</v>
      </c>
      <c r="K31" s="125" t="s">
        <v>105</v>
      </c>
      <c r="L31" s="125" t="s">
        <v>76</v>
      </c>
      <c r="M31" s="125">
        <v>2</v>
      </c>
      <c r="N31" s="127">
        <v>60</v>
      </c>
      <c r="O31" s="125"/>
    </row>
    <row r="32" spans="1:15" x14ac:dyDescent="0.35">
      <c r="A32" s="125">
        <v>609</v>
      </c>
      <c r="B32" s="125" t="s">
        <v>0</v>
      </c>
      <c r="C32" s="125" t="s">
        <v>895</v>
      </c>
      <c r="D32" s="125" t="s">
        <v>1</v>
      </c>
      <c r="E32" s="125">
        <v>40</v>
      </c>
      <c r="F32" s="125">
        <v>0.38540000000000002</v>
      </c>
      <c r="G32" s="125">
        <v>0.28839999999999999</v>
      </c>
      <c r="H32" s="128">
        <f t="shared" si="1"/>
        <v>0.25168655941878576</v>
      </c>
      <c r="I32" s="125" t="s">
        <v>98</v>
      </c>
      <c r="J32" s="125" t="s">
        <v>886</v>
      </c>
      <c r="K32" s="125" t="s">
        <v>222</v>
      </c>
      <c r="L32" s="125" t="s">
        <v>76</v>
      </c>
      <c r="M32" s="125">
        <v>6</v>
      </c>
      <c r="N32" s="127">
        <v>20</v>
      </c>
      <c r="O32" s="125"/>
    </row>
    <row r="33" spans="1:15" x14ac:dyDescent="0.35">
      <c r="A33" s="125">
        <v>277</v>
      </c>
      <c r="B33" s="125" t="s">
        <v>84</v>
      </c>
      <c r="C33" s="125" t="s">
        <v>737</v>
      </c>
      <c r="D33" s="125" t="s">
        <v>1</v>
      </c>
      <c r="E33" s="125">
        <v>1100</v>
      </c>
      <c r="F33" s="125">
        <v>5.1000000000000004E-3</v>
      </c>
      <c r="G33" s="125">
        <v>3.5999999999999999E-3</v>
      </c>
      <c r="H33" s="128">
        <f t="shared" si="1"/>
        <v>0.29411764705882359</v>
      </c>
      <c r="I33" s="125" t="s">
        <v>98</v>
      </c>
      <c r="J33" s="125" t="s">
        <v>499</v>
      </c>
      <c r="K33" s="125" t="s">
        <v>95</v>
      </c>
      <c r="L33" s="125" t="s">
        <v>1402</v>
      </c>
      <c r="M33" s="125">
        <v>24</v>
      </c>
      <c r="N33" s="127">
        <v>13</v>
      </c>
      <c r="O33" s="125"/>
    </row>
    <row r="34" spans="1:15" x14ac:dyDescent="0.35">
      <c r="A34" s="125">
        <v>1055</v>
      </c>
      <c r="B34" s="125" t="s">
        <v>0</v>
      </c>
      <c r="C34" s="125" t="s">
        <v>1160</v>
      </c>
      <c r="D34" s="125" t="s">
        <v>1</v>
      </c>
      <c r="E34" s="125">
        <v>1000</v>
      </c>
      <c r="F34" s="125">
        <v>9.7000000000000003E-3</v>
      </c>
      <c r="G34" s="125">
        <v>6.7000000000000002E-3</v>
      </c>
      <c r="H34" s="128">
        <f t="shared" si="1"/>
        <v>0.30927835051546393</v>
      </c>
      <c r="I34" s="125" t="s">
        <v>98</v>
      </c>
      <c r="J34" s="125" t="s">
        <v>499</v>
      </c>
      <c r="K34" s="125" t="s">
        <v>5</v>
      </c>
      <c r="L34" s="125" t="s">
        <v>1402</v>
      </c>
      <c r="M34" s="125">
        <v>12</v>
      </c>
      <c r="N34" s="127">
        <v>15</v>
      </c>
      <c r="O34" s="125"/>
    </row>
    <row r="35" spans="1:15" x14ac:dyDescent="0.35">
      <c r="A35" s="125">
        <v>1805</v>
      </c>
      <c r="B35" s="125" t="s">
        <v>0</v>
      </c>
      <c r="C35" s="125" t="s">
        <v>1248</v>
      </c>
      <c r="D35" s="125" t="s">
        <v>1</v>
      </c>
      <c r="E35" s="125">
        <v>1200</v>
      </c>
      <c r="F35" s="125">
        <v>1.24E-2</v>
      </c>
      <c r="G35" s="125">
        <v>7.1000000000000004E-3</v>
      </c>
      <c r="H35" s="128">
        <f t="shared" si="1"/>
        <v>0.42741935483870963</v>
      </c>
      <c r="I35" s="125" t="s">
        <v>98</v>
      </c>
      <c r="J35" s="125" t="s">
        <v>499</v>
      </c>
      <c r="K35" s="125" t="s">
        <v>105</v>
      </c>
      <c r="L35" s="125" t="s">
        <v>76</v>
      </c>
      <c r="M35" s="125">
        <v>12</v>
      </c>
      <c r="N35" s="127"/>
      <c r="O35" s="125"/>
    </row>
    <row r="36" spans="1:15" x14ac:dyDescent="0.35">
      <c r="A36" s="125">
        <v>1054</v>
      </c>
      <c r="B36" s="125" t="s">
        <v>0</v>
      </c>
      <c r="C36" s="125" t="s">
        <v>1158</v>
      </c>
      <c r="D36" s="125" t="s">
        <v>1</v>
      </c>
      <c r="E36" s="125">
        <v>450</v>
      </c>
      <c r="F36" s="125">
        <v>1.6199999999999999E-2</v>
      </c>
      <c r="G36" s="125">
        <v>1.2200000000000001E-2</v>
      </c>
      <c r="H36" s="128">
        <f t="shared" si="1"/>
        <v>0.24691358024691348</v>
      </c>
      <c r="I36" s="125" t="s">
        <v>98</v>
      </c>
      <c r="J36" s="125" t="s">
        <v>1159</v>
      </c>
      <c r="K36" s="125" t="s">
        <v>105</v>
      </c>
      <c r="L36" s="125" t="s">
        <v>76</v>
      </c>
      <c r="M36" s="125">
        <v>6</v>
      </c>
      <c r="N36" s="127">
        <v>26</v>
      </c>
      <c r="O36" s="125"/>
    </row>
    <row r="37" spans="1:15" x14ac:dyDescent="0.35">
      <c r="A37" s="125">
        <v>725</v>
      </c>
      <c r="B37" s="125" t="s">
        <v>0</v>
      </c>
      <c r="C37" s="125" t="s">
        <v>984</v>
      </c>
      <c r="D37" s="125" t="s">
        <v>1</v>
      </c>
      <c r="E37" s="125">
        <v>1320</v>
      </c>
      <c r="F37" s="125">
        <v>7.1999999999999998E-3</v>
      </c>
      <c r="G37" s="125">
        <v>5.4000000000000003E-3</v>
      </c>
      <c r="H37" s="128">
        <f t="shared" si="1"/>
        <v>0.24999999999999994</v>
      </c>
      <c r="I37" s="125" t="s">
        <v>98</v>
      </c>
      <c r="J37" s="125" t="s">
        <v>985</v>
      </c>
      <c r="K37" s="125" t="s">
        <v>105</v>
      </c>
      <c r="L37" s="125" t="s">
        <v>76</v>
      </c>
      <c r="M37" s="125">
        <v>40</v>
      </c>
      <c r="N37" s="127">
        <v>20</v>
      </c>
      <c r="O37" s="125"/>
    </row>
    <row r="38" spans="1:15" x14ac:dyDescent="0.35">
      <c r="A38" s="125">
        <v>888</v>
      </c>
      <c r="B38" s="125" t="s">
        <v>0</v>
      </c>
      <c r="C38" s="125" t="s">
        <v>1087</v>
      </c>
      <c r="D38" s="125" t="s">
        <v>1</v>
      </c>
      <c r="E38" s="125">
        <v>3000</v>
      </c>
      <c r="F38" s="125">
        <v>5.4000000000000003E-3</v>
      </c>
      <c r="G38" s="125">
        <v>3.2000000000000002E-3</v>
      </c>
      <c r="H38" s="128">
        <f t="shared" si="1"/>
        <v>0.40740740740740738</v>
      </c>
      <c r="I38" s="125" t="s">
        <v>98</v>
      </c>
      <c r="J38" s="125" t="s">
        <v>985</v>
      </c>
      <c r="K38" s="125" t="s">
        <v>105</v>
      </c>
      <c r="L38" s="125" t="s">
        <v>76</v>
      </c>
      <c r="M38" s="125">
        <v>15</v>
      </c>
      <c r="N38" s="127">
        <v>20</v>
      </c>
      <c r="O38" s="125"/>
    </row>
    <row r="39" spans="1:15" x14ac:dyDescent="0.35">
      <c r="A39" s="125">
        <v>1089</v>
      </c>
      <c r="B39" s="125" t="s">
        <v>0</v>
      </c>
      <c r="C39" s="125" t="s">
        <v>1171</v>
      </c>
      <c r="D39" s="125" t="s">
        <v>1</v>
      </c>
      <c r="E39" s="125">
        <v>360</v>
      </c>
      <c r="F39" s="125">
        <v>2.8400000000000002E-2</v>
      </c>
      <c r="G39" s="125">
        <v>1.52E-2</v>
      </c>
      <c r="H39" s="128">
        <f t="shared" si="1"/>
        <v>0.46478873239436624</v>
      </c>
      <c r="I39" s="125" t="s">
        <v>98</v>
      </c>
      <c r="J39" s="125" t="s">
        <v>1172</v>
      </c>
      <c r="K39" s="125" t="s">
        <v>261</v>
      </c>
      <c r="L39" s="125" t="s">
        <v>76</v>
      </c>
      <c r="M39" s="125">
        <v>10</v>
      </c>
      <c r="N39" s="127">
        <v>28</v>
      </c>
      <c r="O39" s="125"/>
    </row>
    <row r="40" spans="1:15" x14ac:dyDescent="0.35">
      <c r="A40" s="125">
        <v>202</v>
      </c>
      <c r="B40" s="125" t="s">
        <v>0</v>
      </c>
      <c r="C40" s="125" t="s">
        <v>659</v>
      </c>
      <c r="D40" s="125" t="s">
        <v>1</v>
      </c>
      <c r="E40" s="125">
        <v>800</v>
      </c>
      <c r="F40" s="125">
        <v>1.6500000000000001E-2</v>
      </c>
      <c r="G40" s="125">
        <v>1.4E-2</v>
      </c>
      <c r="H40" s="128">
        <f t="shared" si="1"/>
        <v>0.15151515151515155</v>
      </c>
      <c r="I40" s="125" t="s">
        <v>98</v>
      </c>
      <c r="J40" s="125" t="s">
        <v>504</v>
      </c>
      <c r="K40" s="125" t="s">
        <v>200</v>
      </c>
      <c r="L40" s="125" t="s">
        <v>76</v>
      </c>
      <c r="M40" s="125">
        <v>2</v>
      </c>
      <c r="N40" s="125">
        <v>110</v>
      </c>
      <c r="O40" s="125"/>
    </row>
    <row r="41" spans="1:15" x14ac:dyDescent="0.35">
      <c r="A41" s="125">
        <v>1121</v>
      </c>
      <c r="B41" s="125" t="s">
        <v>0</v>
      </c>
      <c r="C41" s="125" t="s">
        <v>1195</v>
      </c>
      <c r="D41" s="125" t="s">
        <v>1</v>
      </c>
      <c r="E41" s="125">
        <v>100</v>
      </c>
      <c r="F41" s="125">
        <v>1.5800000000000002E-2</v>
      </c>
      <c r="G41" s="125">
        <v>8.8999999999999999E-3</v>
      </c>
      <c r="H41" s="128">
        <f t="shared" si="1"/>
        <v>0.43670886075949372</v>
      </c>
      <c r="I41" s="125" t="s">
        <v>98</v>
      </c>
      <c r="J41" s="125" t="s">
        <v>1196</v>
      </c>
      <c r="K41" s="125" t="s">
        <v>5</v>
      </c>
      <c r="L41" s="125" t="s">
        <v>1402</v>
      </c>
      <c r="M41" s="125">
        <v>14</v>
      </c>
      <c r="N41" s="127">
        <v>26</v>
      </c>
      <c r="O41" s="125"/>
    </row>
    <row r="42" spans="1:15" x14ac:dyDescent="0.35">
      <c r="A42" s="125">
        <v>203</v>
      </c>
      <c r="B42" s="125" t="s">
        <v>0</v>
      </c>
      <c r="C42" s="125" t="s">
        <v>660</v>
      </c>
      <c r="D42" s="125" t="s">
        <v>1</v>
      </c>
      <c r="E42" s="125">
        <v>400</v>
      </c>
      <c r="F42" s="125">
        <v>2.5600000000000001E-2</v>
      </c>
      <c r="G42" s="125">
        <v>2.0500000000000001E-2</v>
      </c>
      <c r="H42" s="128">
        <f t="shared" si="1"/>
        <v>0.19921875</v>
      </c>
      <c r="I42" s="125" t="s">
        <v>98</v>
      </c>
      <c r="J42" s="125" t="s">
        <v>99</v>
      </c>
      <c r="K42" s="125" t="s">
        <v>105</v>
      </c>
      <c r="L42" s="125" t="s">
        <v>76</v>
      </c>
      <c r="M42" s="125">
        <v>6</v>
      </c>
      <c r="N42" s="127">
        <v>22</v>
      </c>
      <c r="O42" s="125"/>
    </row>
    <row r="43" spans="1:15" x14ac:dyDescent="0.35">
      <c r="A43" s="125">
        <v>225</v>
      </c>
      <c r="B43" s="125" t="s">
        <v>84</v>
      </c>
      <c r="C43" s="125" t="s">
        <v>681</v>
      </c>
      <c r="D43" s="125" t="s">
        <v>1</v>
      </c>
      <c r="E43" s="125">
        <v>810</v>
      </c>
      <c r="F43" s="125">
        <v>3.6200000000000003E-2</v>
      </c>
      <c r="G43" s="125"/>
      <c r="H43" s="128">
        <f t="shared" si="1"/>
        <v>1</v>
      </c>
      <c r="I43" s="125" t="s">
        <v>98</v>
      </c>
      <c r="J43" s="125" t="s">
        <v>99</v>
      </c>
      <c r="K43" s="125" t="s">
        <v>105</v>
      </c>
      <c r="L43" s="125" t="s">
        <v>76</v>
      </c>
      <c r="M43" s="125">
        <v>16</v>
      </c>
      <c r="N43" s="127">
        <v>24</v>
      </c>
      <c r="O43" s="125"/>
    </row>
    <row r="44" spans="1:15" x14ac:dyDescent="0.35">
      <c r="A44" s="125">
        <v>435</v>
      </c>
      <c r="B44" s="125" t="s">
        <v>0</v>
      </c>
      <c r="C44" s="125" t="s">
        <v>832</v>
      </c>
      <c r="D44" s="125" t="s">
        <v>1</v>
      </c>
      <c r="E44" s="125">
        <v>650</v>
      </c>
      <c r="F44" s="125">
        <v>1.49E-2</v>
      </c>
      <c r="G44" s="125">
        <v>1.0699999999999999E-2</v>
      </c>
      <c r="H44" s="128">
        <f t="shared" si="1"/>
        <v>0.28187919463087252</v>
      </c>
      <c r="I44" s="125" t="s">
        <v>98</v>
      </c>
      <c r="J44" s="125" t="s">
        <v>99</v>
      </c>
      <c r="K44" s="125" t="s">
        <v>105</v>
      </c>
      <c r="L44" s="125" t="s">
        <v>76</v>
      </c>
      <c r="M44" s="125">
        <v>27</v>
      </c>
      <c r="N44" s="127">
        <v>20</v>
      </c>
      <c r="O44" s="125"/>
    </row>
    <row r="45" spans="1:15" x14ac:dyDescent="0.35">
      <c r="A45" s="125">
        <v>672</v>
      </c>
      <c r="B45" s="125" t="s">
        <v>0</v>
      </c>
      <c r="C45" s="125" t="s">
        <v>926</v>
      </c>
      <c r="D45" s="125" t="s">
        <v>1</v>
      </c>
      <c r="E45" s="125">
        <v>2000</v>
      </c>
      <c r="F45" s="125">
        <v>9.9000000000000008E-3</v>
      </c>
      <c r="G45" s="125">
        <v>7.0000000000000001E-3</v>
      </c>
      <c r="H45" s="128">
        <f t="shared" si="1"/>
        <v>0.29292929292929298</v>
      </c>
      <c r="I45" s="125" t="s">
        <v>98</v>
      </c>
      <c r="J45" s="125" t="s">
        <v>99</v>
      </c>
      <c r="K45" s="125" t="s">
        <v>261</v>
      </c>
      <c r="L45" s="125" t="s">
        <v>76</v>
      </c>
      <c r="M45" s="125">
        <v>12</v>
      </c>
      <c r="N45" s="127">
        <v>21</v>
      </c>
      <c r="O45" s="125"/>
    </row>
    <row r="46" spans="1:15" x14ac:dyDescent="0.35">
      <c r="A46" s="125">
        <v>1119</v>
      </c>
      <c r="B46" s="125" t="s">
        <v>0</v>
      </c>
      <c r="C46" s="125" t="s">
        <v>1193</v>
      </c>
      <c r="D46" s="125" t="s">
        <v>1</v>
      </c>
      <c r="E46" s="125">
        <v>480</v>
      </c>
      <c r="F46" s="125">
        <v>2.18E-2</v>
      </c>
      <c r="G46" s="125">
        <v>1.49E-2</v>
      </c>
      <c r="H46" s="128">
        <f t="shared" si="1"/>
        <v>0.3165137614678899</v>
      </c>
      <c r="I46" s="125" t="s">
        <v>98</v>
      </c>
      <c r="J46" s="125" t="s">
        <v>99</v>
      </c>
      <c r="K46" s="125" t="s">
        <v>105</v>
      </c>
      <c r="L46" s="125" t="s">
        <v>76</v>
      </c>
      <c r="M46" s="125">
        <v>18</v>
      </c>
      <c r="N46" s="127">
        <v>130</v>
      </c>
      <c r="O46" s="125"/>
    </row>
    <row r="47" spans="1:15" x14ac:dyDescent="0.35">
      <c r="A47" s="125">
        <v>1123</v>
      </c>
      <c r="B47" s="125" t="s">
        <v>0</v>
      </c>
      <c r="C47" s="125" t="s">
        <v>1197</v>
      </c>
      <c r="D47" s="125" t="s">
        <v>1</v>
      </c>
      <c r="E47" s="125">
        <v>650</v>
      </c>
      <c r="F47" s="125">
        <v>1.5800000000000002E-2</v>
      </c>
      <c r="G47" s="125">
        <v>8.8999999999999999E-3</v>
      </c>
      <c r="H47" s="128">
        <f t="shared" si="1"/>
        <v>0.43670886075949372</v>
      </c>
      <c r="I47" s="125" t="s">
        <v>98</v>
      </c>
      <c r="J47" s="125" t="s">
        <v>99</v>
      </c>
      <c r="K47" s="125"/>
      <c r="L47" s="125" t="s">
        <v>1402</v>
      </c>
      <c r="M47" s="125">
        <v>12</v>
      </c>
      <c r="N47" s="127">
        <v>100</v>
      </c>
      <c r="O47" s="125"/>
    </row>
    <row r="48" spans="1:15" x14ac:dyDescent="0.35">
      <c r="A48" s="125">
        <v>1973</v>
      </c>
      <c r="B48" s="125" t="s">
        <v>0</v>
      </c>
      <c r="C48" s="125" t="s">
        <v>1271</v>
      </c>
      <c r="D48" s="125" t="s">
        <v>1</v>
      </c>
      <c r="E48" s="125">
        <v>100</v>
      </c>
      <c r="F48" s="125">
        <v>2.18E-2</v>
      </c>
      <c r="G48" s="125">
        <v>1.49E-2</v>
      </c>
      <c r="H48" s="128">
        <f t="shared" si="1"/>
        <v>0.3165137614678899</v>
      </c>
      <c r="I48" s="125" t="s">
        <v>98</v>
      </c>
      <c r="J48" s="125" t="s">
        <v>99</v>
      </c>
      <c r="K48" s="125" t="s">
        <v>230</v>
      </c>
      <c r="L48" s="125" t="s">
        <v>76</v>
      </c>
      <c r="M48" s="125">
        <v>2</v>
      </c>
      <c r="N48" s="127">
        <v>60</v>
      </c>
      <c r="O48" s="125"/>
    </row>
    <row r="49" spans="1:15" x14ac:dyDescent="0.35">
      <c r="A49" s="125">
        <v>226</v>
      </c>
      <c r="B49" s="125" t="s">
        <v>84</v>
      </c>
      <c r="C49" s="125" t="s">
        <v>682</v>
      </c>
      <c r="D49" s="125" t="s">
        <v>1</v>
      </c>
      <c r="E49" s="125">
        <v>810</v>
      </c>
      <c r="F49" s="125">
        <v>3.0499999999999999E-2</v>
      </c>
      <c r="G49" s="125">
        <v>2.53E-2</v>
      </c>
      <c r="H49" s="128">
        <f t="shared" si="1"/>
        <v>0.17049180327868851</v>
      </c>
      <c r="I49" s="125" t="s">
        <v>98</v>
      </c>
      <c r="J49" s="125" t="s">
        <v>683</v>
      </c>
      <c r="K49" s="125" t="s">
        <v>105</v>
      </c>
      <c r="L49" s="125" t="s">
        <v>76</v>
      </c>
      <c r="M49" s="125">
        <v>25</v>
      </c>
      <c r="N49" s="127">
        <v>26</v>
      </c>
      <c r="O49" s="125"/>
    </row>
    <row r="50" spans="1:15" x14ac:dyDescent="0.35">
      <c r="A50" s="125">
        <v>679</v>
      </c>
      <c r="B50" s="125" t="s">
        <v>0</v>
      </c>
      <c r="C50" s="125" t="s">
        <v>933</v>
      </c>
      <c r="D50" s="125" t="s">
        <v>1</v>
      </c>
      <c r="E50" s="125">
        <v>1800</v>
      </c>
      <c r="F50" s="125">
        <v>1.1599999999999999E-2</v>
      </c>
      <c r="G50" s="125">
        <v>1.01E-2</v>
      </c>
      <c r="H50" s="128">
        <f t="shared" si="1"/>
        <v>0.12931034482758619</v>
      </c>
      <c r="I50" s="125" t="s">
        <v>98</v>
      </c>
      <c r="J50" s="125" t="s">
        <v>683</v>
      </c>
      <c r="K50" s="125" t="s">
        <v>105</v>
      </c>
      <c r="L50" s="125" t="s">
        <v>76</v>
      </c>
      <c r="M50" s="125">
        <v>30</v>
      </c>
      <c r="N50" s="127">
        <v>8</v>
      </c>
      <c r="O50" s="125"/>
    </row>
    <row r="51" spans="1:15" x14ac:dyDescent="0.35">
      <c r="A51" s="125">
        <v>1109</v>
      </c>
      <c r="B51" s="125" t="s">
        <v>0</v>
      </c>
      <c r="C51" s="125" t="s">
        <v>1186</v>
      </c>
      <c r="D51" s="125" t="s">
        <v>1</v>
      </c>
      <c r="E51" s="125">
        <v>350</v>
      </c>
      <c r="F51" s="125">
        <v>2.07E-2</v>
      </c>
      <c r="G51" s="125">
        <v>1.7299999999999999E-2</v>
      </c>
      <c r="H51" s="128">
        <f t="shared" si="1"/>
        <v>0.16425120772946861</v>
      </c>
      <c r="I51" s="125" t="s">
        <v>98</v>
      </c>
      <c r="J51" s="125" t="s">
        <v>1187</v>
      </c>
      <c r="K51" s="125" t="s">
        <v>105</v>
      </c>
      <c r="L51" s="125" t="s">
        <v>76</v>
      </c>
      <c r="M51" s="125">
        <v>12</v>
      </c>
      <c r="N51" s="127">
        <v>34</v>
      </c>
      <c r="O51" s="125"/>
    </row>
    <row r="52" spans="1:15" x14ac:dyDescent="0.35">
      <c r="A52" s="125">
        <v>1112</v>
      </c>
      <c r="B52" s="125" t="s">
        <v>0</v>
      </c>
      <c r="C52" s="125" t="s">
        <v>1191</v>
      </c>
      <c r="D52" s="125" t="s">
        <v>1</v>
      </c>
      <c r="E52" s="125">
        <v>250</v>
      </c>
      <c r="F52" s="125">
        <v>2.76E-2</v>
      </c>
      <c r="G52" s="125">
        <v>2.3599999999999999E-2</v>
      </c>
      <c r="H52" s="128">
        <f t="shared" si="1"/>
        <v>0.14492753623188406</v>
      </c>
      <c r="I52" s="125" t="s">
        <v>98</v>
      </c>
      <c r="J52" s="125" t="s">
        <v>1187</v>
      </c>
      <c r="K52" s="125" t="s">
        <v>261</v>
      </c>
      <c r="L52" s="125" t="s">
        <v>76</v>
      </c>
      <c r="M52" s="125">
        <v>6</v>
      </c>
      <c r="N52" s="127">
        <v>44</v>
      </c>
      <c r="O52" s="125"/>
    </row>
    <row r="53" spans="1:15" x14ac:dyDescent="0.35">
      <c r="A53" s="125">
        <v>1901</v>
      </c>
      <c r="B53" s="125" t="s">
        <v>0</v>
      </c>
      <c r="C53" s="125" t="s">
        <v>1261</v>
      </c>
      <c r="D53" s="125" t="s">
        <v>1</v>
      </c>
      <c r="E53" s="125">
        <v>300</v>
      </c>
      <c r="F53" s="125">
        <v>2.06E-2</v>
      </c>
      <c r="G53" s="125">
        <v>1.21E-2</v>
      </c>
      <c r="H53" s="128">
        <f t="shared" si="1"/>
        <v>0.41262135922330101</v>
      </c>
      <c r="I53" s="125" t="s">
        <v>98</v>
      </c>
      <c r="J53" s="125" t="s">
        <v>1262</v>
      </c>
      <c r="K53" s="125" t="s">
        <v>5</v>
      </c>
      <c r="L53" s="125" t="s">
        <v>1402</v>
      </c>
      <c r="M53" s="125">
        <v>14</v>
      </c>
      <c r="N53" s="127">
        <v>24</v>
      </c>
      <c r="O53" s="125"/>
    </row>
    <row r="54" spans="1:15" x14ac:dyDescent="0.35">
      <c r="A54" s="125">
        <v>78</v>
      </c>
      <c r="B54" s="125" t="s">
        <v>0</v>
      </c>
      <c r="C54" s="125" t="s">
        <v>611</v>
      </c>
      <c r="D54" s="125" t="s">
        <v>1</v>
      </c>
      <c r="E54" s="125">
        <v>300</v>
      </c>
      <c r="F54" s="125">
        <v>2.64E-2</v>
      </c>
      <c r="G54" s="125">
        <v>1.7299999999999999E-2</v>
      </c>
      <c r="H54" s="128">
        <f t="shared" si="1"/>
        <v>0.34469696969696972</v>
      </c>
      <c r="I54" s="125" t="s">
        <v>98</v>
      </c>
      <c r="J54" s="125" t="s">
        <v>229</v>
      </c>
      <c r="K54" s="125" t="s">
        <v>5</v>
      </c>
      <c r="L54" s="125" t="s">
        <v>1402</v>
      </c>
      <c r="M54" s="125">
        <v>12</v>
      </c>
      <c r="N54" s="127">
        <v>26</v>
      </c>
      <c r="O54" s="125"/>
    </row>
    <row r="55" spans="1:15" x14ac:dyDescent="0.35">
      <c r="A55" s="125">
        <v>79</v>
      </c>
      <c r="B55" s="125" t="s">
        <v>0</v>
      </c>
      <c r="C55" s="125" t="s">
        <v>612</v>
      </c>
      <c r="D55" s="125" t="s">
        <v>1</v>
      </c>
      <c r="E55" s="125">
        <v>300</v>
      </c>
      <c r="F55" s="125">
        <v>2.64E-2</v>
      </c>
      <c r="G55" s="125">
        <v>1.7299999999999999E-2</v>
      </c>
      <c r="H55" s="128">
        <f t="shared" si="1"/>
        <v>0.34469696969696972</v>
      </c>
      <c r="I55" s="125" t="s">
        <v>98</v>
      </c>
      <c r="J55" s="125" t="s">
        <v>229</v>
      </c>
      <c r="K55" s="125" t="s">
        <v>413</v>
      </c>
      <c r="L55" s="125"/>
      <c r="M55" s="125">
        <v>6</v>
      </c>
      <c r="N55" s="127">
        <v>70</v>
      </c>
      <c r="O55" s="125"/>
    </row>
    <row r="56" spans="1:15" x14ac:dyDescent="0.35">
      <c r="A56" s="125">
        <v>833</v>
      </c>
      <c r="B56" s="125" t="s">
        <v>0</v>
      </c>
      <c r="C56" s="125" t="s">
        <v>1045</v>
      </c>
      <c r="D56" s="125" t="s">
        <v>1</v>
      </c>
      <c r="E56" s="125">
        <v>360</v>
      </c>
      <c r="F56" s="125">
        <v>4.53E-2</v>
      </c>
      <c r="G56" s="125">
        <v>4.0399999999999998E-2</v>
      </c>
      <c r="H56" s="128">
        <f t="shared" ref="H56:H87" si="2">(F56-G56)/F56</f>
        <v>0.10816777041942609</v>
      </c>
      <c r="I56" s="125" t="s">
        <v>98</v>
      </c>
      <c r="J56" s="125" t="s">
        <v>229</v>
      </c>
      <c r="K56" s="125" t="s">
        <v>5</v>
      </c>
      <c r="L56" s="125" t="s">
        <v>1402</v>
      </c>
      <c r="M56" s="125">
        <v>20</v>
      </c>
      <c r="N56" s="127">
        <v>18</v>
      </c>
      <c r="O56" s="125"/>
    </row>
    <row r="57" spans="1:15" x14ac:dyDescent="0.35">
      <c r="A57" s="125">
        <v>1061</v>
      </c>
      <c r="B57" s="125" t="s">
        <v>0</v>
      </c>
      <c r="C57" s="125" t="s">
        <v>1166</v>
      </c>
      <c r="D57" s="125" t="s">
        <v>1</v>
      </c>
      <c r="E57" s="125">
        <v>1000</v>
      </c>
      <c r="F57" s="125">
        <v>1.29E-2</v>
      </c>
      <c r="G57" s="125"/>
      <c r="H57" s="128">
        <f t="shared" si="2"/>
        <v>1</v>
      </c>
      <c r="I57" s="125" t="s">
        <v>98</v>
      </c>
      <c r="J57" s="125" t="s">
        <v>229</v>
      </c>
      <c r="K57" s="125" t="s">
        <v>5</v>
      </c>
      <c r="L57" s="125" t="s">
        <v>1402</v>
      </c>
      <c r="M57" s="125">
        <v>12</v>
      </c>
      <c r="N57" s="127">
        <v>26</v>
      </c>
      <c r="O57" s="125"/>
    </row>
    <row r="58" spans="1:15" x14ac:dyDescent="0.35">
      <c r="A58" s="125">
        <v>1903</v>
      </c>
      <c r="B58" s="125" t="s">
        <v>0</v>
      </c>
      <c r="C58" s="125" t="s">
        <v>1263</v>
      </c>
      <c r="D58" s="125" t="s">
        <v>1</v>
      </c>
      <c r="E58" s="125">
        <v>300</v>
      </c>
      <c r="F58" s="125">
        <v>2.64E-2</v>
      </c>
      <c r="G58" s="125">
        <v>1.7299999999999999E-2</v>
      </c>
      <c r="H58" s="128">
        <f t="shared" si="2"/>
        <v>0.34469696969696972</v>
      </c>
      <c r="I58" s="125" t="s">
        <v>98</v>
      </c>
      <c r="J58" s="125" t="s">
        <v>229</v>
      </c>
      <c r="K58" s="125" t="s">
        <v>222</v>
      </c>
      <c r="L58" s="125" t="s">
        <v>76</v>
      </c>
      <c r="M58" s="125">
        <v>6</v>
      </c>
      <c r="N58" s="127">
        <v>22</v>
      </c>
      <c r="O58" s="125"/>
    </row>
    <row r="59" spans="1:15" x14ac:dyDescent="0.35">
      <c r="A59" s="125">
        <v>852</v>
      </c>
      <c r="B59" s="125" t="s">
        <v>0</v>
      </c>
      <c r="C59" s="125" t="s">
        <v>1065</v>
      </c>
      <c r="D59" s="125" t="s">
        <v>1</v>
      </c>
      <c r="E59" s="125">
        <v>1450</v>
      </c>
      <c r="F59" s="125">
        <v>2.0400000000000001E-2</v>
      </c>
      <c r="G59" s="125">
        <v>1.49E-2</v>
      </c>
      <c r="H59" s="128">
        <f t="shared" si="2"/>
        <v>0.26960784313725494</v>
      </c>
      <c r="I59" s="125" t="s">
        <v>98</v>
      </c>
      <c r="J59" s="125" t="s">
        <v>1066</v>
      </c>
      <c r="K59" s="125" t="s">
        <v>222</v>
      </c>
      <c r="L59" s="125" t="s">
        <v>76</v>
      </c>
      <c r="M59" s="125">
        <v>20</v>
      </c>
      <c r="N59" s="127">
        <v>10</v>
      </c>
      <c r="O59" s="125"/>
    </row>
    <row r="60" spans="1:15" x14ac:dyDescent="0.35">
      <c r="A60" s="125">
        <v>1042</v>
      </c>
      <c r="B60" s="125" t="s">
        <v>0</v>
      </c>
      <c r="C60" s="125" t="s">
        <v>1152</v>
      </c>
      <c r="D60" s="125" t="s">
        <v>1</v>
      </c>
      <c r="E60" s="125">
        <v>1300</v>
      </c>
      <c r="F60" s="125">
        <v>1.6E-2</v>
      </c>
      <c r="G60" s="125"/>
      <c r="H60" s="128">
        <f t="shared" si="2"/>
        <v>1</v>
      </c>
      <c r="I60" s="125" t="s">
        <v>98</v>
      </c>
      <c r="J60" s="125" t="s">
        <v>1066</v>
      </c>
      <c r="K60" s="125"/>
      <c r="L60" s="125" t="s">
        <v>76</v>
      </c>
      <c r="M60" s="125">
        <v>8</v>
      </c>
      <c r="N60" s="127"/>
      <c r="O60" s="125"/>
    </row>
    <row r="61" spans="1:15" x14ac:dyDescent="0.35">
      <c r="A61" s="125">
        <v>1099</v>
      </c>
      <c r="B61" s="125" t="s">
        <v>84</v>
      </c>
      <c r="C61" s="125" t="s">
        <v>1176</v>
      </c>
      <c r="D61" s="125" t="s">
        <v>1</v>
      </c>
      <c r="E61" s="125">
        <v>160</v>
      </c>
      <c r="F61" s="125">
        <v>4.36E-2</v>
      </c>
      <c r="G61" s="125">
        <v>2.75E-2</v>
      </c>
      <c r="H61" s="128">
        <f t="shared" si="2"/>
        <v>0.36926605504587157</v>
      </c>
      <c r="I61" s="125" t="s">
        <v>98</v>
      </c>
      <c r="J61" s="125" t="s">
        <v>1066</v>
      </c>
      <c r="K61" s="125" t="s">
        <v>105</v>
      </c>
      <c r="L61" s="125" t="s">
        <v>76</v>
      </c>
      <c r="M61" s="125">
        <v>6</v>
      </c>
      <c r="N61" s="127">
        <v>20</v>
      </c>
      <c r="O61" s="125"/>
    </row>
    <row r="62" spans="1:15" x14ac:dyDescent="0.35">
      <c r="A62" s="125">
        <v>687</v>
      </c>
      <c r="B62" s="125" t="s">
        <v>0</v>
      </c>
      <c r="C62" s="125" t="s">
        <v>944</v>
      </c>
      <c r="D62" s="125" t="s">
        <v>1</v>
      </c>
      <c r="E62" s="125">
        <v>1760</v>
      </c>
      <c r="F62" s="125">
        <v>4.1000000000000003E-3</v>
      </c>
      <c r="G62" s="125">
        <v>2.5999999999999999E-3</v>
      </c>
      <c r="H62" s="128">
        <f t="shared" si="2"/>
        <v>0.36585365853658547</v>
      </c>
      <c r="I62" s="125" t="s">
        <v>98</v>
      </c>
      <c r="J62" s="125" t="s">
        <v>945</v>
      </c>
      <c r="K62" s="125" t="s">
        <v>222</v>
      </c>
      <c r="L62" s="125" t="s">
        <v>76</v>
      </c>
      <c r="M62" s="125">
        <v>16</v>
      </c>
      <c r="N62" s="127">
        <v>35</v>
      </c>
      <c r="O62" s="125"/>
    </row>
    <row r="63" spans="1:15" x14ac:dyDescent="0.35">
      <c r="A63" s="125">
        <v>1103</v>
      </c>
      <c r="B63" s="125" t="s">
        <v>0</v>
      </c>
      <c r="C63" s="125" t="s">
        <v>1180</v>
      </c>
      <c r="D63" s="125" t="s">
        <v>1</v>
      </c>
      <c r="E63" s="125">
        <v>160</v>
      </c>
      <c r="F63" s="125">
        <v>5.4399999999999997E-2</v>
      </c>
      <c r="G63" s="125">
        <v>4.0899999999999999E-2</v>
      </c>
      <c r="H63" s="128">
        <f t="shared" si="2"/>
        <v>0.24816176470588233</v>
      </c>
      <c r="I63" s="125" t="s">
        <v>98</v>
      </c>
      <c r="J63" s="125" t="s">
        <v>1181</v>
      </c>
      <c r="K63" s="125" t="s">
        <v>261</v>
      </c>
      <c r="L63" s="125" t="s">
        <v>76</v>
      </c>
      <c r="M63" s="125">
        <v>12</v>
      </c>
      <c r="N63" s="127">
        <v>25</v>
      </c>
      <c r="O63" s="125"/>
    </row>
    <row r="64" spans="1:15" x14ac:dyDescent="0.35">
      <c r="A64" s="125">
        <v>1899</v>
      </c>
      <c r="B64" s="125" t="s">
        <v>0</v>
      </c>
      <c r="C64" s="125" t="s">
        <v>1259</v>
      </c>
      <c r="D64" s="125" t="s">
        <v>1</v>
      </c>
      <c r="E64" s="125">
        <v>300</v>
      </c>
      <c r="F64" s="125">
        <v>2.5700000000000001E-2</v>
      </c>
      <c r="G64" s="125">
        <v>2.0199999999999999E-2</v>
      </c>
      <c r="H64" s="128">
        <f t="shared" si="2"/>
        <v>0.21400778210116736</v>
      </c>
      <c r="I64" s="125" t="s">
        <v>98</v>
      </c>
      <c r="J64" s="125" t="s">
        <v>1260</v>
      </c>
      <c r="K64" s="125" t="s">
        <v>222</v>
      </c>
      <c r="L64" s="125" t="s">
        <v>76</v>
      </c>
      <c r="M64" s="125">
        <v>2</v>
      </c>
      <c r="N64" s="127">
        <v>40</v>
      </c>
      <c r="O64" s="125"/>
    </row>
    <row r="65" spans="1:15" x14ac:dyDescent="0.35">
      <c r="A65" s="125">
        <v>1758</v>
      </c>
      <c r="B65" s="125" t="s">
        <v>84</v>
      </c>
      <c r="C65" s="125" t="s">
        <v>1218</v>
      </c>
      <c r="D65" s="125" t="s">
        <v>1</v>
      </c>
      <c r="E65" s="125">
        <v>540</v>
      </c>
      <c r="F65" s="125">
        <v>5.1700000000000003E-2</v>
      </c>
      <c r="G65" s="125"/>
      <c r="H65" s="128">
        <f t="shared" si="2"/>
        <v>1</v>
      </c>
      <c r="I65" s="125" t="s">
        <v>98</v>
      </c>
      <c r="J65" s="125" t="s">
        <v>1219</v>
      </c>
      <c r="K65" s="125" t="s">
        <v>90</v>
      </c>
      <c r="L65" s="125" t="s">
        <v>1402</v>
      </c>
      <c r="M65" s="125">
        <v>28</v>
      </c>
      <c r="N65" s="127">
        <v>6</v>
      </c>
      <c r="O65" s="125"/>
    </row>
    <row r="66" spans="1:15" x14ac:dyDescent="0.35">
      <c r="A66" s="125">
        <v>1782</v>
      </c>
      <c r="B66" s="125" t="s">
        <v>84</v>
      </c>
      <c r="C66" s="125" t="s">
        <v>1241</v>
      </c>
      <c r="D66" s="125" t="s">
        <v>1</v>
      </c>
      <c r="E66" s="125">
        <v>360</v>
      </c>
      <c r="F66" s="125">
        <v>5.8999999999999997E-2</v>
      </c>
      <c r="G66" s="125"/>
      <c r="H66" s="128">
        <f t="shared" si="2"/>
        <v>1</v>
      </c>
      <c r="I66" s="125" t="s">
        <v>98</v>
      </c>
      <c r="J66" s="125" t="s">
        <v>1242</v>
      </c>
      <c r="K66" s="125" t="s">
        <v>261</v>
      </c>
      <c r="L66" s="125" t="s">
        <v>76</v>
      </c>
      <c r="M66" s="125">
        <v>30</v>
      </c>
      <c r="N66" s="127">
        <v>5</v>
      </c>
      <c r="O66" s="125"/>
    </row>
    <row r="67" spans="1:15" x14ac:dyDescent="0.35">
      <c r="A67" s="125">
        <v>1006</v>
      </c>
      <c r="B67" s="125" t="s">
        <v>0</v>
      </c>
      <c r="C67" s="125" t="s">
        <v>1138</v>
      </c>
      <c r="D67" s="125" t="s">
        <v>1</v>
      </c>
      <c r="E67" s="125">
        <v>1300</v>
      </c>
      <c r="F67" s="125">
        <v>2.0299999999999999E-2</v>
      </c>
      <c r="G67" s="125">
        <v>1.5100000000000001E-2</v>
      </c>
      <c r="H67" s="128">
        <f t="shared" si="2"/>
        <v>0.2561576354679802</v>
      </c>
      <c r="I67" s="125" t="s">
        <v>98</v>
      </c>
      <c r="J67" s="125" t="s">
        <v>1139</v>
      </c>
      <c r="K67" s="125" t="s">
        <v>5</v>
      </c>
      <c r="L67" s="125" t="s">
        <v>76</v>
      </c>
      <c r="M67" s="125">
        <v>84</v>
      </c>
      <c r="N67" s="127">
        <v>7</v>
      </c>
      <c r="O67" s="125"/>
    </row>
    <row r="68" spans="1:15" x14ac:dyDescent="0.35">
      <c r="A68" s="125">
        <v>204</v>
      </c>
      <c r="B68" s="125" t="s">
        <v>0</v>
      </c>
      <c r="C68" s="125" t="s">
        <v>661</v>
      </c>
      <c r="D68" s="125" t="s">
        <v>1</v>
      </c>
      <c r="E68" s="125">
        <v>540</v>
      </c>
      <c r="F68" s="125">
        <v>2.98E-2</v>
      </c>
      <c r="G68" s="125">
        <v>1.9699999999999999E-2</v>
      </c>
      <c r="H68" s="128">
        <f t="shared" si="2"/>
        <v>0.33892617449664436</v>
      </c>
      <c r="I68" s="125" t="s">
        <v>98</v>
      </c>
      <c r="J68" s="125" t="s">
        <v>662</v>
      </c>
      <c r="K68" s="125" t="s">
        <v>413</v>
      </c>
      <c r="L68" s="125" t="s">
        <v>76</v>
      </c>
      <c r="M68" s="125">
        <v>26</v>
      </c>
      <c r="N68" s="127"/>
      <c r="O68" s="125"/>
    </row>
    <row r="69" spans="1:15" x14ac:dyDescent="0.35">
      <c r="A69" s="125">
        <v>66</v>
      </c>
      <c r="B69" s="125" t="s">
        <v>0</v>
      </c>
      <c r="C69" s="125" t="s">
        <v>595</v>
      </c>
      <c r="D69" s="125" t="s">
        <v>1</v>
      </c>
      <c r="E69" s="125">
        <v>1850</v>
      </c>
      <c r="F69" s="125">
        <v>7.0000000000000001E-3</v>
      </c>
      <c r="G69" s="125"/>
      <c r="H69" s="128">
        <f t="shared" si="2"/>
        <v>1</v>
      </c>
      <c r="I69" s="125" t="s">
        <v>98</v>
      </c>
      <c r="J69" s="125" t="s">
        <v>596</v>
      </c>
      <c r="K69" s="125" t="s">
        <v>105</v>
      </c>
      <c r="L69" s="125" t="s">
        <v>76</v>
      </c>
      <c r="M69" s="125">
        <v>8</v>
      </c>
      <c r="N69" s="127">
        <v>20</v>
      </c>
      <c r="O69" s="125"/>
    </row>
    <row r="70" spans="1:15" x14ac:dyDescent="0.35">
      <c r="A70" s="125">
        <v>213</v>
      </c>
      <c r="B70" s="125" t="s">
        <v>0</v>
      </c>
      <c r="C70" s="125" t="s">
        <v>673</v>
      </c>
      <c r="D70" s="125" t="s">
        <v>1</v>
      </c>
      <c r="E70" s="125">
        <v>250</v>
      </c>
      <c r="F70" s="125">
        <v>5.5399999999999998E-2</v>
      </c>
      <c r="G70" s="125">
        <v>3.5999999999999997E-2</v>
      </c>
      <c r="H70" s="128">
        <f t="shared" si="2"/>
        <v>0.35018050541516249</v>
      </c>
      <c r="I70" s="125" t="s">
        <v>98</v>
      </c>
      <c r="J70" s="125" t="s">
        <v>596</v>
      </c>
      <c r="K70" s="125" t="s">
        <v>261</v>
      </c>
      <c r="L70" s="125" t="s">
        <v>76</v>
      </c>
      <c r="M70" s="125">
        <v>12</v>
      </c>
      <c r="N70" s="127">
        <v>12</v>
      </c>
      <c r="O70" s="125"/>
    </row>
    <row r="71" spans="1:15" x14ac:dyDescent="0.35">
      <c r="A71" s="125">
        <v>684</v>
      </c>
      <c r="B71" s="125" t="s">
        <v>0</v>
      </c>
      <c r="C71" s="125" t="s">
        <v>939</v>
      </c>
      <c r="D71" s="125" t="s">
        <v>1</v>
      </c>
      <c r="E71" s="125">
        <v>770</v>
      </c>
      <c r="F71" s="125">
        <v>2.5399999999999999E-2</v>
      </c>
      <c r="G71" s="125">
        <v>1.3899999999999999E-2</v>
      </c>
      <c r="H71" s="128">
        <f t="shared" si="2"/>
        <v>0.45275590551181105</v>
      </c>
      <c r="I71" s="125" t="s">
        <v>98</v>
      </c>
      <c r="J71" s="125" t="s">
        <v>596</v>
      </c>
      <c r="K71" s="125" t="s">
        <v>5</v>
      </c>
      <c r="L71" s="125" t="s">
        <v>1402</v>
      </c>
      <c r="M71" s="125">
        <v>48</v>
      </c>
      <c r="N71" s="127">
        <v>25</v>
      </c>
      <c r="O71" s="125"/>
    </row>
    <row r="72" spans="1:15" x14ac:dyDescent="0.35">
      <c r="A72" s="125">
        <v>751</v>
      </c>
      <c r="B72" s="125" t="s">
        <v>0</v>
      </c>
      <c r="C72" s="125" t="s">
        <v>1011</v>
      </c>
      <c r="D72" s="125" t="s">
        <v>1</v>
      </c>
      <c r="E72" s="125">
        <v>480</v>
      </c>
      <c r="F72" s="125">
        <v>6.4999999999999997E-3</v>
      </c>
      <c r="G72" s="125">
        <v>3.0000000000000001E-3</v>
      </c>
      <c r="H72" s="128">
        <f t="shared" si="2"/>
        <v>0.53846153846153844</v>
      </c>
      <c r="I72" s="125" t="s">
        <v>98</v>
      </c>
      <c r="J72" s="125" t="s">
        <v>596</v>
      </c>
      <c r="K72" s="125"/>
      <c r="L72" s="125"/>
      <c r="M72" s="125">
        <v>70</v>
      </c>
      <c r="N72" s="127">
        <v>25</v>
      </c>
      <c r="O72" s="125"/>
    </row>
    <row r="73" spans="1:15" x14ac:dyDescent="0.35">
      <c r="A73" s="125">
        <v>752</v>
      </c>
      <c r="B73" s="125" t="s">
        <v>0</v>
      </c>
      <c r="C73" s="125" t="s">
        <v>1012</v>
      </c>
      <c r="D73" s="125" t="s">
        <v>1</v>
      </c>
      <c r="E73" s="125">
        <v>480</v>
      </c>
      <c r="F73" s="125">
        <v>4.5999999999999999E-3</v>
      </c>
      <c r="G73" s="125">
        <v>2E-3</v>
      </c>
      <c r="H73" s="128">
        <f t="shared" si="2"/>
        <v>0.56521739130434778</v>
      </c>
      <c r="I73" s="125" t="s">
        <v>98</v>
      </c>
      <c r="J73" s="125" t="s">
        <v>596</v>
      </c>
      <c r="K73" s="125"/>
      <c r="L73" s="125"/>
      <c r="M73" s="125">
        <v>48</v>
      </c>
      <c r="N73" s="127">
        <v>20</v>
      </c>
      <c r="O73" s="125"/>
    </row>
    <row r="74" spans="1:15" x14ac:dyDescent="0.35">
      <c r="A74" s="125">
        <v>753</v>
      </c>
      <c r="B74" s="125" t="s">
        <v>0</v>
      </c>
      <c r="C74" s="125" t="s">
        <v>1014</v>
      </c>
      <c r="D74" s="125" t="s">
        <v>1</v>
      </c>
      <c r="E74" s="125">
        <v>480</v>
      </c>
      <c r="F74" s="125">
        <v>6.4999999999999997E-3</v>
      </c>
      <c r="G74" s="125">
        <v>3.0000000000000001E-3</v>
      </c>
      <c r="H74" s="128">
        <f t="shared" si="2"/>
        <v>0.53846153846153844</v>
      </c>
      <c r="I74" s="125" t="s">
        <v>98</v>
      </c>
      <c r="J74" s="125" t="s">
        <v>596</v>
      </c>
      <c r="K74" s="125"/>
      <c r="L74" s="125"/>
      <c r="M74" s="125">
        <v>1</v>
      </c>
      <c r="N74" s="127">
        <v>20</v>
      </c>
      <c r="O74" s="125"/>
    </row>
    <row r="75" spans="1:15" x14ac:dyDescent="0.35">
      <c r="A75" s="125">
        <v>877</v>
      </c>
      <c r="B75" s="125" t="s">
        <v>0</v>
      </c>
      <c r="C75" s="125" t="s">
        <v>1077</v>
      </c>
      <c r="D75" s="125" t="s">
        <v>1</v>
      </c>
      <c r="E75" s="125">
        <v>480</v>
      </c>
      <c r="F75" s="125">
        <v>1.7600000000000001E-2</v>
      </c>
      <c r="G75" s="125">
        <v>8.0000000000000002E-3</v>
      </c>
      <c r="H75" s="128">
        <f t="shared" si="2"/>
        <v>0.54545454545454553</v>
      </c>
      <c r="I75" s="125" t="s">
        <v>98</v>
      </c>
      <c r="J75" s="125" t="s">
        <v>596</v>
      </c>
      <c r="K75" s="125" t="s">
        <v>105</v>
      </c>
      <c r="L75" s="125" t="s">
        <v>76</v>
      </c>
      <c r="M75" s="125">
        <v>12</v>
      </c>
      <c r="N75" s="127">
        <v>8</v>
      </c>
      <c r="O75" s="125"/>
    </row>
    <row r="76" spans="1:15" x14ac:dyDescent="0.35">
      <c r="A76" s="125">
        <v>1804</v>
      </c>
      <c r="B76" s="125" t="s">
        <v>0</v>
      </c>
      <c r="C76" s="125" t="s">
        <v>1247</v>
      </c>
      <c r="D76" s="125" t="s">
        <v>1</v>
      </c>
      <c r="E76" s="125">
        <v>1200</v>
      </c>
      <c r="F76" s="125">
        <v>2.5399999999999999E-2</v>
      </c>
      <c r="G76" s="125">
        <v>1.8100000000000002E-2</v>
      </c>
      <c r="H76" s="128">
        <f t="shared" si="2"/>
        <v>0.28740157480314954</v>
      </c>
      <c r="I76" s="125" t="s">
        <v>98</v>
      </c>
      <c r="J76" s="125" t="s">
        <v>596</v>
      </c>
      <c r="K76" s="125" t="s">
        <v>105</v>
      </c>
      <c r="L76" s="125" t="s">
        <v>76</v>
      </c>
      <c r="M76" s="125">
        <v>96</v>
      </c>
      <c r="N76" s="127">
        <v>7</v>
      </c>
      <c r="O76" s="125"/>
    </row>
    <row r="77" spans="1:15" x14ac:dyDescent="0.35">
      <c r="A77" s="125">
        <v>683</v>
      </c>
      <c r="B77" s="125" t="s">
        <v>0</v>
      </c>
      <c r="C77" s="125" t="s">
        <v>937</v>
      </c>
      <c r="D77" s="125" t="s">
        <v>1</v>
      </c>
      <c r="E77" s="125">
        <v>2100</v>
      </c>
      <c r="F77" s="125">
        <v>1.0999999999999999E-2</v>
      </c>
      <c r="G77" s="125">
        <v>6.8999999999999999E-3</v>
      </c>
      <c r="H77" s="128">
        <f t="shared" si="2"/>
        <v>0.37272727272727268</v>
      </c>
      <c r="I77" s="125" t="s">
        <v>98</v>
      </c>
      <c r="J77" s="125" t="s">
        <v>938</v>
      </c>
      <c r="K77" s="125" t="s">
        <v>105</v>
      </c>
      <c r="L77" s="125" t="s">
        <v>76</v>
      </c>
      <c r="M77" s="125">
        <v>20</v>
      </c>
      <c r="N77" s="127">
        <v>5</v>
      </c>
      <c r="O77" s="125"/>
    </row>
    <row r="78" spans="1:15" x14ac:dyDescent="0.35">
      <c r="A78" s="125">
        <v>685</v>
      </c>
      <c r="B78" s="125" t="s">
        <v>0</v>
      </c>
      <c r="C78" s="125" t="s">
        <v>942</v>
      </c>
      <c r="D78" s="125" t="s">
        <v>1</v>
      </c>
      <c r="E78" s="125">
        <v>1500</v>
      </c>
      <c r="F78" s="125">
        <v>1.1599999999999999E-2</v>
      </c>
      <c r="G78" s="125">
        <v>6.6E-3</v>
      </c>
      <c r="H78" s="128">
        <f t="shared" si="2"/>
        <v>0.43103448275862066</v>
      </c>
      <c r="I78" s="125" t="s">
        <v>98</v>
      </c>
      <c r="J78" s="125" t="s">
        <v>938</v>
      </c>
      <c r="K78" s="125" t="s">
        <v>105</v>
      </c>
      <c r="L78" s="125" t="s">
        <v>76</v>
      </c>
      <c r="M78" s="125">
        <v>20</v>
      </c>
      <c r="N78" s="127">
        <v>5</v>
      </c>
      <c r="O78" s="125"/>
    </row>
    <row r="79" spans="1:15" x14ac:dyDescent="0.35">
      <c r="A79" s="125">
        <v>686</v>
      </c>
      <c r="B79" s="125" t="s">
        <v>0</v>
      </c>
      <c r="C79" s="125" t="s">
        <v>943</v>
      </c>
      <c r="D79" s="125" t="s">
        <v>1</v>
      </c>
      <c r="E79" s="125">
        <v>1500</v>
      </c>
      <c r="F79" s="125">
        <v>1.1599999999999999E-2</v>
      </c>
      <c r="G79" s="125">
        <v>6.6E-3</v>
      </c>
      <c r="H79" s="128">
        <f t="shared" si="2"/>
        <v>0.43103448275862066</v>
      </c>
      <c r="I79" s="125" t="s">
        <v>98</v>
      </c>
      <c r="J79" s="125" t="s">
        <v>938</v>
      </c>
      <c r="K79" s="125" t="s">
        <v>105</v>
      </c>
      <c r="L79" s="125" t="s">
        <v>76</v>
      </c>
      <c r="M79" s="125">
        <v>40</v>
      </c>
      <c r="N79" s="127">
        <v>20</v>
      </c>
      <c r="O79" s="125"/>
    </row>
    <row r="80" spans="1:15" x14ac:dyDescent="0.35">
      <c r="A80" s="125">
        <v>887</v>
      </c>
      <c r="B80" s="125" t="s">
        <v>0</v>
      </c>
      <c r="C80" s="125" t="s">
        <v>1086</v>
      </c>
      <c r="D80" s="125" t="s">
        <v>1</v>
      </c>
      <c r="E80" s="125">
        <v>3000</v>
      </c>
      <c r="F80" s="125">
        <v>1.0699999999999999E-2</v>
      </c>
      <c r="G80" s="125">
        <v>6.1999999999999998E-3</v>
      </c>
      <c r="H80" s="128">
        <f t="shared" si="2"/>
        <v>0.42056074766355139</v>
      </c>
      <c r="I80" s="125" t="s">
        <v>98</v>
      </c>
      <c r="J80" s="125" t="s">
        <v>938</v>
      </c>
      <c r="K80" s="125" t="s">
        <v>129</v>
      </c>
      <c r="L80" s="125" t="s">
        <v>1402</v>
      </c>
      <c r="M80" s="125">
        <v>12</v>
      </c>
      <c r="N80" s="127">
        <v>20</v>
      </c>
      <c r="O80" s="125"/>
    </row>
    <row r="81" spans="1:15" x14ac:dyDescent="0.35">
      <c r="A81" s="125">
        <v>1043</v>
      </c>
      <c r="B81" s="125" t="s">
        <v>0</v>
      </c>
      <c r="C81" s="125" t="s">
        <v>1153</v>
      </c>
      <c r="D81" s="125" t="s">
        <v>1</v>
      </c>
      <c r="E81" s="125">
        <v>500</v>
      </c>
      <c r="F81" s="125">
        <v>3.0700000000000002E-2</v>
      </c>
      <c r="G81" s="125">
        <v>1.6500000000000001E-2</v>
      </c>
      <c r="H81" s="128">
        <f t="shared" si="2"/>
        <v>0.46254071661237783</v>
      </c>
      <c r="I81" s="125" t="s">
        <v>98</v>
      </c>
      <c r="J81" s="125" t="s">
        <v>938</v>
      </c>
      <c r="K81" s="125" t="s">
        <v>222</v>
      </c>
      <c r="L81" s="125" t="s">
        <v>76</v>
      </c>
      <c r="M81" s="125">
        <v>20</v>
      </c>
      <c r="N81" s="127">
        <v>10</v>
      </c>
      <c r="O81" s="125"/>
    </row>
    <row r="82" spans="1:15" x14ac:dyDescent="0.35">
      <c r="A82" s="125">
        <v>1806</v>
      </c>
      <c r="B82" s="125" t="s">
        <v>0</v>
      </c>
      <c r="C82" s="125" t="s">
        <v>1249</v>
      </c>
      <c r="D82" s="125" t="s">
        <v>1</v>
      </c>
      <c r="E82" s="125">
        <v>4800</v>
      </c>
      <c r="F82" s="125">
        <v>3.3E-3</v>
      </c>
      <c r="G82" s="125">
        <v>1.9E-3</v>
      </c>
      <c r="H82" s="128">
        <f t="shared" si="2"/>
        <v>0.42424242424242425</v>
      </c>
      <c r="I82" s="125" t="s">
        <v>98</v>
      </c>
      <c r="J82" s="125" t="s">
        <v>1250</v>
      </c>
      <c r="K82" s="125" t="s">
        <v>105</v>
      </c>
      <c r="L82" s="125" t="s">
        <v>76</v>
      </c>
      <c r="M82" s="125">
        <v>112</v>
      </c>
      <c r="N82" s="127">
        <v>6</v>
      </c>
      <c r="O82" s="125"/>
    </row>
    <row r="83" spans="1:15" x14ac:dyDescent="0.35">
      <c r="A83" s="125">
        <v>1807</v>
      </c>
      <c r="B83" s="125" t="s">
        <v>0</v>
      </c>
      <c r="C83" s="125" t="s">
        <v>1251</v>
      </c>
      <c r="D83" s="125" t="s">
        <v>1</v>
      </c>
      <c r="E83" s="125">
        <v>5600</v>
      </c>
      <c r="F83" s="125">
        <v>3.0000000000000001E-3</v>
      </c>
      <c r="G83" s="125">
        <v>1.5E-3</v>
      </c>
      <c r="H83" s="128">
        <f t="shared" si="2"/>
        <v>0.5</v>
      </c>
      <c r="I83" s="125" t="s">
        <v>98</v>
      </c>
      <c r="J83" s="125" t="s">
        <v>1250</v>
      </c>
      <c r="K83" s="125" t="s">
        <v>413</v>
      </c>
      <c r="L83" s="125" t="s">
        <v>76</v>
      </c>
      <c r="M83" s="125">
        <v>4</v>
      </c>
      <c r="N83" s="127">
        <v>45</v>
      </c>
      <c r="O83" s="125"/>
    </row>
    <row r="84" spans="1:15" x14ac:dyDescent="0.35">
      <c r="A84" s="125">
        <v>1774</v>
      </c>
      <c r="B84" s="125" t="s">
        <v>84</v>
      </c>
      <c r="C84" s="125" t="s">
        <v>1230</v>
      </c>
      <c r="D84" s="125" t="s">
        <v>1</v>
      </c>
      <c r="E84" s="125">
        <v>1140</v>
      </c>
      <c r="F84" s="125">
        <v>2.7699999999999999E-2</v>
      </c>
      <c r="G84" s="125"/>
      <c r="H84" s="128">
        <f t="shared" si="2"/>
        <v>1</v>
      </c>
      <c r="I84" s="125" t="s">
        <v>98</v>
      </c>
      <c r="J84" s="125" t="s">
        <v>1231</v>
      </c>
      <c r="K84" s="125" t="s">
        <v>982</v>
      </c>
      <c r="L84" s="125" t="s">
        <v>983</v>
      </c>
      <c r="M84" s="125">
        <v>24</v>
      </c>
      <c r="N84" s="127">
        <v>40</v>
      </c>
      <c r="O84" s="125"/>
    </row>
    <row r="85" spans="1:15" x14ac:dyDescent="0.35">
      <c r="A85" s="125">
        <v>651</v>
      </c>
      <c r="B85" s="125" t="s">
        <v>0</v>
      </c>
      <c r="C85" s="125" t="s">
        <v>916</v>
      </c>
      <c r="D85" s="125" t="s">
        <v>1</v>
      </c>
      <c r="E85" s="125">
        <v>35</v>
      </c>
      <c r="F85" s="125">
        <v>0.30859999999999999</v>
      </c>
      <c r="G85" s="125">
        <v>0.21</v>
      </c>
      <c r="H85" s="128">
        <f t="shared" si="2"/>
        <v>0.31950745301360983</v>
      </c>
      <c r="I85" s="125" t="s">
        <v>98</v>
      </c>
      <c r="J85" s="125" t="s">
        <v>917</v>
      </c>
      <c r="K85" s="125" t="s">
        <v>222</v>
      </c>
      <c r="L85" s="125" t="s">
        <v>76</v>
      </c>
      <c r="M85" s="125">
        <v>4</v>
      </c>
      <c r="N85" s="127">
        <v>20</v>
      </c>
      <c r="O85" s="125"/>
    </row>
    <row r="86" spans="1:15" x14ac:dyDescent="0.35">
      <c r="A86" s="125">
        <v>899</v>
      </c>
      <c r="B86" s="125" t="s">
        <v>0</v>
      </c>
      <c r="C86" s="125" t="s">
        <v>1095</v>
      </c>
      <c r="D86" s="125" t="s">
        <v>1</v>
      </c>
      <c r="E86" s="125">
        <v>100</v>
      </c>
      <c r="F86" s="125">
        <v>0.14649999999999999</v>
      </c>
      <c r="G86" s="125">
        <v>9.5200000000000007E-2</v>
      </c>
      <c r="H86" s="128">
        <f t="shared" si="2"/>
        <v>0.35017064846416374</v>
      </c>
      <c r="I86" s="125" t="s">
        <v>98</v>
      </c>
      <c r="J86" s="125" t="s">
        <v>1096</v>
      </c>
      <c r="K86" s="125" t="s">
        <v>105</v>
      </c>
      <c r="L86" s="125" t="s">
        <v>76</v>
      </c>
      <c r="M86" s="125">
        <v>3</v>
      </c>
      <c r="N86" s="127">
        <v>20</v>
      </c>
      <c r="O86" s="125"/>
    </row>
    <row r="87" spans="1:15" x14ac:dyDescent="0.35">
      <c r="A87" s="125">
        <v>137</v>
      </c>
      <c r="B87" s="125" t="s">
        <v>0</v>
      </c>
      <c r="C87" s="125" t="s">
        <v>621</v>
      </c>
      <c r="D87" s="125" t="s">
        <v>1</v>
      </c>
      <c r="E87" s="125">
        <v>40</v>
      </c>
      <c r="F87" s="125">
        <v>0.29360000000000003</v>
      </c>
      <c r="G87" s="125">
        <v>0.24199999999999999</v>
      </c>
      <c r="H87" s="128">
        <f t="shared" si="2"/>
        <v>0.17574931880109002</v>
      </c>
      <c r="I87" s="125" t="s">
        <v>98</v>
      </c>
      <c r="J87" s="125" t="s">
        <v>622</v>
      </c>
      <c r="K87" s="125" t="s">
        <v>222</v>
      </c>
      <c r="L87" s="125" t="s">
        <v>76</v>
      </c>
      <c r="M87" s="125">
        <v>14</v>
      </c>
      <c r="N87" s="127">
        <v>12</v>
      </c>
      <c r="O87" s="125"/>
    </row>
    <row r="88" spans="1:15" x14ac:dyDescent="0.35">
      <c r="A88" s="125">
        <v>247</v>
      </c>
      <c r="B88" s="125" t="s">
        <v>0</v>
      </c>
      <c r="C88" s="125" t="s">
        <v>709</v>
      </c>
      <c r="D88" s="125" t="s">
        <v>1</v>
      </c>
      <c r="E88" s="125">
        <v>40</v>
      </c>
      <c r="F88" s="125">
        <v>0.34649999999999997</v>
      </c>
      <c r="G88" s="125">
        <v>0.24199999999999999</v>
      </c>
      <c r="H88" s="128">
        <f t="shared" ref="H88:H106" si="3">(F88-G88)/F88</f>
        <v>0.30158730158730157</v>
      </c>
      <c r="I88" s="125" t="s">
        <v>98</v>
      </c>
      <c r="J88" s="125" t="s">
        <v>624</v>
      </c>
      <c r="K88" s="125" t="s">
        <v>105</v>
      </c>
      <c r="L88" s="125" t="s">
        <v>76</v>
      </c>
      <c r="M88" s="125">
        <v>3</v>
      </c>
      <c r="N88" s="127">
        <v>20</v>
      </c>
      <c r="O88" s="125"/>
    </row>
    <row r="89" spans="1:15" x14ac:dyDescent="0.35">
      <c r="A89" s="125">
        <v>138</v>
      </c>
      <c r="B89" s="125" t="s">
        <v>0</v>
      </c>
      <c r="C89" s="125" t="s">
        <v>623</v>
      </c>
      <c r="D89" s="125" t="s">
        <v>1</v>
      </c>
      <c r="E89" s="125">
        <v>40</v>
      </c>
      <c r="F89" s="125">
        <v>0.29360000000000003</v>
      </c>
      <c r="G89" s="125">
        <v>0.24199999999999999</v>
      </c>
      <c r="H89" s="128">
        <f t="shared" si="3"/>
        <v>0.17574931880109002</v>
      </c>
      <c r="I89" s="125" t="s">
        <v>98</v>
      </c>
      <c r="J89" s="125" t="s">
        <v>624</v>
      </c>
      <c r="K89" s="125" t="s">
        <v>105</v>
      </c>
      <c r="L89" s="125" t="s">
        <v>76</v>
      </c>
      <c r="M89" s="125">
        <v>2</v>
      </c>
      <c r="N89" s="127">
        <v>20</v>
      </c>
      <c r="O89" s="125"/>
    </row>
    <row r="90" spans="1:15" x14ac:dyDescent="0.35">
      <c r="A90" s="125">
        <v>237</v>
      </c>
      <c r="B90" s="125" t="s">
        <v>0</v>
      </c>
      <c r="C90" s="125" t="s">
        <v>694</v>
      </c>
      <c r="D90" s="125" t="s">
        <v>1</v>
      </c>
      <c r="E90" s="125">
        <v>40</v>
      </c>
      <c r="F90" s="125">
        <v>0.32340000000000002</v>
      </c>
      <c r="G90" s="125">
        <v>0.24199999999999999</v>
      </c>
      <c r="H90" s="128">
        <f t="shared" si="3"/>
        <v>0.2517006802721089</v>
      </c>
      <c r="I90" s="125" t="s">
        <v>98</v>
      </c>
      <c r="J90" s="125" t="s">
        <v>624</v>
      </c>
      <c r="K90" s="125" t="s">
        <v>105</v>
      </c>
      <c r="L90" s="125" t="s">
        <v>76</v>
      </c>
      <c r="M90" s="125">
        <v>3</v>
      </c>
      <c r="N90" s="127">
        <v>20</v>
      </c>
      <c r="O90" s="125"/>
    </row>
    <row r="91" spans="1:15" x14ac:dyDescent="0.35">
      <c r="A91" s="125">
        <v>238</v>
      </c>
      <c r="B91" s="125" t="s">
        <v>0</v>
      </c>
      <c r="C91" s="125" t="s">
        <v>695</v>
      </c>
      <c r="D91" s="125" t="s">
        <v>1</v>
      </c>
      <c r="E91" s="125">
        <v>52</v>
      </c>
      <c r="F91" s="125">
        <v>0.32340000000000002</v>
      </c>
      <c r="G91" s="125">
        <v>0.24199999999999999</v>
      </c>
      <c r="H91" s="128">
        <f t="shared" si="3"/>
        <v>0.2517006802721089</v>
      </c>
      <c r="I91" s="125" t="s">
        <v>98</v>
      </c>
      <c r="J91" s="125" t="s">
        <v>624</v>
      </c>
      <c r="K91" s="125" t="s">
        <v>105</v>
      </c>
      <c r="L91" s="125" t="s">
        <v>76</v>
      </c>
      <c r="M91" s="125">
        <v>3</v>
      </c>
      <c r="N91" s="127">
        <v>20</v>
      </c>
      <c r="O91" s="125"/>
    </row>
    <row r="92" spans="1:15" x14ac:dyDescent="0.35">
      <c r="A92" s="125">
        <v>241</v>
      </c>
      <c r="B92" s="125" t="s">
        <v>0</v>
      </c>
      <c r="C92" s="125" t="s">
        <v>701</v>
      </c>
      <c r="D92" s="125" t="s">
        <v>1</v>
      </c>
      <c r="E92" s="125">
        <v>30</v>
      </c>
      <c r="F92" s="125">
        <v>0.32340000000000002</v>
      </c>
      <c r="G92" s="125">
        <v>0.24199999999999999</v>
      </c>
      <c r="H92" s="128">
        <f t="shared" si="3"/>
        <v>0.2517006802721089</v>
      </c>
      <c r="I92" s="125" t="s">
        <v>98</v>
      </c>
      <c r="J92" s="125" t="s">
        <v>624</v>
      </c>
      <c r="K92" s="125" t="s">
        <v>105</v>
      </c>
      <c r="L92" s="125" t="s">
        <v>76</v>
      </c>
      <c r="M92" s="125">
        <v>3</v>
      </c>
      <c r="N92" s="127">
        <v>20</v>
      </c>
      <c r="O92" s="125"/>
    </row>
    <row r="93" spans="1:15" x14ac:dyDescent="0.35">
      <c r="A93" s="125">
        <v>251</v>
      </c>
      <c r="B93" s="125" t="s">
        <v>0</v>
      </c>
      <c r="C93" s="125" t="s">
        <v>713</v>
      </c>
      <c r="D93" s="125" t="s">
        <v>1</v>
      </c>
      <c r="E93" s="125">
        <v>30</v>
      </c>
      <c r="F93" s="125">
        <v>0.32029999999999997</v>
      </c>
      <c r="G93" s="125">
        <v>0.24199999999999999</v>
      </c>
      <c r="H93" s="128">
        <f t="shared" si="3"/>
        <v>0.24445832032469555</v>
      </c>
      <c r="I93" s="125" t="s">
        <v>98</v>
      </c>
      <c r="J93" s="125" t="s">
        <v>624</v>
      </c>
      <c r="K93" s="125" t="s">
        <v>105</v>
      </c>
      <c r="L93" s="125" t="s">
        <v>76</v>
      </c>
      <c r="M93" s="125">
        <v>3</v>
      </c>
      <c r="N93" s="127">
        <v>20</v>
      </c>
      <c r="O93" s="125"/>
    </row>
    <row r="94" spans="1:15" x14ac:dyDescent="0.35">
      <c r="A94" s="125">
        <v>254</v>
      </c>
      <c r="B94" s="125" t="s">
        <v>0</v>
      </c>
      <c r="C94" s="125" t="s">
        <v>715</v>
      </c>
      <c r="D94" s="125" t="s">
        <v>1</v>
      </c>
      <c r="E94" s="125">
        <v>40</v>
      </c>
      <c r="F94" s="125">
        <v>0.32340000000000002</v>
      </c>
      <c r="G94" s="125">
        <v>0.24199999999999999</v>
      </c>
      <c r="H94" s="128">
        <f t="shared" si="3"/>
        <v>0.2517006802721089</v>
      </c>
      <c r="I94" s="125" t="s">
        <v>98</v>
      </c>
      <c r="J94" s="125" t="s">
        <v>624</v>
      </c>
      <c r="K94" s="125" t="s">
        <v>105</v>
      </c>
      <c r="L94" s="125" t="s">
        <v>76</v>
      </c>
      <c r="M94" s="125">
        <v>3</v>
      </c>
      <c r="N94" s="127">
        <v>20</v>
      </c>
      <c r="O94" s="125"/>
    </row>
    <row r="95" spans="1:15" x14ac:dyDescent="0.35">
      <c r="A95" s="125">
        <v>256</v>
      </c>
      <c r="B95" s="125" t="s">
        <v>0</v>
      </c>
      <c r="C95" s="125" t="s">
        <v>718</v>
      </c>
      <c r="D95" s="125" t="s">
        <v>1</v>
      </c>
      <c r="E95" s="125">
        <v>40</v>
      </c>
      <c r="F95" s="125">
        <v>0.32340000000000002</v>
      </c>
      <c r="G95" s="125">
        <v>0.24199999999999999</v>
      </c>
      <c r="H95" s="128">
        <f t="shared" si="3"/>
        <v>0.2517006802721089</v>
      </c>
      <c r="I95" s="125" t="s">
        <v>98</v>
      </c>
      <c r="J95" s="125" t="s">
        <v>624</v>
      </c>
      <c r="K95" s="125" t="s">
        <v>105</v>
      </c>
      <c r="L95" s="125" t="s">
        <v>76</v>
      </c>
      <c r="M95" s="125">
        <v>3</v>
      </c>
      <c r="N95" s="127">
        <v>20</v>
      </c>
      <c r="O95" s="125"/>
    </row>
    <row r="96" spans="1:15" x14ac:dyDescent="0.35">
      <c r="A96" s="125">
        <v>257</v>
      </c>
      <c r="B96" s="125" t="s">
        <v>0</v>
      </c>
      <c r="C96" s="125" t="s">
        <v>719</v>
      </c>
      <c r="D96" s="125" t="s">
        <v>1</v>
      </c>
      <c r="E96" s="125">
        <v>50</v>
      </c>
      <c r="F96" s="125">
        <v>0.32340000000000002</v>
      </c>
      <c r="G96" s="125">
        <v>0.24199999999999999</v>
      </c>
      <c r="H96" s="128">
        <f t="shared" si="3"/>
        <v>0.2517006802721089</v>
      </c>
      <c r="I96" s="125" t="s">
        <v>98</v>
      </c>
      <c r="J96" s="125" t="s">
        <v>624</v>
      </c>
      <c r="K96" s="125" t="s">
        <v>105</v>
      </c>
      <c r="L96" s="125" t="s">
        <v>76</v>
      </c>
      <c r="M96" s="125">
        <v>3</v>
      </c>
      <c r="N96" s="127">
        <v>20</v>
      </c>
      <c r="O96" s="125"/>
    </row>
    <row r="97" spans="1:15" x14ac:dyDescent="0.35">
      <c r="A97" s="125">
        <v>259</v>
      </c>
      <c r="B97" s="125" t="s">
        <v>0</v>
      </c>
      <c r="C97" s="125" t="s">
        <v>722</v>
      </c>
      <c r="D97" s="125" t="s">
        <v>1</v>
      </c>
      <c r="E97" s="125">
        <v>40</v>
      </c>
      <c r="F97" s="125">
        <v>0.32029999999999997</v>
      </c>
      <c r="G97" s="125">
        <v>0.24199999999999999</v>
      </c>
      <c r="H97" s="128">
        <f t="shared" si="3"/>
        <v>0.24445832032469555</v>
      </c>
      <c r="I97" s="125" t="s">
        <v>98</v>
      </c>
      <c r="J97" s="125" t="s">
        <v>624</v>
      </c>
      <c r="K97" s="125" t="s">
        <v>105</v>
      </c>
      <c r="L97" s="125" t="s">
        <v>76</v>
      </c>
      <c r="M97" s="125">
        <v>3</v>
      </c>
      <c r="N97" s="127">
        <v>20</v>
      </c>
      <c r="O97" s="125"/>
    </row>
    <row r="98" spans="1:15" x14ac:dyDescent="0.35">
      <c r="A98" s="125">
        <v>260</v>
      </c>
      <c r="B98" s="125" t="s">
        <v>0</v>
      </c>
      <c r="C98" s="125" t="s">
        <v>723</v>
      </c>
      <c r="D98" s="125" t="s">
        <v>1</v>
      </c>
      <c r="E98" s="125">
        <v>40</v>
      </c>
      <c r="F98" s="125">
        <v>0.31719999999999998</v>
      </c>
      <c r="G98" s="125">
        <v>0.24199999999999999</v>
      </c>
      <c r="H98" s="128">
        <f t="shared" si="3"/>
        <v>0.23707440100882721</v>
      </c>
      <c r="I98" s="125" t="s">
        <v>98</v>
      </c>
      <c r="J98" s="125" t="s">
        <v>624</v>
      </c>
      <c r="K98" s="125" t="s">
        <v>105</v>
      </c>
      <c r="L98" s="125" t="s">
        <v>76</v>
      </c>
      <c r="M98" s="125">
        <v>3</v>
      </c>
      <c r="N98" s="127">
        <v>20</v>
      </c>
      <c r="O98" s="125"/>
    </row>
    <row r="99" spans="1:15" x14ac:dyDescent="0.35">
      <c r="A99" s="125">
        <v>261</v>
      </c>
      <c r="B99" s="125" t="s">
        <v>0</v>
      </c>
      <c r="C99" s="125" t="s">
        <v>724</v>
      </c>
      <c r="D99" s="125" t="s">
        <v>1</v>
      </c>
      <c r="E99" s="125">
        <v>45</v>
      </c>
      <c r="F99" s="125">
        <v>0.32029999999999997</v>
      </c>
      <c r="G99" s="125">
        <v>0.24199999999999999</v>
      </c>
      <c r="H99" s="128">
        <f t="shared" si="3"/>
        <v>0.24445832032469555</v>
      </c>
      <c r="I99" s="125" t="s">
        <v>98</v>
      </c>
      <c r="J99" s="125" t="s">
        <v>624</v>
      </c>
      <c r="K99" s="125" t="s">
        <v>105</v>
      </c>
      <c r="L99" s="125" t="s">
        <v>76</v>
      </c>
      <c r="M99" s="125">
        <v>3</v>
      </c>
      <c r="N99" s="127">
        <v>20</v>
      </c>
      <c r="O99" s="125"/>
    </row>
    <row r="100" spans="1:15" x14ac:dyDescent="0.35">
      <c r="A100" s="125">
        <v>262</v>
      </c>
      <c r="B100" s="125" t="s">
        <v>0</v>
      </c>
      <c r="C100" s="125" t="s">
        <v>725</v>
      </c>
      <c r="D100" s="125" t="s">
        <v>1</v>
      </c>
      <c r="E100" s="125">
        <v>40</v>
      </c>
      <c r="F100" s="125">
        <v>0.31719999999999998</v>
      </c>
      <c r="G100" s="125">
        <v>0.24199999999999999</v>
      </c>
      <c r="H100" s="128">
        <f t="shared" si="3"/>
        <v>0.23707440100882721</v>
      </c>
      <c r="I100" s="125" t="s">
        <v>98</v>
      </c>
      <c r="J100" s="125" t="s">
        <v>624</v>
      </c>
      <c r="K100" s="125" t="s">
        <v>105</v>
      </c>
      <c r="L100" s="125" t="s">
        <v>76</v>
      </c>
      <c r="M100" s="125">
        <v>3</v>
      </c>
      <c r="N100" s="127">
        <v>20</v>
      </c>
      <c r="O100" s="125"/>
    </row>
    <row r="101" spans="1:15" x14ac:dyDescent="0.35">
      <c r="A101" s="125">
        <v>263</v>
      </c>
      <c r="B101" s="125" t="s">
        <v>0</v>
      </c>
      <c r="C101" s="125" t="s">
        <v>726</v>
      </c>
      <c r="D101" s="125" t="s">
        <v>1</v>
      </c>
      <c r="E101" s="125">
        <v>40</v>
      </c>
      <c r="F101" s="125">
        <v>0.31719999999999998</v>
      </c>
      <c r="G101" s="125">
        <v>0.24199999999999999</v>
      </c>
      <c r="H101" s="128">
        <f t="shared" si="3"/>
        <v>0.23707440100882721</v>
      </c>
      <c r="I101" s="125" t="s">
        <v>98</v>
      </c>
      <c r="J101" s="125" t="s">
        <v>624</v>
      </c>
      <c r="K101" s="125" t="s">
        <v>105</v>
      </c>
      <c r="L101" s="125" t="s">
        <v>76</v>
      </c>
      <c r="M101" s="125">
        <v>3</v>
      </c>
      <c r="N101" s="127">
        <v>20</v>
      </c>
      <c r="O101" s="125"/>
    </row>
    <row r="102" spans="1:15" x14ac:dyDescent="0.35">
      <c r="A102" s="125">
        <v>264</v>
      </c>
      <c r="B102" s="125" t="s">
        <v>0</v>
      </c>
      <c r="C102" s="125" t="s">
        <v>727</v>
      </c>
      <c r="D102" s="125" t="s">
        <v>1</v>
      </c>
      <c r="E102" s="125">
        <v>50</v>
      </c>
      <c r="F102" s="125">
        <v>0.32340000000000002</v>
      </c>
      <c r="G102" s="125">
        <v>0.24199999999999999</v>
      </c>
      <c r="H102" s="128">
        <f t="shared" si="3"/>
        <v>0.2517006802721089</v>
      </c>
      <c r="I102" s="125" t="s">
        <v>98</v>
      </c>
      <c r="J102" s="125" t="s">
        <v>624</v>
      </c>
      <c r="K102" s="125" t="s">
        <v>105</v>
      </c>
      <c r="L102" s="125" t="s">
        <v>76</v>
      </c>
      <c r="M102" s="125">
        <v>3</v>
      </c>
      <c r="N102" s="127">
        <v>20</v>
      </c>
      <c r="O102" s="125"/>
    </row>
    <row r="103" spans="1:15" x14ac:dyDescent="0.35">
      <c r="A103" s="125">
        <v>265</v>
      </c>
      <c r="B103" s="125" t="s">
        <v>0</v>
      </c>
      <c r="C103" s="125" t="s">
        <v>728</v>
      </c>
      <c r="D103" s="125" t="s">
        <v>1</v>
      </c>
      <c r="E103" s="125">
        <v>40</v>
      </c>
      <c r="F103" s="125">
        <v>0.32340000000000002</v>
      </c>
      <c r="G103" s="125">
        <v>0.24199999999999999</v>
      </c>
      <c r="H103" s="128">
        <f t="shared" si="3"/>
        <v>0.2517006802721089</v>
      </c>
      <c r="I103" s="125" t="s">
        <v>98</v>
      </c>
      <c r="J103" s="125" t="s">
        <v>624</v>
      </c>
      <c r="K103" s="125" t="s">
        <v>105</v>
      </c>
      <c r="L103" s="125" t="s">
        <v>76</v>
      </c>
      <c r="M103" s="125">
        <v>3</v>
      </c>
      <c r="N103" s="127">
        <v>20</v>
      </c>
      <c r="O103" s="125"/>
    </row>
    <row r="104" spans="1:15" x14ac:dyDescent="0.35">
      <c r="A104" s="125">
        <v>267</v>
      </c>
      <c r="B104" s="125" t="s">
        <v>0</v>
      </c>
      <c r="C104" s="125" t="s">
        <v>731</v>
      </c>
      <c r="D104" s="125" t="s">
        <v>1</v>
      </c>
      <c r="E104" s="125">
        <v>40</v>
      </c>
      <c r="F104" s="125">
        <v>0.32340000000000002</v>
      </c>
      <c r="G104" s="125">
        <v>0.24199999999999999</v>
      </c>
      <c r="H104" s="128">
        <f t="shared" si="3"/>
        <v>0.2517006802721089</v>
      </c>
      <c r="I104" s="125" t="s">
        <v>98</v>
      </c>
      <c r="J104" s="125" t="s">
        <v>624</v>
      </c>
      <c r="K104" s="125" t="s">
        <v>105</v>
      </c>
      <c r="L104" s="125" t="s">
        <v>76</v>
      </c>
      <c r="M104" s="125">
        <v>3</v>
      </c>
      <c r="N104" s="127">
        <v>20</v>
      </c>
      <c r="O104" s="125"/>
    </row>
    <row r="105" spans="1:15" x14ac:dyDescent="0.35">
      <c r="A105" s="125">
        <v>376</v>
      </c>
      <c r="B105" s="125" t="s">
        <v>0</v>
      </c>
      <c r="C105" s="125" t="s">
        <v>808</v>
      </c>
      <c r="D105" s="125" t="s">
        <v>1</v>
      </c>
      <c r="E105" s="125">
        <v>40</v>
      </c>
      <c r="F105" s="125">
        <v>0.3604</v>
      </c>
      <c r="G105" s="125">
        <v>0.24199999999999999</v>
      </c>
      <c r="H105" s="128">
        <f t="shared" si="3"/>
        <v>0.32852386237513875</v>
      </c>
      <c r="I105" s="125" t="s">
        <v>98</v>
      </c>
      <c r="J105" s="125" t="s">
        <v>624</v>
      </c>
      <c r="K105" s="125" t="s">
        <v>105</v>
      </c>
      <c r="L105" s="125" t="s">
        <v>76</v>
      </c>
      <c r="M105" s="125">
        <v>3</v>
      </c>
      <c r="N105" s="127">
        <v>20</v>
      </c>
      <c r="O105" s="125"/>
    </row>
    <row r="106" spans="1:15" x14ac:dyDescent="0.35">
      <c r="A106" s="125">
        <v>377</v>
      </c>
      <c r="B106" s="125" t="s">
        <v>0</v>
      </c>
      <c r="C106" s="125" t="s">
        <v>809</v>
      </c>
      <c r="D106" s="125" t="s">
        <v>1</v>
      </c>
      <c r="E106" s="125">
        <v>50</v>
      </c>
      <c r="F106" s="125">
        <v>0.31719999999999998</v>
      </c>
      <c r="G106" s="125">
        <v>0.24199999999999999</v>
      </c>
      <c r="H106" s="128">
        <f t="shared" si="3"/>
        <v>0.23707440100882721</v>
      </c>
      <c r="I106" s="125" t="s">
        <v>98</v>
      </c>
      <c r="J106" s="125" t="s">
        <v>624</v>
      </c>
      <c r="K106" s="125" t="s">
        <v>357</v>
      </c>
      <c r="L106" s="125" t="s">
        <v>6</v>
      </c>
      <c r="M106" s="125">
        <v>30</v>
      </c>
      <c r="N106" s="127">
        <v>12</v>
      </c>
      <c r="O106" s="125"/>
    </row>
    <row r="108" spans="1:15" x14ac:dyDescent="0.35">
      <c r="A108" s="125">
        <v>46</v>
      </c>
      <c r="B108" s="125" t="s">
        <v>0</v>
      </c>
      <c r="C108" s="125" t="s">
        <v>374</v>
      </c>
      <c r="D108" s="125" t="s">
        <v>21</v>
      </c>
      <c r="E108" s="125">
        <v>4910</v>
      </c>
      <c r="F108" s="125">
        <v>3.5000000000000001E-3</v>
      </c>
      <c r="G108" s="125">
        <v>2.5000000000000001E-3</v>
      </c>
      <c r="H108" s="128">
        <f t="shared" ref="H108:H122" si="4">(F108-G108)/F108</f>
        <v>0.2857142857142857</v>
      </c>
      <c r="I108" s="125" t="s">
        <v>98</v>
      </c>
      <c r="J108" s="125" t="s">
        <v>375</v>
      </c>
      <c r="K108" s="125" t="s">
        <v>222</v>
      </c>
      <c r="L108" s="125" t="s">
        <v>76</v>
      </c>
      <c r="M108" s="125">
        <v>14</v>
      </c>
      <c r="N108" s="127">
        <v>12</v>
      </c>
      <c r="O108" s="125"/>
    </row>
    <row r="109" spans="1:15" x14ac:dyDescent="0.35">
      <c r="A109" s="125">
        <v>526</v>
      </c>
      <c r="B109" s="125" t="s">
        <v>0</v>
      </c>
      <c r="C109" s="125" t="s">
        <v>392</v>
      </c>
      <c r="D109" s="125" t="s">
        <v>21</v>
      </c>
      <c r="E109" s="125">
        <v>1200</v>
      </c>
      <c r="F109" s="125">
        <v>7.9000000000000008E-3</v>
      </c>
      <c r="G109" s="125">
        <v>7.0000000000000001E-3</v>
      </c>
      <c r="H109" s="128">
        <f t="shared" si="4"/>
        <v>0.11392405063291146</v>
      </c>
      <c r="I109" s="125" t="s">
        <v>98</v>
      </c>
      <c r="J109" s="125" t="s">
        <v>393</v>
      </c>
      <c r="K109" s="125" t="s">
        <v>95</v>
      </c>
      <c r="L109" s="125" t="s">
        <v>1402</v>
      </c>
      <c r="M109" s="125">
        <v>6</v>
      </c>
      <c r="N109" s="127">
        <v>22</v>
      </c>
      <c r="O109" s="125"/>
    </row>
    <row r="110" spans="1:15" x14ac:dyDescent="0.35">
      <c r="A110" s="125">
        <v>956</v>
      </c>
      <c r="B110" s="125" t="s">
        <v>0</v>
      </c>
      <c r="C110" s="125" t="s">
        <v>494</v>
      </c>
      <c r="D110" s="125" t="s">
        <v>21</v>
      </c>
      <c r="E110" s="125">
        <v>2100</v>
      </c>
      <c r="F110" s="125">
        <v>9.9000000000000008E-3</v>
      </c>
      <c r="G110" s="125">
        <v>6.4000000000000003E-3</v>
      </c>
      <c r="H110" s="128">
        <f t="shared" si="4"/>
        <v>0.35353535353535354</v>
      </c>
      <c r="I110" s="125" t="s">
        <v>98</v>
      </c>
      <c r="J110" s="125" t="s">
        <v>495</v>
      </c>
      <c r="K110" s="125" t="s">
        <v>261</v>
      </c>
      <c r="L110" s="125" t="s">
        <v>76</v>
      </c>
      <c r="M110" s="125">
        <v>5</v>
      </c>
      <c r="N110" s="127">
        <v>18</v>
      </c>
      <c r="O110" s="125"/>
    </row>
    <row r="111" spans="1:15" x14ac:dyDescent="0.35">
      <c r="A111" s="125">
        <v>632</v>
      </c>
      <c r="B111" s="125" t="s">
        <v>0</v>
      </c>
      <c r="C111" s="125" t="s">
        <v>417</v>
      </c>
      <c r="D111" s="125" t="s">
        <v>21</v>
      </c>
      <c r="E111" s="125">
        <v>700</v>
      </c>
      <c r="F111" s="125">
        <v>1.6799999999999999E-2</v>
      </c>
      <c r="G111" s="125">
        <v>1.32E-2</v>
      </c>
      <c r="H111" s="128">
        <f t="shared" si="4"/>
        <v>0.21428571428571425</v>
      </c>
      <c r="I111" s="125" t="s">
        <v>98</v>
      </c>
      <c r="J111" s="125" t="s">
        <v>418</v>
      </c>
      <c r="K111" s="125" t="s">
        <v>261</v>
      </c>
      <c r="L111" s="125" t="s">
        <v>76</v>
      </c>
      <c r="M111" s="125">
        <v>5</v>
      </c>
      <c r="N111" s="127">
        <v>14</v>
      </c>
      <c r="O111" s="125"/>
    </row>
    <row r="112" spans="1:15" x14ac:dyDescent="0.35">
      <c r="A112" s="125">
        <v>639</v>
      </c>
      <c r="B112" s="125" t="s">
        <v>0</v>
      </c>
      <c r="C112" s="125" t="s">
        <v>422</v>
      </c>
      <c r="D112" s="125" t="s">
        <v>21</v>
      </c>
      <c r="E112" s="125">
        <v>2300</v>
      </c>
      <c r="F112" s="125">
        <v>9.9000000000000008E-3</v>
      </c>
      <c r="G112" s="125">
        <v>7.1999999999999998E-3</v>
      </c>
      <c r="H112" s="128">
        <f t="shared" si="4"/>
        <v>0.27272727272727282</v>
      </c>
      <c r="I112" s="125" t="s">
        <v>98</v>
      </c>
      <c r="J112" s="125" t="s">
        <v>418</v>
      </c>
      <c r="K112" s="125" t="s">
        <v>261</v>
      </c>
      <c r="L112" s="125" t="s">
        <v>76</v>
      </c>
      <c r="M112" s="125">
        <v>5</v>
      </c>
      <c r="N112" s="127">
        <v>19</v>
      </c>
      <c r="O112" s="125"/>
    </row>
    <row r="113" spans="1:15" x14ac:dyDescent="0.35">
      <c r="A113" s="125">
        <v>641</v>
      </c>
      <c r="B113" s="125" t="s">
        <v>0</v>
      </c>
      <c r="C113" s="125" t="s">
        <v>424</v>
      </c>
      <c r="D113" s="125" t="s">
        <v>21</v>
      </c>
      <c r="E113" s="125">
        <v>1800</v>
      </c>
      <c r="F113" s="125">
        <v>9.9000000000000008E-3</v>
      </c>
      <c r="G113" s="125">
        <v>7.1999999999999998E-3</v>
      </c>
      <c r="H113" s="128">
        <f t="shared" si="4"/>
        <v>0.27272727272727282</v>
      </c>
      <c r="I113" s="125" t="s">
        <v>98</v>
      </c>
      <c r="J113" s="125" t="s">
        <v>418</v>
      </c>
      <c r="K113" s="125" t="s">
        <v>105</v>
      </c>
      <c r="L113" s="125" t="s">
        <v>76</v>
      </c>
      <c r="M113" s="125">
        <v>6</v>
      </c>
      <c r="N113" s="127">
        <v>30</v>
      </c>
      <c r="O113" s="125"/>
    </row>
    <row r="114" spans="1:15" x14ac:dyDescent="0.35">
      <c r="A114" s="125">
        <v>796</v>
      </c>
      <c r="B114" s="125" t="s">
        <v>0</v>
      </c>
      <c r="C114" s="125" t="s">
        <v>446</v>
      </c>
      <c r="D114" s="125" t="s">
        <v>21</v>
      </c>
      <c r="E114" s="125">
        <v>700</v>
      </c>
      <c r="F114" s="125">
        <v>1.6799999999999999E-2</v>
      </c>
      <c r="G114" s="125">
        <v>1.32E-2</v>
      </c>
      <c r="H114" s="128">
        <f t="shared" si="4"/>
        <v>0.21428571428571425</v>
      </c>
      <c r="I114" s="125" t="s">
        <v>98</v>
      </c>
      <c r="J114" s="125" t="s">
        <v>418</v>
      </c>
      <c r="K114" s="125" t="s">
        <v>105</v>
      </c>
      <c r="L114" s="125" t="s">
        <v>76</v>
      </c>
      <c r="M114" s="125">
        <v>8</v>
      </c>
      <c r="N114" s="127">
        <v>45</v>
      </c>
      <c r="O114" s="125"/>
    </row>
    <row r="115" spans="1:15" x14ac:dyDescent="0.35">
      <c r="A115" s="125">
        <v>907</v>
      </c>
      <c r="B115" s="125" t="s">
        <v>84</v>
      </c>
      <c r="C115" s="125" t="s">
        <v>461</v>
      </c>
      <c r="D115" s="125" t="s">
        <v>21</v>
      </c>
      <c r="E115" s="125">
        <v>750</v>
      </c>
      <c r="F115" s="125">
        <v>1.09E-2</v>
      </c>
      <c r="G115" s="125">
        <v>9.1000000000000004E-3</v>
      </c>
      <c r="H115" s="128">
        <f t="shared" si="4"/>
        <v>0.16513761467889904</v>
      </c>
      <c r="I115" s="125" t="s">
        <v>98</v>
      </c>
      <c r="J115" s="125" t="s">
        <v>418</v>
      </c>
      <c r="K115" s="125" t="s">
        <v>105</v>
      </c>
      <c r="L115" s="125" t="s">
        <v>76</v>
      </c>
      <c r="M115" s="125">
        <v>6</v>
      </c>
      <c r="N115" s="127">
        <v>30</v>
      </c>
      <c r="O115" s="125"/>
    </row>
    <row r="116" spans="1:15" x14ac:dyDescent="0.35">
      <c r="A116" s="125">
        <v>962</v>
      </c>
      <c r="B116" s="125" t="s">
        <v>0</v>
      </c>
      <c r="C116" s="125" t="s">
        <v>486</v>
      </c>
      <c r="D116" s="125" t="s">
        <v>21</v>
      </c>
      <c r="E116" s="125">
        <v>700</v>
      </c>
      <c r="F116" s="125">
        <v>1.6799999999999999E-2</v>
      </c>
      <c r="G116" s="125">
        <v>1.32E-2</v>
      </c>
      <c r="H116" s="128">
        <f t="shared" si="4"/>
        <v>0.21428571428571425</v>
      </c>
      <c r="I116" s="125" t="s">
        <v>98</v>
      </c>
      <c r="J116" s="125" t="s">
        <v>418</v>
      </c>
      <c r="K116" s="125" t="s">
        <v>222</v>
      </c>
      <c r="L116" s="125" t="s">
        <v>76</v>
      </c>
      <c r="M116" s="125">
        <v>6</v>
      </c>
      <c r="N116" s="127">
        <v>20</v>
      </c>
      <c r="O116" s="125"/>
    </row>
    <row r="117" spans="1:15" x14ac:dyDescent="0.35">
      <c r="A117" s="125">
        <v>1002</v>
      </c>
      <c r="B117" s="125" t="s">
        <v>0</v>
      </c>
      <c r="C117" s="125" t="s">
        <v>497</v>
      </c>
      <c r="D117" s="125" t="s">
        <v>21</v>
      </c>
      <c r="E117" s="125">
        <v>500</v>
      </c>
      <c r="F117" s="125">
        <v>1.6199999999999999E-2</v>
      </c>
      <c r="G117" s="125">
        <v>1.0800000000000001E-2</v>
      </c>
      <c r="H117" s="128">
        <f t="shared" si="4"/>
        <v>0.33333333333333326</v>
      </c>
      <c r="I117" s="125" t="s">
        <v>98</v>
      </c>
      <c r="J117" s="125" t="s">
        <v>418</v>
      </c>
      <c r="K117" s="125" t="s">
        <v>222</v>
      </c>
      <c r="L117" s="125" t="s">
        <v>76</v>
      </c>
      <c r="M117" s="125">
        <v>16</v>
      </c>
      <c r="N117" s="127"/>
      <c r="O117" s="125"/>
    </row>
    <row r="118" spans="1:15" x14ac:dyDescent="0.35">
      <c r="A118" s="125">
        <v>790</v>
      </c>
      <c r="B118" s="125" t="s">
        <v>0</v>
      </c>
      <c r="C118" s="125" t="s">
        <v>443</v>
      </c>
      <c r="D118" s="125" t="s">
        <v>21</v>
      </c>
      <c r="E118" s="125">
        <v>1680</v>
      </c>
      <c r="F118" s="125">
        <v>1.32E-2</v>
      </c>
      <c r="G118" s="125">
        <v>6.7999999999999996E-3</v>
      </c>
      <c r="H118" s="128">
        <f t="shared" si="4"/>
        <v>0.48484848484848486</v>
      </c>
      <c r="I118" s="125" t="s">
        <v>98</v>
      </c>
      <c r="J118" s="125" t="s">
        <v>444</v>
      </c>
      <c r="K118" s="125" t="s">
        <v>261</v>
      </c>
      <c r="L118" s="125" t="s">
        <v>76</v>
      </c>
      <c r="M118" s="125">
        <v>5</v>
      </c>
      <c r="N118" s="127">
        <v>23</v>
      </c>
      <c r="O118" s="125"/>
    </row>
    <row r="119" spans="1:15" x14ac:dyDescent="0.35">
      <c r="A119" s="125">
        <v>798</v>
      </c>
      <c r="B119" s="125" t="s">
        <v>0</v>
      </c>
      <c r="C119" s="125" t="s">
        <v>448</v>
      </c>
      <c r="D119" s="125" t="s">
        <v>21</v>
      </c>
      <c r="E119" s="125">
        <v>840</v>
      </c>
      <c r="F119" s="125">
        <v>1.23E-2</v>
      </c>
      <c r="G119" s="125">
        <v>9.2999999999999992E-3</v>
      </c>
      <c r="H119" s="128">
        <f t="shared" si="4"/>
        <v>0.24390243902439032</v>
      </c>
      <c r="I119" s="125" t="s">
        <v>98</v>
      </c>
      <c r="J119" s="125" t="s">
        <v>412</v>
      </c>
      <c r="K119" s="125" t="s">
        <v>105</v>
      </c>
      <c r="L119" s="125" t="s">
        <v>76</v>
      </c>
      <c r="M119" s="125">
        <v>8</v>
      </c>
      <c r="N119" s="127"/>
      <c r="O119" s="125"/>
    </row>
    <row r="120" spans="1:15" x14ac:dyDescent="0.35">
      <c r="A120" s="125">
        <v>950</v>
      </c>
      <c r="B120" s="125" t="s">
        <v>84</v>
      </c>
      <c r="C120" s="125" t="s">
        <v>483</v>
      </c>
      <c r="D120" s="125" t="s">
        <v>21</v>
      </c>
      <c r="E120" s="125">
        <v>1500</v>
      </c>
      <c r="F120" s="125">
        <v>1.6500000000000001E-2</v>
      </c>
      <c r="G120" s="125"/>
      <c r="H120" s="128">
        <f t="shared" si="4"/>
        <v>1</v>
      </c>
      <c r="I120" s="125" t="s">
        <v>98</v>
      </c>
      <c r="J120" s="125" t="s">
        <v>412</v>
      </c>
      <c r="K120" s="125" t="s">
        <v>105</v>
      </c>
      <c r="L120" s="125" t="s">
        <v>76</v>
      </c>
      <c r="M120" s="125">
        <v>8</v>
      </c>
      <c r="N120" s="127"/>
      <c r="O120" s="125"/>
    </row>
    <row r="121" spans="1:15" x14ac:dyDescent="0.35">
      <c r="A121" s="125">
        <v>951</v>
      </c>
      <c r="B121" s="125" t="s">
        <v>84</v>
      </c>
      <c r="C121" s="125" t="s">
        <v>484</v>
      </c>
      <c r="D121" s="125" t="s">
        <v>21</v>
      </c>
      <c r="E121" s="125">
        <v>1500</v>
      </c>
      <c r="F121" s="125">
        <v>1.6500000000000001E-2</v>
      </c>
      <c r="G121" s="125"/>
      <c r="H121" s="128">
        <f t="shared" si="4"/>
        <v>1</v>
      </c>
      <c r="I121" s="125" t="s">
        <v>98</v>
      </c>
      <c r="J121" s="125" t="s">
        <v>412</v>
      </c>
      <c r="K121" s="125" t="s">
        <v>413</v>
      </c>
      <c r="L121" s="125" t="s">
        <v>76</v>
      </c>
      <c r="M121" s="125">
        <v>8</v>
      </c>
      <c r="N121" s="127"/>
      <c r="O121" s="125"/>
    </row>
    <row r="122" spans="1:15" x14ac:dyDescent="0.35">
      <c r="A122" s="125">
        <v>1730</v>
      </c>
      <c r="B122" s="125" t="s">
        <v>84</v>
      </c>
      <c r="C122" s="125" t="s">
        <v>411</v>
      </c>
      <c r="D122" s="125" t="s">
        <v>21</v>
      </c>
      <c r="E122" s="125">
        <v>1500</v>
      </c>
      <c r="F122" s="125">
        <v>1.6500000000000001E-2</v>
      </c>
      <c r="G122" s="125"/>
      <c r="H122" s="128">
        <f t="shared" si="4"/>
        <v>1</v>
      </c>
      <c r="I122" s="125" t="s">
        <v>98</v>
      </c>
      <c r="J122" s="125" t="s">
        <v>412</v>
      </c>
      <c r="K122" s="125" t="s">
        <v>105</v>
      </c>
      <c r="L122" s="125" t="s">
        <v>76</v>
      </c>
      <c r="M122" s="125">
        <v>24</v>
      </c>
      <c r="N122" s="127">
        <v>14</v>
      </c>
      <c r="O122" s="125"/>
    </row>
    <row r="123" spans="1:15" x14ac:dyDescent="0.35">
      <c r="A123" s="125"/>
      <c r="B123" s="125"/>
      <c r="C123" s="125"/>
      <c r="D123" s="125"/>
      <c r="E123" s="125"/>
      <c r="F123" s="125"/>
      <c r="G123" s="125"/>
      <c r="H123" s="128"/>
      <c r="I123" s="125"/>
      <c r="J123" s="125"/>
      <c r="K123" s="125"/>
      <c r="L123" s="125"/>
      <c r="M123" s="125"/>
      <c r="N123" s="127"/>
      <c r="O123" s="125"/>
    </row>
    <row r="124" spans="1:15" x14ac:dyDescent="0.35">
      <c r="A124" s="125">
        <v>837</v>
      </c>
      <c r="B124" s="125" t="s">
        <v>0</v>
      </c>
      <c r="C124" s="125" t="s">
        <v>1470</v>
      </c>
      <c r="D124" s="125" t="s">
        <v>1</v>
      </c>
      <c r="E124" s="125">
        <v>1000</v>
      </c>
      <c r="F124" s="125">
        <v>6.6E-3</v>
      </c>
      <c r="G124" s="125">
        <v>4.1999999999999997E-3</v>
      </c>
      <c r="H124" s="128">
        <f t="shared" ref="H124:H155" si="5">(F124-G124)/F124</f>
        <v>0.36363636363636365</v>
      </c>
      <c r="I124" s="125" t="s">
        <v>98</v>
      </c>
      <c r="J124" s="125" t="s">
        <v>1049</v>
      </c>
      <c r="K124" s="125" t="s">
        <v>230</v>
      </c>
      <c r="L124" s="125" t="s">
        <v>76</v>
      </c>
      <c r="M124" s="125">
        <v>2</v>
      </c>
      <c r="N124" s="127">
        <v>20</v>
      </c>
      <c r="O124" s="125"/>
    </row>
    <row r="125" spans="1:15" x14ac:dyDescent="0.35">
      <c r="A125" s="125">
        <v>475</v>
      </c>
      <c r="B125" s="125" t="s">
        <v>0</v>
      </c>
      <c r="C125" s="125" t="s">
        <v>849</v>
      </c>
      <c r="D125" s="125" t="s">
        <v>1</v>
      </c>
      <c r="E125" s="125">
        <v>3500</v>
      </c>
      <c r="F125" s="125">
        <v>2E-3</v>
      </c>
      <c r="G125" s="125">
        <v>1.6999999999999999E-3</v>
      </c>
      <c r="H125" s="128">
        <f t="shared" si="5"/>
        <v>0.15000000000000008</v>
      </c>
      <c r="I125" s="125" t="s">
        <v>98</v>
      </c>
      <c r="J125" s="125" t="s">
        <v>1471</v>
      </c>
      <c r="K125" s="125" t="s">
        <v>5</v>
      </c>
      <c r="L125" s="125" t="s">
        <v>1402</v>
      </c>
      <c r="M125" s="125">
        <v>72</v>
      </c>
      <c r="N125" s="127">
        <v>16</v>
      </c>
      <c r="O125" s="125"/>
    </row>
    <row r="126" spans="1:15" x14ac:dyDescent="0.35">
      <c r="A126" s="125">
        <v>841</v>
      </c>
      <c r="B126" s="125" t="s">
        <v>0</v>
      </c>
      <c r="C126" s="125" t="s">
        <v>1055</v>
      </c>
      <c r="D126" s="125" t="s">
        <v>1</v>
      </c>
      <c r="E126" s="125">
        <v>1000</v>
      </c>
      <c r="F126" s="125">
        <v>1.0800000000000001E-2</v>
      </c>
      <c r="G126" s="125">
        <v>6.7000000000000002E-3</v>
      </c>
      <c r="H126" s="128">
        <f t="shared" si="5"/>
        <v>0.37962962962962965</v>
      </c>
      <c r="I126" s="125" t="s">
        <v>98</v>
      </c>
      <c r="J126" s="125" t="s">
        <v>1056</v>
      </c>
      <c r="K126" s="125" t="s">
        <v>105</v>
      </c>
      <c r="L126" s="125" t="s">
        <v>76</v>
      </c>
      <c r="M126" s="125">
        <v>15</v>
      </c>
      <c r="N126" s="127">
        <v>20</v>
      </c>
      <c r="O126" s="125"/>
    </row>
    <row r="127" spans="1:15" x14ac:dyDescent="0.35">
      <c r="A127" s="125">
        <v>19</v>
      </c>
      <c r="B127" s="125" t="s">
        <v>0</v>
      </c>
      <c r="C127" s="125" t="s">
        <v>573</v>
      </c>
      <c r="D127" s="125" t="s">
        <v>1</v>
      </c>
      <c r="E127" s="125">
        <v>7560</v>
      </c>
      <c r="F127" s="125">
        <v>2.5000000000000001E-3</v>
      </c>
      <c r="G127" s="125">
        <v>2.2000000000000001E-3</v>
      </c>
      <c r="H127" s="128">
        <f t="shared" si="5"/>
        <v>0.11999999999999997</v>
      </c>
      <c r="I127" s="125" t="s">
        <v>98</v>
      </c>
      <c r="J127" s="125" t="s">
        <v>393</v>
      </c>
      <c r="K127" s="125" t="s">
        <v>105</v>
      </c>
      <c r="L127" s="125" t="s">
        <v>76</v>
      </c>
      <c r="M127" s="125">
        <v>54</v>
      </c>
      <c r="N127" s="127">
        <v>8</v>
      </c>
      <c r="O127" s="125"/>
    </row>
    <row r="128" spans="1:15" x14ac:dyDescent="0.35">
      <c r="A128" s="125">
        <v>476</v>
      </c>
      <c r="B128" s="125" t="s">
        <v>0</v>
      </c>
      <c r="C128" s="125" t="s">
        <v>850</v>
      </c>
      <c r="D128" s="125" t="s">
        <v>1</v>
      </c>
      <c r="E128" s="125">
        <v>3100</v>
      </c>
      <c r="F128" s="125">
        <v>2.7000000000000001E-3</v>
      </c>
      <c r="G128" s="125">
        <v>2.3E-3</v>
      </c>
      <c r="H128" s="128">
        <f t="shared" si="5"/>
        <v>0.1481481481481482</v>
      </c>
      <c r="I128" s="125" t="s">
        <v>98</v>
      </c>
      <c r="J128" s="125" t="s">
        <v>393</v>
      </c>
      <c r="K128" s="125" t="s">
        <v>95</v>
      </c>
      <c r="L128" s="125" t="s">
        <v>1402</v>
      </c>
      <c r="M128" s="125">
        <v>48</v>
      </c>
      <c r="N128" s="127">
        <v>14</v>
      </c>
      <c r="O128" s="125"/>
    </row>
    <row r="129" spans="1:15" x14ac:dyDescent="0.35">
      <c r="A129" s="125">
        <v>519</v>
      </c>
      <c r="B129" s="125" t="s">
        <v>84</v>
      </c>
      <c r="C129" s="125" t="s">
        <v>858</v>
      </c>
      <c r="D129" s="125" t="s">
        <v>1</v>
      </c>
      <c r="E129" s="125">
        <v>2000</v>
      </c>
      <c r="F129" s="125">
        <v>1.43E-2</v>
      </c>
      <c r="G129" s="125"/>
      <c r="H129" s="128">
        <f t="shared" si="5"/>
        <v>1</v>
      </c>
      <c r="I129" s="125" t="s">
        <v>98</v>
      </c>
      <c r="J129" s="125" t="s">
        <v>393</v>
      </c>
      <c r="K129" s="125" t="s">
        <v>222</v>
      </c>
      <c r="L129" s="125" t="s">
        <v>76</v>
      </c>
      <c r="M129" s="125">
        <v>10</v>
      </c>
      <c r="N129" s="127">
        <v>20</v>
      </c>
      <c r="O129" s="125"/>
    </row>
    <row r="130" spans="1:15" x14ac:dyDescent="0.35">
      <c r="A130" s="125">
        <v>671</v>
      </c>
      <c r="B130" s="125" t="s">
        <v>0</v>
      </c>
      <c r="C130" s="125" t="s">
        <v>925</v>
      </c>
      <c r="D130" s="125" t="s">
        <v>1</v>
      </c>
      <c r="E130" s="125">
        <v>4000</v>
      </c>
      <c r="F130" s="125">
        <v>5.7000000000000002E-3</v>
      </c>
      <c r="G130" s="125">
        <v>4.0000000000000001E-3</v>
      </c>
      <c r="H130" s="128">
        <f t="shared" si="5"/>
        <v>0.2982456140350877</v>
      </c>
      <c r="I130" s="125" t="s">
        <v>98</v>
      </c>
      <c r="J130" s="125" t="s">
        <v>393</v>
      </c>
      <c r="K130" s="125" t="s">
        <v>105</v>
      </c>
      <c r="L130" s="125" t="s">
        <v>76</v>
      </c>
      <c r="M130" s="125">
        <v>27</v>
      </c>
      <c r="N130" s="127">
        <v>20</v>
      </c>
      <c r="O130" s="125"/>
    </row>
    <row r="131" spans="1:15" x14ac:dyDescent="0.35">
      <c r="A131" s="125">
        <v>691</v>
      </c>
      <c r="B131" s="125" t="s">
        <v>0</v>
      </c>
      <c r="C131" s="125" t="s">
        <v>948</v>
      </c>
      <c r="D131" s="125" t="s">
        <v>1</v>
      </c>
      <c r="E131" s="125">
        <v>3500</v>
      </c>
      <c r="F131" s="125">
        <v>7.1000000000000004E-3</v>
      </c>
      <c r="G131" s="125">
        <v>5.4999999999999997E-3</v>
      </c>
      <c r="H131" s="128">
        <f t="shared" si="5"/>
        <v>0.22535211267605643</v>
      </c>
      <c r="I131" s="125" t="s">
        <v>98</v>
      </c>
      <c r="J131" s="125" t="s">
        <v>393</v>
      </c>
      <c r="K131" s="125" t="s">
        <v>105</v>
      </c>
      <c r="L131" s="125" t="s">
        <v>76</v>
      </c>
      <c r="M131" s="125">
        <v>20</v>
      </c>
      <c r="N131" s="127">
        <v>24</v>
      </c>
      <c r="O131" s="125"/>
    </row>
    <row r="132" spans="1:15" x14ac:dyDescent="0.35">
      <c r="A132" s="125">
        <v>848</v>
      </c>
      <c r="B132" s="125" t="s">
        <v>0</v>
      </c>
      <c r="C132" s="125" t="s">
        <v>1064</v>
      </c>
      <c r="D132" s="125" t="s">
        <v>1</v>
      </c>
      <c r="E132" s="125">
        <v>900</v>
      </c>
      <c r="F132" s="125">
        <v>1.7899999999999999E-2</v>
      </c>
      <c r="G132" s="125">
        <v>1.0200000000000001E-2</v>
      </c>
      <c r="H132" s="128">
        <f t="shared" si="5"/>
        <v>0.43016759776536306</v>
      </c>
      <c r="I132" s="125" t="s">
        <v>98</v>
      </c>
      <c r="J132" s="125" t="s">
        <v>393</v>
      </c>
      <c r="K132" s="125" t="s">
        <v>90</v>
      </c>
      <c r="L132" s="125" t="s">
        <v>1402</v>
      </c>
      <c r="M132" s="125">
        <v>8</v>
      </c>
      <c r="N132" s="127">
        <v>20</v>
      </c>
      <c r="O132" s="125"/>
    </row>
    <row r="133" spans="1:15" x14ac:dyDescent="0.35">
      <c r="A133" s="125">
        <v>894</v>
      </c>
      <c r="B133" s="125" t="s">
        <v>0</v>
      </c>
      <c r="C133" s="125" t="s">
        <v>1094</v>
      </c>
      <c r="D133" s="125" t="s">
        <v>1</v>
      </c>
      <c r="E133" s="125">
        <v>6400</v>
      </c>
      <c r="F133" s="125">
        <v>3.3999999999999998E-3</v>
      </c>
      <c r="G133" s="125">
        <v>2.3999999999999998E-3</v>
      </c>
      <c r="H133" s="128">
        <f t="shared" si="5"/>
        <v>0.29411764705882354</v>
      </c>
      <c r="I133" s="125" t="s">
        <v>98</v>
      </c>
      <c r="J133" s="125" t="s">
        <v>393</v>
      </c>
      <c r="K133" s="125" t="s">
        <v>105</v>
      </c>
      <c r="L133" s="125" t="s">
        <v>76</v>
      </c>
      <c r="M133" s="125">
        <v>40</v>
      </c>
      <c r="N133" s="127">
        <v>20</v>
      </c>
      <c r="O133" s="125"/>
    </row>
    <row r="134" spans="1:15" x14ac:dyDescent="0.35">
      <c r="A134" s="125">
        <v>675</v>
      </c>
      <c r="B134" s="125" t="s">
        <v>0</v>
      </c>
      <c r="C134" s="125" t="s">
        <v>928</v>
      </c>
      <c r="D134" s="125" t="s">
        <v>1</v>
      </c>
      <c r="E134" s="125">
        <v>2000</v>
      </c>
      <c r="F134" s="125">
        <v>1.0800000000000001E-2</v>
      </c>
      <c r="G134" s="125">
        <v>9.4000000000000004E-3</v>
      </c>
      <c r="H134" s="128">
        <f t="shared" si="5"/>
        <v>0.12962962962962965</v>
      </c>
      <c r="I134" s="125" t="s">
        <v>98</v>
      </c>
      <c r="J134" s="125" t="s">
        <v>393</v>
      </c>
      <c r="K134" s="125" t="s">
        <v>5</v>
      </c>
      <c r="L134" s="125" t="s">
        <v>1402</v>
      </c>
      <c r="M134" s="125">
        <v>8</v>
      </c>
      <c r="N134" s="127"/>
      <c r="O134" s="125"/>
    </row>
    <row r="135" spans="1:15" x14ac:dyDescent="0.35">
      <c r="A135" s="130">
        <v>21</v>
      </c>
      <c r="B135" s="125" t="s">
        <v>0</v>
      </c>
      <c r="C135" s="125" t="s">
        <v>574</v>
      </c>
      <c r="D135" s="125" t="s">
        <v>1</v>
      </c>
      <c r="E135" s="125">
        <v>4900</v>
      </c>
      <c r="F135" s="125">
        <v>2.5000000000000001E-3</v>
      </c>
      <c r="G135" s="125">
        <v>2.2000000000000001E-3</v>
      </c>
      <c r="H135" s="128">
        <f t="shared" si="5"/>
        <v>0.11999999999999997</v>
      </c>
      <c r="I135" s="125" t="s">
        <v>98</v>
      </c>
      <c r="J135" s="125" t="s">
        <v>575</v>
      </c>
      <c r="K135" s="125" t="s">
        <v>105</v>
      </c>
      <c r="L135" s="125" t="s">
        <v>76</v>
      </c>
      <c r="M135" s="125">
        <v>20</v>
      </c>
      <c r="N135" s="127">
        <v>15</v>
      </c>
      <c r="O135" s="125"/>
    </row>
    <row r="136" spans="1:15" x14ac:dyDescent="0.35">
      <c r="A136" s="125">
        <v>337</v>
      </c>
      <c r="B136" s="125" t="s">
        <v>84</v>
      </c>
      <c r="C136" s="125" t="s">
        <v>777</v>
      </c>
      <c r="D136" s="125" t="s">
        <v>1</v>
      </c>
      <c r="E136" s="125">
        <v>900</v>
      </c>
      <c r="F136" s="125">
        <v>1.54E-2</v>
      </c>
      <c r="G136" s="125"/>
      <c r="H136" s="128">
        <f t="shared" si="5"/>
        <v>1</v>
      </c>
      <c r="I136" s="125" t="s">
        <v>98</v>
      </c>
      <c r="J136" s="125" t="s">
        <v>575</v>
      </c>
      <c r="K136" s="125" t="s">
        <v>222</v>
      </c>
      <c r="L136" s="125" t="s">
        <v>76</v>
      </c>
      <c r="M136" s="125">
        <v>25</v>
      </c>
      <c r="N136" s="127">
        <v>20</v>
      </c>
      <c r="O136" s="125"/>
    </row>
    <row r="137" spans="1:15" x14ac:dyDescent="0.35">
      <c r="A137" s="125">
        <v>339</v>
      </c>
      <c r="B137" s="125" t="s">
        <v>84</v>
      </c>
      <c r="C137" s="125" t="s">
        <v>778</v>
      </c>
      <c r="D137" s="125" t="s">
        <v>1</v>
      </c>
      <c r="E137" s="125">
        <v>2100</v>
      </c>
      <c r="F137" s="125">
        <v>7.7000000000000002E-3</v>
      </c>
      <c r="G137" s="125"/>
      <c r="H137" s="128">
        <f t="shared" si="5"/>
        <v>1</v>
      </c>
      <c r="I137" s="125" t="s">
        <v>98</v>
      </c>
      <c r="J137" s="125" t="s">
        <v>575</v>
      </c>
      <c r="K137" s="125" t="s">
        <v>222</v>
      </c>
      <c r="L137" s="125" t="s">
        <v>76</v>
      </c>
      <c r="M137" s="125">
        <v>25</v>
      </c>
      <c r="N137" s="127">
        <v>18</v>
      </c>
      <c r="O137" s="125"/>
    </row>
    <row r="138" spans="1:15" x14ac:dyDescent="0.35">
      <c r="A138" s="125">
        <v>677</v>
      </c>
      <c r="B138" s="125" t="s">
        <v>0</v>
      </c>
      <c r="C138" s="125" t="s">
        <v>931</v>
      </c>
      <c r="D138" s="125" t="s">
        <v>1</v>
      </c>
      <c r="E138" s="125">
        <v>3000</v>
      </c>
      <c r="F138" s="125">
        <v>6.7000000000000002E-3</v>
      </c>
      <c r="G138" s="125">
        <v>5.7999999999999996E-3</v>
      </c>
      <c r="H138" s="128">
        <f t="shared" si="5"/>
        <v>0.13432835820895531</v>
      </c>
      <c r="I138" s="125" t="s">
        <v>98</v>
      </c>
      <c r="J138" s="125" t="s">
        <v>575</v>
      </c>
      <c r="K138" s="125" t="s">
        <v>5</v>
      </c>
      <c r="L138" s="125" t="s">
        <v>1402</v>
      </c>
      <c r="M138" s="125">
        <v>64</v>
      </c>
      <c r="N138" s="127">
        <v>10</v>
      </c>
      <c r="O138" s="125"/>
    </row>
    <row r="139" spans="1:15" x14ac:dyDescent="0.35">
      <c r="A139" s="125">
        <v>678</v>
      </c>
      <c r="B139" s="125" t="s">
        <v>0</v>
      </c>
      <c r="C139" s="125" t="s">
        <v>932</v>
      </c>
      <c r="D139" s="125" t="s">
        <v>1</v>
      </c>
      <c r="E139" s="125">
        <v>3000</v>
      </c>
      <c r="F139" s="125">
        <v>6.7000000000000002E-3</v>
      </c>
      <c r="G139" s="125">
        <v>5.7999999999999996E-3</v>
      </c>
      <c r="H139" s="128">
        <f t="shared" si="5"/>
        <v>0.13432835820895531</v>
      </c>
      <c r="I139" s="125" t="s">
        <v>98</v>
      </c>
      <c r="J139" s="125" t="s">
        <v>575</v>
      </c>
      <c r="K139" s="125" t="s">
        <v>105</v>
      </c>
      <c r="L139" s="125" t="s">
        <v>76</v>
      </c>
      <c r="M139" s="125">
        <v>30</v>
      </c>
      <c r="N139" s="127">
        <v>28</v>
      </c>
      <c r="O139" s="125"/>
    </row>
    <row r="140" spans="1:15" x14ac:dyDescent="0.35">
      <c r="A140" s="125">
        <v>875</v>
      </c>
      <c r="B140" s="125" t="s">
        <v>84</v>
      </c>
      <c r="C140" s="125" t="s">
        <v>1075</v>
      </c>
      <c r="D140" s="125" t="s">
        <v>1</v>
      </c>
      <c r="E140" s="125">
        <v>4600</v>
      </c>
      <c r="F140" s="125">
        <v>2.3999999999999998E-3</v>
      </c>
      <c r="G140" s="125">
        <v>1.8E-3</v>
      </c>
      <c r="H140" s="128">
        <f t="shared" si="5"/>
        <v>0.24999999999999994</v>
      </c>
      <c r="I140" s="125" t="s">
        <v>98</v>
      </c>
      <c r="J140" s="125" t="s">
        <v>575</v>
      </c>
      <c r="K140" s="125" t="s">
        <v>5</v>
      </c>
      <c r="L140" s="125" t="s">
        <v>1402</v>
      </c>
      <c r="M140" s="125">
        <v>20</v>
      </c>
      <c r="N140" s="127">
        <v>10</v>
      </c>
      <c r="O140" s="125"/>
    </row>
    <row r="141" spans="1:15" x14ac:dyDescent="0.35">
      <c r="A141" s="125">
        <v>955</v>
      </c>
      <c r="B141" s="125" t="s">
        <v>0</v>
      </c>
      <c r="C141" s="125" t="s">
        <v>1112</v>
      </c>
      <c r="D141" s="125" t="s">
        <v>1</v>
      </c>
      <c r="E141" s="125">
        <v>2100</v>
      </c>
      <c r="F141" s="125">
        <v>5.8999999999999999E-3</v>
      </c>
      <c r="G141" s="125">
        <v>4.7000000000000002E-3</v>
      </c>
      <c r="H141" s="128">
        <f t="shared" si="5"/>
        <v>0.20338983050847453</v>
      </c>
      <c r="I141" s="125" t="s">
        <v>98</v>
      </c>
      <c r="J141" s="125" t="s">
        <v>1113</v>
      </c>
      <c r="K141" s="125" t="s">
        <v>105</v>
      </c>
      <c r="L141" s="125" t="s">
        <v>76</v>
      </c>
      <c r="M141" s="125">
        <v>18</v>
      </c>
      <c r="N141" s="127">
        <v>22</v>
      </c>
      <c r="O141" s="125"/>
    </row>
    <row r="142" spans="1:15" x14ac:dyDescent="0.35">
      <c r="A142" s="125">
        <v>228</v>
      </c>
      <c r="B142" s="125" t="s">
        <v>0</v>
      </c>
      <c r="C142" s="125" t="s">
        <v>686</v>
      </c>
      <c r="D142" s="125" t="s">
        <v>1</v>
      </c>
      <c r="E142" s="125">
        <v>500</v>
      </c>
      <c r="F142" s="125">
        <v>2.5000000000000001E-2</v>
      </c>
      <c r="G142" s="125">
        <v>1.6299999999999999E-2</v>
      </c>
      <c r="H142" s="128">
        <f t="shared" si="5"/>
        <v>0.34800000000000009</v>
      </c>
      <c r="I142" s="125" t="s">
        <v>98</v>
      </c>
      <c r="J142" s="125" t="s">
        <v>687</v>
      </c>
      <c r="K142" s="125" t="s">
        <v>90</v>
      </c>
      <c r="L142" s="125" t="s">
        <v>1402</v>
      </c>
      <c r="M142" s="125">
        <v>8</v>
      </c>
      <c r="N142" s="127">
        <v>26</v>
      </c>
      <c r="O142" s="125"/>
    </row>
    <row r="143" spans="1:15" x14ac:dyDescent="0.35">
      <c r="A143" s="125">
        <v>232</v>
      </c>
      <c r="B143" s="125" t="s">
        <v>84</v>
      </c>
      <c r="C143" s="125" t="s">
        <v>693</v>
      </c>
      <c r="D143" s="125" t="s">
        <v>1</v>
      </c>
      <c r="E143" s="125">
        <v>800</v>
      </c>
      <c r="F143" s="125">
        <v>2.9499999999999998E-2</v>
      </c>
      <c r="G143" s="125"/>
      <c r="H143" s="128">
        <f t="shared" si="5"/>
        <v>1</v>
      </c>
      <c r="I143" s="125" t="s">
        <v>98</v>
      </c>
      <c r="J143" s="125" t="s">
        <v>687</v>
      </c>
      <c r="K143" s="125" t="s">
        <v>222</v>
      </c>
      <c r="L143" s="125" t="s">
        <v>76</v>
      </c>
      <c r="M143" s="125">
        <v>6</v>
      </c>
      <c r="N143" s="127">
        <v>12</v>
      </c>
      <c r="O143" s="125"/>
    </row>
    <row r="144" spans="1:15" x14ac:dyDescent="0.35">
      <c r="A144" s="125">
        <v>229</v>
      </c>
      <c r="B144" s="125" t="s">
        <v>84</v>
      </c>
      <c r="C144" s="125" t="s">
        <v>688</v>
      </c>
      <c r="D144" s="125" t="s">
        <v>1</v>
      </c>
      <c r="E144" s="125">
        <v>500</v>
      </c>
      <c r="F144" s="125">
        <v>2.5000000000000001E-2</v>
      </c>
      <c r="G144" s="125">
        <v>1.6299999999999999E-2</v>
      </c>
      <c r="H144" s="128">
        <f t="shared" si="5"/>
        <v>0.34800000000000009</v>
      </c>
      <c r="I144" s="125" t="s">
        <v>98</v>
      </c>
      <c r="J144" s="125" t="s">
        <v>689</v>
      </c>
      <c r="K144" s="125" t="s">
        <v>5</v>
      </c>
      <c r="L144" s="125" t="s">
        <v>1402</v>
      </c>
      <c r="M144" s="125">
        <v>42</v>
      </c>
      <c r="N144" s="127">
        <v>12</v>
      </c>
      <c r="O144" s="125"/>
    </row>
    <row r="145" spans="1:15" x14ac:dyDescent="0.35">
      <c r="A145" s="125">
        <v>283</v>
      </c>
      <c r="B145" s="125" t="s">
        <v>0</v>
      </c>
      <c r="C145" s="125" t="s">
        <v>741</v>
      </c>
      <c r="D145" s="125" t="s">
        <v>1</v>
      </c>
      <c r="E145" s="125">
        <v>2500</v>
      </c>
      <c r="F145" s="125">
        <v>4.7999999999999996E-3</v>
      </c>
      <c r="G145" s="125">
        <v>3.7000000000000002E-3</v>
      </c>
      <c r="H145" s="128">
        <f t="shared" si="5"/>
        <v>0.22916666666666657</v>
      </c>
      <c r="I145" s="125" t="s">
        <v>98</v>
      </c>
      <c r="J145" s="125" t="s">
        <v>689</v>
      </c>
      <c r="K145" s="125"/>
      <c r="L145" s="125"/>
      <c r="M145" s="125">
        <v>72</v>
      </c>
      <c r="N145" s="127"/>
      <c r="O145" s="125"/>
    </row>
    <row r="146" spans="1:15" x14ac:dyDescent="0.35">
      <c r="A146" s="125">
        <v>464</v>
      </c>
      <c r="B146" s="125" t="s">
        <v>84</v>
      </c>
      <c r="C146" s="125" t="s">
        <v>844</v>
      </c>
      <c r="D146" s="125" t="s">
        <v>1</v>
      </c>
      <c r="E146" s="125">
        <v>3300</v>
      </c>
      <c r="F146" s="125">
        <v>2.0999999999999999E-3</v>
      </c>
      <c r="G146" s="125"/>
      <c r="H146" s="128">
        <f t="shared" si="5"/>
        <v>1</v>
      </c>
      <c r="I146" s="125" t="s">
        <v>98</v>
      </c>
      <c r="J146" s="125" t="s">
        <v>689</v>
      </c>
      <c r="K146" s="125" t="s">
        <v>5</v>
      </c>
      <c r="L146" s="125" t="s">
        <v>1402</v>
      </c>
      <c r="M146" s="125">
        <v>35</v>
      </c>
      <c r="N146" s="127">
        <v>16</v>
      </c>
      <c r="O146" s="125"/>
    </row>
    <row r="147" spans="1:15" x14ac:dyDescent="0.35">
      <c r="A147" s="125">
        <v>472</v>
      </c>
      <c r="B147" s="125" t="s">
        <v>0</v>
      </c>
      <c r="C147" s="125" t="s">
        <v>848</v>
      </c>
      <c r="D147" s="125" t="s">
        <v>1</v>
      </c>
      <c r="E147" s="125">
        <v>2800</v>
      </c>
      <c r="F147" s="125">
        <v>5.4000000000000003E-3</v>
      </c>
      <c r="G147" s="125">
        <v>4.1000000000000003E-3</v>
      </c>
      <c r="H147" s="128">
        <f t="shared" si="5"/>
        <v>0.24074074074074073</v>
      </c>
      <c r="I147" s="125" t="s">
        <v>98</v>
      </c>
      <c r="J147" s="125" t="s">
        <v>689</v>
      </c>
      <c r="K147" s="125" t="s">
        <v>105</v>
      </c>
      <c r="L147" s="125" t="s">
        <v>76</v>
      </c>
      <c r="M147" s="125">
        <v>25</v>
      </c>
      <c r="N147" s="127">
        <v>17</v>
      </c>
      <c r="O147" s="125"/>
    </row>
    <row r="148" spans="1:15" x14ac:dyDescent="0.35">
      <c r="A148" s="125">
        <v>633</v>
      </c>
      <c r="B148" s="125" t="s">
        <v>0</v>
      </c>
      <c r="C148" s="125" t="s">
        <v>910</v>
      </c>
      <c r="D148" s="125" t="s">
        <v>1</v>
      </c>
      <c r="E148" s="125">
        <v>2400</v>
      </c>
      <c r="F148" s="125">
        <v>7.1999999999999998E-3</v>
      </c>
      <c r="G148" s="125">
        <v>5.5999999999999999E-3</v>
      </c>
      <c r="H148" s="128">
        <f t="shared" si="5"/>
        <v>0.22222222222222221</v>
      </c>
      <c r="I148" s="125" t="s">
        <v>98</v>
      </c>
      <c r="J148" s="125" t="s">
        <v>689</v>
      </c>
      <c r="K148" s="125" t="s">
        <v>90</v>
      </c>
      <c r="L148" s="125" t="s">
        <v>1402</v>
      </c>
      <c r="M148" s="125">
        <v>2</v>
      </c>
      <c r="N148" s="127">
        <v>35</v>
      </c>
      <c r="O148" s="125"/>
    </row>
    <row r="149" spans="1:15" x14ac:dyDescent="0.35">
      <c r="A149" s="125">
        <v>231</v>
      </c>
      <c r="B149" s="125" t="s">
        <v>84</v>
      </c>
      <c r="C149" s="125" t="s">
        <v>691</v>
      </c>
      <c r="D149" s="125" t="s">
        <v>1</v>
      </c>
      <c r="E149" s="125">
        <v>800</v>
      </c>
      <c r="F149" s="125">
        <v>2.9499999999999998E-2</v>
      </c>
      <c r="G149" s="125"/>
      <c r="H149" s="128">
        <f t="shared" si="5"/>
        <v>1</v>
      </c>
      <c r="I149" s="125" t="s">
        <v>98</v>
      </c>
      <c r="J149" s="125" t="s">
        <v>692</v>
      </c>
      <c r="K149" s="125" t="s">
        <v>105</v>
      </c>
      <c r="L149" s="125" t="s">
        <v>76</v>
      </c>
      <c r="M149" s="125">
        <v>9</v>
      </c>
      <c r="N149" s="127">
        <v>26</v>
      </c>
      <c r="O149" s="125"/>
    </row>
    <row r="150" spans="1:15" x14ac:dyDescent="0.35">
      <c r="A150" s="125">
        <v>468</v>
      </c>
      <c r="B150" s="125" t="s">
        <v>0</v>
      </c>
      <c r="C150" s="125" t="s">
        <v>846</v>
      </c>
      <c r="D150" s="125" t="s">
        <v>1</v>
      </c>
      <c r="E150" s="125">
        <v>4000</v>
      </c>
      <c r="F150" s="125">
        <v>5.1000000000000004E-3</v>
      </c>
      <c r="G150" s="125">
        <v>3.8999999999999998E-3</v>
      </c>
      <c r="H150" s="128">
        <f t="shared" si="5"/>
        <v>0.2352941176470589</v>
      </c>
      <c r="I150" s="125" t="s">
        <v>98</v>
      </c>
      <c r="J150" s="125" t="s">
        <v>692</v>
      </c>
      <c r="K150" s="125" t="s">
        <v>261</v>
      </c>
      <c r="L150" s="125" t="s">
        <v>76</v>
      </c>
      <c r="M150" s="125">
        <v>6</v>
      </c>
      <c r="N150" s="127">
        <v>17</v>
      </c>
      <c r="O150" s="125"/>
    </row>
    <row r="151" spans="1:15" x14ac:dyDescent="0.35">
      <c r="A151" s="125">
        <v>562</v>
      </c>
      <c r="B151" s="125" t="s">
        <v>0</v>
      </c>
      <c r="C151" s="125" t="s">
        <v>877</v>
      </c>
      <c r="D151" s="125" t="s">
        <v>1</v>
      </c>
      <c r="E151" s="125">
        <v>900</v>
      </c>
      <c r="F151" s="125">
        <v>2.0500000000000001E-2</v>
      </c>
      <c r="G151" s="125">
        <v>1.4800000000000001E-2</v>
      </c>
      <c r="H151" s="128">
        <f t="shared" si="5"/>
        <v>0.2780487804878049</v>
      </c>
      <c r="I151" s="125" t="s">
        <v>98</v>
      </c>
      <c r="J151" s="125" t="s">
        <v>692</v>
      </c>
      <c r="K151" s="125" t="s">
        <v>261</v>
      </c>
      <c r="L151" s="125" t="s">
        <v>76</v>
      </c>
      <c r="M151" s="125">
        <v>6</v>
      </c>
      <c r="N151" s="127"/>
      <c r="O151" s="125"/>
    </row>
    <row r="152" spans="1:15" x14ac:dyDescent="0.35">
      <c r="A152" s="125">
        <v>395</v>
      </c>
      <c r="B152" s="125" t="s">
        <v>0</v>
      </c>
      <c r="C152" s="125" t="s">
        <v>818</v>
      </c>
      <c r="D152" s="125" t="s">
        <v>1</v>
      </c>
      <c r="E152" s="125">
        <v>130</v>
      </c>
      <c r="F152" s="125">
        <v>3.6299999999999999E-2</v>
      </c>
      <c r="G152" s="125">
        <v>2.7E-2</v>
      </c>
      <c r="H152" s="128">
        <f t="shared" si="5"/>
        <v>0.256198347107438</v>
      </c>
      <c r="I152" s="125" t="s">
        <v>98</v>
      </c>
      <c r="J152" s="125" t="s">
        <v>570</v>
      </c>
      <c r="K152" s="125" t="s">
        <v>105</v>
      </c>
      <c r="L152" s="125" t="s">
        <v>76</v>
      </c>
      <c r="M152" s="125">
        <v>6</v>
      </c>
      <c r="N152" s="127">
        <v>30</v>
      </c>
      <c r="O152" s="125"/>
    </row>
    <row r="153" spans="1:15" x14ac:dyDescent="0.35">
      <c r="A153" s="125">
        <v>227</v>
      </c>
      <c r="B153" s="125" t="s">
        <v>0</v>
      </c>
      <c r="C153" s="125" t="s">
        <v>684</v>
      </c>
      <c r="D153" s="125" t="s">
        <v>1</v>
      </c>
      <c r="E153" s="125">
        <v>720</v>
      </c>
      <c r="F153" s="125">
        <v>3.5400000000000001E-2</v>
      </c>
      <c r="G153" s="125">
        <v>2.8899999999999999E-2</v>
      </c>
      <c r="H153" s="128">
        <f t="shared" si="5"/>
        <v>0.1836158192090396</v>
      </c>
      <c r="I153" s="125" t="s">
        <v>98</v>
      </c>
      <c r="J153" s="125" t="s">
        <v>685</v>
      </c>
      <c r="K153" s="125" t="s">
        <v>222</v>
      </c>
      <c r="L153" s="125" t="s">
        <v>76</v>
      </c>
      <c r="M153" s="125">
        <v>20</v>
      </c>
      <c r="N153" s="127">
        <v>10</v>
      </c>
      <c r="O153" s="125"/>
    </row>
    <row r="154" spans="1:15" x14ac:dyDescent="0.35">
      <c r="A154" s="125">
        <v>230</v>
      </c>
      <c r="B154" s="125" t="s">
        <v>84</v>
      </c>
      <c r="C154" s="125" t="s">
        <v>690</v>
      </c>
      <c r="D154" s="125" t="s">
        <v>1</v>
      </c>
      <c r="E154" s="125">
        <v>720</v>
      </c>
      <c r="F154" s="125">
        <v>3.5400000000000001E-2</v>
      </c>
      <c r="G154" s="125">
        <v>2.8899999999999999E-2</v>
      </c>
      <c r="H154" s="128">
        <f t="shared" si="5"/>
        <v>0.1836158192090396</v>
      </c>
      <c r="I154" s="125" t="s">
        <v>98</v>
      </c>
      <c r="J154" s="125" t="s">
        <v>685</v>
      </c>
      <c r="K154" s="125" t="s">
        <v>305</v>
      </c>
      <c r="L154" s="125" t="s">
        <v>1402</v>
      </c>
      <c r="M154" s="125">
        <v>18</v>
      </c>
      <c r="N154" s="127">
        <v>28</v>
      </c>
      <c r="O154" s="125"/>
    </row>
    <row r="155" spans="1:15" x14ac:dyDescent="0.35">
      <c r="A155" s="125">
        <v>434</v>
      </c>
      <c r="B155" s="125" t="s">
        <v>0</v>
      </c>
      <c r="C155" s="125" t="s">
        <v>831</v>
      </c>
      <c r="D155" s="125" t="s">
        <v>1</v>
      </c>
      <c r="E155" s="125">
        <v>960</v>
      </c>
      <c r="F155" s="125">
        <v>1.2699999999999999E-2</v>
      </c>
      <c r="G155" s="125">
        <v>9.1000000000000004E-3</v>
      </c>
      <c r="H155" s="128">
        <f t="shared" si="5"/>
        <v>0.2834645669291338</v>
      </c>
      <c r="I155" s="125" t="s">
        <v>98</v>
      </c>
      <c r="J155" s="125" t="s">
        <v>495</v>
      </c>
      <c r="K155" s="125" t="s">
        <v>105</v>
      </c>
      <c r="L155" s="125" t="s">
        <v>76</v>
      </c>
      <c r="M155" s="125">
        <v>16</v>
      </c>
      <c r="N155" s="127">
        <v>24</v>
      </c>
      <c r="O155" s="125"/>
    </row>
    <row r="156" spans="1:15" x14ac:dyDescent="0.35">
      <c r="A156" s="125">
        <v>744</v>
      </c>
      <c r="B156" s="125" t="s">
        <v>0</v>
      </c>
      <c r="C156" s="125" t="s">
        <v>1004</v>
      </c>
      <c r="D156" s="125" t="s">
        <v>1</v>
      </c>
      <c r="E156" s="125">
        <v>750</v>
      </c>
      <c r="F156" s="125">
        <v>4.0099999999999997E-2</v>
      </c>
      <c r="G156" s="125">
        <v>3.3099999999999997E-2</v>
      </c>
      <c r="H156" s="128">
        <f t="shared" ref="H156:H187" si="6">(F156-G156)/F156</f>
        <v>0.1745635910224439</v>
      </c>
      <c r="I156" s="125" t="s">
        <v>98</v>
      </c>
      <c r="J156" s="125" t="s">
        <v>495</v>
      </c>
      <c r="K156" s="125" t="s">
        <v>413</v>
      </c>
      <c r="L156" s="125" t="s">
        <v>76</v>
      </c>
      <c r="M156" s="125">
        <v>3</v>
      </c>
      <c r="N156" s="127">
        <v>45</v>
      </c>
      <c r="O156" s="125"/>
    </row>
    <row r="157" spans="1:15" x14ac:dyDescent="0.35">
      <c r="A157" s="125">
        <v>748</v>
      </c>
      <c r="B157" s="125" t="s">
        <v>0</v>
      </c>
      <c r="C157" s="125" t="s">
        <v>1010</v>
      </c>
      <c r="D157" s="125" t="s">
        <v>1</v>
      </c>
      <c r="E157" s="125">
        <v>750</v>
      </c>
      <c r="F157" s="125">
        <v>4.0099999999999997E-2</v>
      </c>
      <c r="G157" s="125">
        <v>3.3099999999999997E-2</v>
      </c>
      <c r="H157" s="128">
        <f t="shared" si="6"/>
        <v>0.1745635910224439</v>
      </c>
      <c r="I157" s="125" t="s">
        <v>98</v>
      </c>
      <c r="J157" s="125" t="s">
        <v>495</v>
      </c>
      <c r="K157" s="125" t="s">
        <v>413</v>
      </c>
      <c r="L157" s="125" t="s">
        <v>76</v>
      </c>
      <c r="M157" s="125">
        <v>3</v>
      </c>
      <c r="N157" s="127">
        <v>45</v>
      </c>
      <c r="O157" s="125"/>
    </row>
    <row r="158" spans="1:15" x14ac:dyDescent="0.35">
      <c r="A158" s="125">
        <v>27</v>
      </c>
      <c r="B158" s="125" t="s">
        <v>84</v>
      </c>
      <c r="C158" s="125" t="s">
        <v>576</v>
      </c>
      <c r="D158" s="125" t="s">
        <v>1</v>
      </c>
      <c r="E158" s="125">
        <v>1300</v>
      </c>
      <c r="F158" s="125">
        <v>1.2999999999999999E-2</v>
      </c>
      <c r="G158" s="125"/>
      <c r="H158" s="128">
        <f t="shared" si="6"/>
        <v>1</v>
      </c>
      <c r="I158" s="125" t="s">
        <v>98</v>
      </c>
      <c r="J158" s="125" t="s">
        <v>418</v>
      </c>
      <c r="K158" s="125" t="s">
        <v>222</v>
      </c>
      <c r="L158" s="125" t="s">
        <v>76</v>
      </c>
      <c r="M158" s="125">
        <v>28</v>
      </c>
      <c r="N158" s="127"/>
      <c r="O158" s="125"/>
    </row>
    <row r="159" spans="1:15" x14ac:dyDescent="0.35">
      <c r="A159" s="125">
        <v>28</v>
      </c>
      <c r="B159" s="125" t="s">
        <v>84</v>
      </c>
      <c r="C159" s="125" t="s">
        <v>577</v>
      </c>
      <c r="D159" s="125" t="s">
        <v>1</v>
      </c>
      <c r="E159" s="125">
        <v>2800</v>
      </c>
      <c r="F159" s="125">
        <v>7.7999999999999996E-3</v>
      </c>
      <c r="G159" s="125"/>
      <c r="H159" s="128">
        <f t="shared" si="6"/>
        <v>1</v>
      </c>
      <c r="I159" s="125" t="s">
        <v>98</v>
      </c>
      <c r="J159" s="125" t="s">
        <v>418</v>
      </c>
      <c r="K159" s="125" t="s">
        <v>5</v>
      </c>
      <c r="L159" s="125" t="s">
        <v>1402</v>
      </c>
      <c r="M159" s="125">
        <v>24</v>
      </c>
      <c r="N159" s="127">
        <v>14</v>
      </c>
      <c r="O159" s="125"/>
    </row>
    <row r="160" spans="1:15" x14ac:dyDescent="0.35">
      <c r="A160" s="125">
        <v>445</v>
      </c>
      <c r="B160" s="125" t="s">
        <v>0</v>
      </c>
      <c r="C160" s="125" t="s">
        <v>839</v>
      </c>
      <c r="D160" s="125" t="s">
        <v>1</v>
      </c>
      <c r="E160" s="125">
        <v>2000</v>
      </c>
      <c r="F160" s="125">
        <v>8.2000000000000007E-3</v>
      </c>
      <c r="G160" s="125">
        <v>6.1000000000000004E-3</v>
      </c>
      <c r="H160" s="128">
        <f t="shared" si="6"/>
        <v>0.25609756097560976</v>
      </c>
      <c r="I160" s="125" t="s">
        <v>98</v>
      </c>
      <c r="J160" s="125" t="s">
        <v>418</v>
      </c>
      <c r="K160" s="125" t="s">
        <v>163</v>
      </c>
      <c r="L160" s="125" t="s">
        <v>6</v>
      </c>
      <c r="M160" s="125">
        <v>25</v>
      </c>
      <c r="N160" s="127"/>
      <c r="O160" s="125"/>
    </row>
    <row r="161" spans="1:15" x14ac:dyDescent="0.35">
      <c r="A161" s="125">
        <v>619</v>
      </c>
      <c r="B161" s="125" t="s">
        <v>84</v>
      </c>
      <c r="C161" s="125" t="s">
        <v>904</v>
      </c>
      <c r="D161" s="125" t="s">
        <v>1</v>
      </c>
      <c r="E161" s="125">
        <v>900</v>
      </c>
      <c r="F161" s="125">
        <v>4.7999999999999996E-3</v>
      </c>
      <c r="G161" s="125"/>
      <c r="H161" s="128">
        <f t="shared" si="6"/>
        <v>1</v>
      </c>
      <c r="I161" s="125" t="s">
        <v>98</v>
      </c>
      <c r="J161" s="125" t="s">
        <v>418</v>
      </c>
      <c r="K161" s="125" t="s">
        <v>222</v>
      </c>
      <c r="L161" s="125" t="s">
        <v>1402</v>
      </c>
      <c r="M161" s="125">
        <v>35</v>
      </c>
      <c r="N161" s="127">
        <v>10</v>
      </c>
      <c r="O161" s="125"/>
    </row>
    <row r="162" spans="1:15" x14ac:dyDescent="0.35">
      <c r="A162" s="125">
        <v>630</v>
      </c>
      <c r="B162" s="125" t="s">
        <v>0</v>
      </c>
      <c r="C162" s="125" t="s">
        <v>906</v>
      </c>
      <c r="D162" s="125" t="s">
        <v>1</v>
      </c>
      <c r="E162" s="125">
        <v>4500</v>
      </c>
      <c r="F162" s="125">
        <v>6.0000000000000001E-3</v>
      </c>
      <c r="G162" s="125">
        <v>4.5999999999999999E-3</v>
      </c>
      <c r="H162" s="128">
        <f t="shared" si="6"/>
        <v>0.23333333333333336</v>
      </c>
      <c r="I162" s="125" t="s">
        <v>98</v>
      </c>
      <c r="J162" s="125" t="s">
        <v>418</v>
      </c>
      <c r="K162" s="125" t="s">
        <v>222</v>
      </c>
      <c r="L162" s="125" t="s">
        <v>76</v>
      </c>
      <c r="M162" s="125">
        <v>60</v>
      </c>
      <c r="N162" s="127">
        <v>7</v>
      </c>
      <c r="O162" s="125"/>
    </row>
    <row r="163" spans="1:15" x14ac:dyDescent="0.35">
      <c r="A163" s="125">
        <v>643</v>
      </c>
      <c r="B163" s="125" t="s">
        <v>0</v>
      </c>
      <c r="C163" s="125" t="s">
        <v>913</v>
      </c>
      <c r="D163" s="125" t="s">
        <v>1</v>
      </c>
      <c r="E163" s="125">
        <v>7000</v>
      </c>
      <c r="F163" s="125">
        <v>3.5999999999999999E-3</v>
      </c>
      <c r="G163" s="125">
        <v>2.5999999999999999E-3</v>
      </c>
      <c r="H163" s="128">
        <f t="shared" si="6"/>
        <v>0.27777777777777779</v>
      </c>
      <c r="I163" s="125" t="s">
        <v>98</v>
      </c>
      <c r="J163" s="125" t="s">
        <v>418</v>
      </c>
      <c r="K163" s="125" t="s">
        <v>5</v>
      </c>
      <c r="L163" s="125" t="s">
        <v>1402</v>
      </c>
      <c r="M163" s="125">
        <v>35</v>
      </c>
      <c r="N163" s="127">
        <v>16</v>
      </c>
      <c r="O163" s="125"/>
    </row>
    <row r="164" spans="1:15" x14ac:dyDescent="0.35">
      <c r="A164" s="125">
        <v>876</v>
      </c>
      <c r="B164" s="125" t="s">
        <v>0</v>
      </c>
      <c r="C164" s="125" t="s">
        <v>1076</v>
      </c>
      <c r="D164" s="125" t="s">
        <v>1</v>
      </c>
      <c r="E164" s="125">
        <v>2250</v>
      </c>
      <c r="F164" s="125">
        <v>6.4999999999999997E-3</v>
      </c>
      <c r="G164" s="125">
        <v>5.1000000000000004E-3</v>
      </c>
      <c r="H164" s="128">
        <f t="shared" si="6"/>
        <v>0.21538461538461529</v>
      </c>
      <c r="I164" s="125" t="s">
        <v>98</v>
      </c>
      <c r="J164" s="125" t="s">
        <v>418</v>
      </c>
      <c r="K164" s="125" t="s">
        <v>5</v>
      </c>
      <c r="L164" s="125" t="s">
        <v>1402</v>
      </c>
      <c r="M164" s="125">
        <v>20</v>
      </c>
      <c r="N164" s="127">
        <v>16</v>
      </c>
      <c r="O164" s="125"/>
    </row>
    <row r="165" spans="1:15" x14ac:dyDescent="0.35">
      <c r="A165" s="125">
        <v>879</v>
      </c>
      <c r="B165" s="125" t="s">
        <v>0</v>
      </c>
      <c r="C165" s="125" t="s">
        <v>1078</v>
      </c>
      <c r="D165" s="125" t="s">
        <v>1</v>
      </c>
      <c r="E165" s="125">
        <v>900</v>
      </c>
      <c r="F165" s="125">
        <v>1.03E-2</v>
      </c>
      <c r="G165" s="125">
        <v>8.0000000000000002E-3</v>
      </c>
      <c r="H165" s="128">
        <f t="shared" si="6"/>
        <v>0.22330097087378639</v>
      </c>
      <c r="I165" s="125" t="s">
        <v>98</v>
      </c>
      <c r="J165" s="125" t="s">
        <v>418</v>
      </c>
      <c r="K165" s="125" t="s">
        <v>105</v>
      </c>
      <c r="L165" s="125" t="s">
        <v>76</v>
      </c>
      <c r="M165" s="125">
        <v>30</v>
      </c>
      <c r="N165" s="127">
        <v>20</v>
      </c>
      <c r="O165" s="125"/>
    </row>
    <row r="166" spans="1:15" x14ac:dyDescent="0.35">
      <c r="A166" s="125">
        <v>967</v>
      </c>
      <c r="B166" s="125" t="s">
        <v>0</v>
      </c>
      <c r="C166" s="125" t="s">
        <v>1118</v>
      </c>
      <c r="D166" s="125" t="s">
        <v>1</v>
      </c>
      <c r="E166" s="125">
        <v>1700</v>
      </c>
      <c r="F166" s="125">
        <v>7.7000000000000002E-3</v>
      </c>
      <c r="G166" s="125">
        <v>6.1999999999999998E-3</v>
      </c>
      <c r="H166" s="128">
        <f t="shared" si="6"/>
        <v>0.19480519480519487</v>
      </c>
      <c r="I166" s="125" t="s">
        <v>98</v>
      </c>
      <c r="J166" s="125" t="s">
        <v>418</v>
      </c>
      <c r="K166" s="125" t="s">
        <v>222</v>
      </c>
      <c r="L166" s="125" t="s">
        <v>76</v>
      </c>
      <c r="M166" s="125">
        <v>42</v>
      </c>
      <c r="N166" s="127">
        <v>10</v>
      </c>
      <c r="O166" s="125"/>
    </row>
    <row r="167" spans="1:15" x14ac:dyDescent="0.35">
      <c r="A167" s="125">
        <v>969</v>
      </c>
      <c r="B167" s="125" t="s">
        <v>0</v>
      </c>
      <c r="C167" s="125" t="s">
        <v>1119</v>
      </c>
      <c r="D167" s="125" t="s">
        <v>1</v>
      </c>
      <c r="E167" s="125">
        <v>4000</v>
      </c>
      <c r="F167" s="125">
        <v>5.3E-3</v>
      </c>
      <c r="G167" s="125">
        <v>4.4999999999999997E-3</v>
      </c>
      <c r="H167" s="128">
        <f t="shared" si="6"/>
        <v>0.15094339622641517</v>
      </c>
      <c r="I167" s="125" t="s">
        <v>98</v>
      </c>
      <c r="J167" s="125" t="s">
        <v>418</v>
      </c>
      <c r="K167" s="125" t="s">
        <v>105</v>
      </c>
      <c r="L167" s="125" t="s">
        <v>76</v>
      </c>
      <c r="M167" s="125">
        <v>72</v>
      </c>
      <c r="N167" s="127">
        <v>7</v>
      </c>
      <c r="O167" s="125"/>
    </row>
    <row r="168" spans="1:15" x14ac:dyDescent="0.35">
      <c r="A168" s="125">
        <v>971</v>
      </c>
      <c r="B168" s="125" t="s">
        <v>0</v>
      </c>
      <c r="C168" s="125" t="s">
        <v>1120</v>
      </c>
      <c r="D168" s="125" t="s">
        <v>1</v>
      </c>
      <c r="E168" s="125">
        <v>5800</v>
      </c>
      <c r="F168" s="125">
        <v>3.0999999999999999E-3</v>
      </c>
      <c r="G168" s="125">
        <v>2.7000000000000001E-3</v>
      </c>
      <c r="H168" s="128">
        <f t="shared" si="6"/>
        <v>0.12903225806451604</v>
      </c>
      <c r="I168" s="125" t="s">
        <v>98</v>
      </c>
      <c r="J168" s="125" t="s">
        <v>418</v>
      </c>
      <c r="K168" s="125" t="s">
        <v>5</v>
      </c>
      <c r="L168" s="125" t="s">
        <v>1402</v>
      </c>
      <c r="M168" s="125">
        <v>10</v>
      </c>
      <c r="N168" s="127">
        <v>44</v>
      </c>
      <c r="O168" s="125"/>
    </row>
    <row r="169" spans="1:15" x14ac:dyDescent="0.35">
      <c r="A169" s="125">
        <v>444</v>
      </c>
      <c r="B169" s="125" t="s">
        <v>0</v>
      </c>
      <c r="C169" s="125" t="s">
        <v>837</v>
      </c>
      <c r="D169" s="125" t="s">
        <v>1</v>
      </c>
      <c r="E169" s="125">
        <v>1200</v>
      </c>
      <c r="F169" s="125">
        <v>1.1599999999999999E-2</v>
      </c>
      <c r="G169" s="125">
        <v>8.9999999999999993E-3</v>
      </c>
      <c r="H169" s="128">
        <f t="shared" si="6"/>
        <v>0.22413793103448276</v>
      </c>
      <c r="I169" s="125" t="s">
        <v>98</v>
      </c>
      <c r="J169" s="125" t="s">
        <v>838</v>
      </c>
      <c r="K169" s="125" t="s">
        <v>105</v>
      </c>
      <c r="L169" s="125" t="s">
        <v>76</v>
      </c>
      <c r="M169" s="125">
        <v>30</v>
      </c>
      <c r="N169" s="127">
        <v>15</v>
      </c>
      <c r="O169" s="125"/>
    </row>
    <row r="170" spans="1:15" x14ac:dyDescent="0.35">
      <c r="A170" s="125">
        <v>515</v>
      </c>
      <c r="B170" s="125" t="s">
        <v>84</v>
      </c>
      <c r="C170" s="125" t="s">
        <v>856</v>
      </c>
      <c r="D170" s="125" t="s">
        <v>1</v>
      </c>
      <c r="E170" s="125">
        <v>2000</v>
      </c>
      <c r="F170" s="125">
        <v>1.2200000000000001E-2</v>
      </c>
      <c r="G170" s="125">
        <v>9.7999999999999997E-3</v>
      </c>
      <c r="H170" s="128">
        <f t="shared" si="6"/>
        <v>0.19672131147540992</v>
      </c>
      <c r="I170" s="125" t="s">
        <v>98</v>
      </c>
      <c r="J170" s="125" t="s">
        <v>838</v>
      </c>
      <c r="K170" s="125" t="s">
        <v>105</v>
      </c>
      <c r="L170" s="125" t="s">
        <v>76</v>
      </c>
      <c r="M170" s="125">
        <v>6</v>
      </c>
      <c r="N170" s="127">
        <v>26</v>
      </c>
      <c r="O170" s="125"/>
    </row>
    <row r="171" spans="1:15" x14ac:dyDescent="0.35">
      <c r="A171" s="125">
        <v>942</v>
      </c>
      <c r="B171" s="125" t="s">
        <v>0</v>
      </c>
      <c r="C171" s="125" t="s">
        <v>1108</v>
      </c>
      <c r="D171" s="125" t="s">
        <v>1</v>
      </c>
      <c r="E171" s="125">
        <v>2400</v>
      </c>
      <c r="F171" s="125">
        <v>8.0999999999999996E-3</v>
      </c>
      <c r="G171" s="125">
        <v>6.4000000000000003E-3</v>
      </c>
      <c r="H171" s="128">
        <f t="shared" si="6"/>
        <v>0.20987654320987648</v>
      </c>
      <c r="I171" s="125" t="s">
        <v>98</v>
      </c>
      <c r="J171" s="125" t="s">
        <v>838</v>
      </c>
      <c r="K171" s="125" t="s">
        <v>222</v>
      </c>
      <c r="L171" s="125" t="s">
        <v>76</v>
      </c>
      <c r="M171" s="125">
        <v>25</v>
      </c>
      <c r="N171" s="127">
        <v>21</v>
      </c>
      <c r="O171" s="125"/>
    </row>
    <row r="172" spans="1:15" x14ac:dyDescent="0.35">
      <c r="A172" s="125">
        <v>1038</v>
      </c>
      <c r="B172" s="125" t="s">
        <v>0</v>
      </c>
      <c r="C172" s="125" t="s">
        <v>1147</v>
      </c>
      <c r="D172" s="125" t="s">
        <v>1</v>
      </c>
      <c r="E172" s="125">
        <v>1300</v>
      </c>
      <c r="F172" s="125">
        <v>1.2E-2</v>
      </c>
      <c r="G172" s="125">
        <v>9.9000000000000008E-3</v>
      </c>
      <c r="H172" s="128">
        <f t="shared" si="6"/>
        <v>0.17499999999999996</v>
      </c>
      <c r="I172" s="125" t="s">
        <v>98</v>
      </c>
      <c r="J172" s="125" t="s">
        <v>1148</v>
      </c>
      <c r="K172" s="125" t="s">
        <v>105</v>
      </c>
      <c r="L172" s="125" t="s">
        <v>76</v>
      </c>
      <c r="M172" s="125">
        <v>16</v>
      </c>
      <c r="N172" s="127">
        <v>15</v>
      </c>
      <c r="O172" s="125"/>
    </row>
    <row r="173" spans="1:15" x14ac:dyDescent="0.35">
      <c r="A173" s="125">
        <v>638</v>
      </c>
      <c r="B173" s="125" t="s">
        <v>0</v>
      </c>
      <c r="C173" s="125" t="s">
        <v>911</v>
      </c>
      <c r="D173" s="125" t="s">
        <v>1</v>
      </c>
      <c r="E173" s="125">
        <v>700</v>
      </c>
      <c r="F173" s="125">
        <v>1.6E-2</v>
      </c>
      <c r="G173" s="125">
        <v>1.32E-2</v>
      </c>
      <c r="H173" s="128">
        <f t="shared" si="6"/>
        <v>0.17500000000000002</v>
      </c>
      <c r="I173" s="125" t="s">
        <v>98</v>
      </c>
      <c r="J173" s="125" t="s">
        <v>912</v>
      </c>
      <c r="K173" s="125" t="s">
        <v>163</v>
      </c>
      <c r="L173" s="125" t="s">
        <v>6</v>
      </c>
      <c r="M173" s="125">
        <v>12</v>
      </c>
      <c r="N173" s="127">
        <v>30</v>
      </c>
      <c r="O173" s="125"/>
    </row>
    <row r="174" spans="1:15" x14ac:dyDescent="0.35">
      <c r="A174" s="125">
        <v>800</v>
      </c>
      <c r="B174" s="125" t="s">
        <v>0</v>
      </c>
      <c r="C174" s="125" t="s">
        <v>1025</v>
      </c>
      <c r="D174" s="125" t="s">
        <v>1</v>
      </c>
      <c r="E174" s="125">
        <v>700</v>
      </c>
      <c r="F174" s="125">
        <v>1.6E-2</v>
      </c>
      <c r="G174" s="125">
        <v>1.32E-2</v>
      </c>
      <c r="H174" s="128">
        <f t="shared" si="6"/>
        <v>0.17500000000000002</v>
      </c>
      <c r="I174" s="125" t="s">
        <v>98</v>
      </c>
      <c r="J174" s="125" t="s">
        <v>912</v>
      </c>
      <c r="K174" s="125" t="s">
        <v>105</v>
      </c>
      <c r="L174" s="125" t="s">
        <v>76</v>
      </c>
      <c r="M174" s="125">
        <v>16</v>
      </c>
      <c r="N174" s="127">
        <v>40</v>
      </c>
      <c r="O174" s="125"/>
    </row>
    <row r="175" spans="1:15" x14ac:dyDescent="0.35">
      <c r="A175" s="125">
        <v>846</v>
      </c>
      <c r="B175" s="125" t="s">
        <v>0</v>
      </c>
      <c r="C175" s="125" t="s">
        <v>1061</v>
      </c>
      <c r="D175" s="125" t="s">
        <v>1</v>
      </c>
      <c r="E175" s="125">
        <v>450</v>
      </c>
      <c r="F175" s="125">
        <v>2.23E-2</v>
      </c>
      <c r="G175" s="125">
        <v>1.41E-2</v>
      </c>
      <c r="H175" s="128">
        <f t="shared" si="6"/>
        <v>0.36771300448430494</v>
      </c>
      <c r="I175" s="125" t="s">
        <v>98</v>
      </c>
      <c r="J175" s="125" t="s">
        <v>912</v>
      </c>
      <c r="K175" s="125" t="s">
        <v>982</v>
      </c>
      <c r="L175" s="125" t="s">
        <v>983</v>
      </c>
      <c r="M175" s="125">
        <v>24</v>
      </c>
      <c r="N175" s="127">
        <v>40</v>
      </c>
      <c r="O175" s="125"/>
    </row>
    <row r="176" spans="1:15" x14ac:dyDescent="0.35">
      <c r="A176" s="125">
        <v>966</v>
      </c>
      <c r="B176" s="125" t="s">
        <v>0</v>
      </c>
      <c r="C176" s="125" t="s">
        <v>1117</v>
      </c>
      <c r="D176" s="125" t="s">
        <v>1</v>
      </c>
      <c r="E176" s="125">
        <v>700</v>
      </c>
      <c r="F176" s="125">
        <v>1.6E-2</v>
      </c>
      <c r="G176" s="125">
        <v>1.32E-2</v>
      </c>
      <c r="H176" s="128">
        <f t="shared" si="6"/>
        <v>0.17500000000000002</v>
      </c>
      <c r="I176" s="125" t="s">
        <v>98</v>
      </c>
      <c r="J176" s="125" t="s">
        <v>912</v>
      </c>
      <c r="K176" s="125" t="s">
        <v>435</v>
      </c>
      <c r="L176" s="125" t="s">
        <v>1057</v>
      </c>
      <c r="M176" s="125">
        <v>15</v>
      </c>
      <c r="N176" s="127">
        <v>28</v>
      </c>
      <c r="O176" s="125"/>
    </row>
    <row r="177" spans="1:15" x14ac:dyDescent="0.35">
      <c r="A177" s="125">
        <v>210</v>
      </c>
      <c r="B177" s="125" t="s">
        <v>0</v>
      </c>
      <c r="C177" s="125" t="s">
        <v>669</v>
      </c>
      <c r="D177" s="125" t="s">
        <v>1</v>
      </c>
      <c r="E177" s="125">
        <v>400</v>
      </c>
      <c r="F177" s="125">
        <v>2.5600000000000001E-2</v>
      </c>
      <c r="G177" s="125">
        <v>2.0500000000000001E-2</v>
      </c>
      <c r="H177" s="128">
        <f t="shared" si="6"/>
        <v>0.19921875</v>
      </c>
      <c r="I177" s="125" t="s">
        <v>98</v>
      </c>
      <c r="J177" s="125" t="s">
        <v>670</v>
      </c>
      <c r="K177" s="125" t="s">
        <v>105</v>
      </c>
      <c r="L177" s="125" t="s">
        <v>76</v>
      </c>
      <c r="M177" s="125">
        <v>27</v>
      </c>
      <c r="N177" s="127">
        <v>20</v>
      </c>
      <c r="O177" s="125"/>
    </row>
    <row r="178" spans="1:15" x14ac:dyDescent="0.35">
      <c r="A178" s="125">
        <v>646</v>
      </c>
      <c r="B178" s="125" t="s">
        <v>0</v>
      </c>
      <c r="C178" s="125" t="s">
        <v>915</v>
      </c>
      <c r="D178" s="125" t="s">
        <v>1</v>
      </c>
      <c r="E178" s="125">
        <v>2500</v>
      </c>
      <c r="F178" s="125">
        <v>9.7999999999999997E-3</v>
      </c>
      <c r="G178" s="125">
        <v>6.8999999999999999E-3</v>
      </c>
      <c r="H178" s="128">
        <f t="shared" si="6"/>
        <v>0.29591836734693877</v>
      </c>
      <c r="I178" s="125" t="s">
        <v>98</v>
      </c>
      <c r="J178" s="125" t="s">
        <v>670</v>
      </c>
      <c r="K178" s="125" t="s">
        <v>105</v>
      </c>
      <c r="L178" s="125" t="s">
        <v>76</v>
      </c>
      <c r="M178" s="125">
        <v>6</v>
      </c>
      <c r="N178" s="127">
        <v>30</v>
      </c>
      <c r="O178" s="125"/>
    </row>
    <row r="179" spans="1:15" x14ac:dyDescent="0.35">
      <c r="A179" s="125">
        <v>224</v>
      </c>
      <c r="B179" s="125" t="s">
        <v>84</v>
      </c>
      <c r="C179" s="125" t="s">
        <v>679</v>
      </c>
      <c r="D179" s="125" t="s">
        <v>1</v>
      </c>
      <c r="E179" s="125">
        <v>810</v>
      </c>
      <c r="F179" s="125">
        <v>3.0499999999999999E-2</v>
      </c>
      <c r="G179" s="125">
        <v>2.53E-2</v>
      </c>
      <c r="H179" s="128">
        <f t="shared" si="6"/>
        <v>0.17049180327868851</v>
      </c>
      <c r="I179" s="125" t="s">
        <v>98</v>
      </c>
      <c r="J179" s="125" t="s">
        <v>680</v>
      </c>
      <c r="K179" s="125" t="s">
        <v>222</v>
      </c>
      <c r="L179" s="125" t="s">
        <v>76</v>
      </c>
      <c r="M179" s="125">
        <v>6</v>
      </c>
      <c r="N179" s="127">
        <v>12</v>
      </c>
      <c r="O179" s="125"/>
    </row>
    <row r="180" spans="1:15" x14ac:dyDescent="0.35">
      <c r="A180" s="125">
        <v>207</v>
      </c>
      <c r="B180" s="125" t="s">
        <v>0</v>
      </c>
      <c r="C180" s="125" t="s">
        <v>663</v>
      </c>
      <c r="D180" s="125" t="s">
        <v>1</v>
      </c>
      <c r="E180" s="125">
        <v>800</v>
      </c>
      <c r="F180" s="125">
        <v>1.6500000000000001E-2</v>
      </c>
      <c r="G180" s="125">
        <v>1.4E-2</v>
      </c>
      <c r="H180" s="128">
        <f t="shared" si="6"/>
        <v>0.15151515151515155</v>
      </c>
      <c r="I180" s="125" t="s">
        <v>98</v>
      </c>
      <c r="J180" s="125" t="s">
        <v>664</v>
      </c>
      <c r="K180" s="125" t="s">
        <v>105</v>
      </c>
      <c r="L180" s="125" t="s">
        <v>76</v>
      </c>
      <c r="M180" s="125">
        <v>16</v>
      </c>
      <c r="N180" s="127">
        <v>40</v>
      </c>
      <c r="O180" s="125"/>
    </row>
    <row r="181" spans="1:15" x14ac:dyDescent="0.35">
      <c r="A181" s="125">
        <v>2005</v>
      </c>
      <c r="B181" s="125" t="s">
        <v>0</v>
      </c>
      <c r="C181" s="125" t="s">
        <v>1278</v>
      </c>
      <c r="D181" s="125" t="s">
        <v>1</v>
      </c>
      <c r="E181" s="125">
        <v>670</v>
      </c>
      <c r="F181" s="125">
        <v>1.7500000000000002E-2</v>
      </c>
      <c r="G181" s="125">
        <v>1.44E-2</v>
      </c>
      <c r="H181" s="128">
        <f t="shared" si="6"/>
        <v>0.17714285714285724</v>
      </c>
      <c r="I181" s="125" t="s">
        <v>98</v>
      </c>
      <c r="J181" s="125" t="s">
        <v>664</v>
      </c>
      <c r="K181" s="125" t="s">
        <v>105</v>
      </c>
      <c r="L181" s="125" t="s">
        <v>76</v>
      </c>
      <c r="M181" s="125">
        <v>16</v>
      </c>
      <c r="N181" s="127">
        <v>40</v>
      </c>
      <c r="O181" s="125"/>
    </row>
    <row r="182" spans="1:15" x14ac:dyDescent="0.35">
      <c r="A182" s="125">
        <v>658</v>
      </c>
      <c r="B182" s="125" t="s">
        <v>84</v>
      </c>
      <c r="C182" s="125" t="s">
        <v>919</v>
      </c>
      <c r="D182" s="125" t="s">
        <v>1</v>
      </c>
      <c r="E182" s="125">
        <v>1800</v>
      </c>
      <c r="F182" s="125">
        <v>1.2500000000000001E-2</v>
      </c>
      <c r="G182" s="125">
        <v>1.04E-2</v>
      </c>
      <c r="H182" s="128">
        <f t="shared" si="6"/>
        <v>0.16800000000000009</v>
      </c>
      <c r="I182" s="125" t="s">
        <v>98</v>
      </c>
      <c r="J182" s="125" t="s">
        <v>412</v>
      </c>
      <c r="K182" s="125" t="s">
        <v>105</v>
      </c>
      <c r="L182" s="125" t="s">
        <v>76</v>
      </c>
      <c r="M182" s="125">
        <v>24</v>
      </c>
      <c r="N182" s="127">
        <v>14</v>
      </c>
      <c r="O182" s="125"/>
    </row>
    <row r="183" spans="1:15" x14ac:dyDescent="0.35">
      <c r="A183" s="125">
        <v>659</v>
      </c>
      <c r="B183" s="125" t="s">
        <v>84</v>
      </c>
      <c r="C183" s="125" t="s">
        <v>920</v>
      </c>
      <c r="D183" s="125" t="s">
        <v>1</v>
      </c>
      <c r="E183" s="125">
        <v>1800</v>
      </c>
      <c r="F183" s="125">
        <v>1.24E-2</v>
      </c>
      <c r="G183" s="125">
        <v>1.04E-2</v>
      </c>
      <c r="H183" s="128">
        <f t="shared" si="6"/>
        <v>0.16129032258064516</v>
      </c>
      <c r="I183" s="125" t="s">
        <v>98</v>
      </c>
      <c r="J183" s="125" t="s">
        <v>412</v>
      </c>
      <c r="K183" s="125" t="s">
        <v>105</v>
      </c>
      <c r="L183" s="125" t="s">
        <v>76</v>
      </c>
      <c r="M183" s="125">
        <v>24</v>
      </c>
      <c r="N183" s="127">
        <v>14</v>
      </c>
      <c r="O183" s="125"/>
    </row>
    <row r="184" spans="1:15" x14ac:dyDescent="0.35">
      <c r="A184" s="125">
        <v>661</v>
      </c>
      <c r="B184" s="125" t="s">
        <v>84</v>
      </c>
      <c r="C184" s="125" t="s">
        <v>922</v>
      </c>
      <c r="D184" s="125" t="s">
        <v>1</v>
      </c>
      <c r="E184" s="125">
        <v>1800</v>
      </c>
      <c r="F184" s="125">
        <v>1.24E-2</v>
      </c>
      <c r="G184" s="125">
        <v>1.04E-2</v>
      </c>
      <c r="H184" s="128">
        <f t="shared" si="6"/>
        <v>0.16129032258064516</v>
      </c>
      <c r="I184" s="125" t="s">
        <v>98</v>
      </c>
      <c r="J184" s="125" t="s">
        <v>412</v>
      </c>
      <c r="K184" s="125" t="s">
        <v>105</v>
      </c>
      <c r="L184" s="125" t="s">
        <v>76</v>
      </c>
      <c r="M184" s="125">
        <v>20</v>
      </c>
      <c r="N184" s="127">
        <v>28</v>
      </c>
      <c r="O184" s="125"/>
    </row>
    <row r="185" spans="1:15" x14ac:dyDescent="0.35">
      <c r="A185" s="125">
        <v>662</v>
      </c>
      <c r="B185" s="125" t="s">
        <v>84</v>
      </c>
      <c r="C185" s="125" t="s">
        <v>923</v>
      </c>
      <c r="D185" s="125" t="s">
        <v>1</v>
      </c>
      <c r="E185" s="125">
        <v>1700</v>
      </c>
      <c r="F185" s="125">
        <v>1.24E-2</v>
      </c>
      <c r="G185" s="125">
        <v>1.04E-2</v>
      </c>
      <c r="H185" s="128">
        <f t="shared" si="6"/>
        <v>0.16129032258064516</v>
      </c>
      <c r="I185" s="125" t="s">
        <v>98</v>
      </c>
      <c r="J185" s="125" t="s">
        <v>412</v>
      </c>
      <c r="K185" s="125" t="s">
        <v>105</v>
      </c>
      <c r="L185" s="125" t="s">
        <v>76</v>
      </c>
      <c r="M185" s="125">
        <v>24</v>
      </c>
      <c r="N185" s="127"/>
      <c r="O185" s="125"/>
    </row>
    <row r="186" spans="1:15" x14ac:dyDescent="0.35">
      <c r="A186" s="125">
        <v>663</v>
      </c>
      <c r="B186" s="125" t="s">
        <v>84</v>
      </c>
      <c r="C186" s="125" t="s">
        <v>924</v>
      </c>
      <c r="D186" s="125" t="s">
        <v>1</v>
      </c>
      <c r="E186" s="125">
        <v>2000</v>
      </c>
      <c r="F186" s="125">
        <v>1.2200000000000001E-2</v>
      </c>
      <c r="G186" s="125">
        <v>1.04E-2</v>
      </c>
      <c r="H186" s="128">
        <f t="shared" si="6"/>
        <v>0.14754098360655746</v>
      </c>
      <c r="I186" s="125" t="s">
        <v>98</v>
      </c>
      <c r="J186" s="125" t="s">
        <v>412</v>
      </c>
      <c r="K186" s="125" t="s">
        <v>105</v>
      </c>
      <c r="L186" s="125" t="s">
        <v>76</v>
      </c>
      <c r="M186" s="125">
        <v>36</v>
      </c>
      <c r="N186" s="127">
        <v>15</v>
      </c>
      <c r="O186" s="125"/>
    </row>
    <row r="187" spans="1:15" x14ac:dyDescent="0.35">
      <c r="A187" s="125">
        <v>947</v>
      </c>
      <c r="B187" s="125" t="s">
        <v>84</v>
      </c>
      <c r="C187" s="125" t="s">
        <v>1109</v>
      </c>
      <c r="D187" s="125" t="s">
        <v>1</v>
      </c>
      <c r="E187" s="125">
        <v>1440</v>
      </c>
      <c r="F187" s="125">
        <v>8.8000000000000005E-3</v>
      </c>
      <c r="G187" s="125">
        <v>6.1999999999999998E-3</v>
      </c>
      <c r="H187" s="128">
        <f t="shared" si="6"/>
        <v>0.29545454545454553</v>
      </c>
      <c r="I187" s="125" t="s">
        <v>98</v>
      </c>
      <c r="J187" s="125" t="s">
        <v>412</v>
      </c>
      <c r="K187" s="125" t="s">
        <v>105</v>
      </c>
      <c r="L187" s="125" t="s">
        <v>76</v>
      </c>
      <c r="M187" s="125">
        <v>20</v>
      </c>
      <c r="N187" s="127"/>
      <c r="O187" s="125"/>
    </row>
    <row r="188" spans="1:15" x14ac:dyDescent="0.35">
      <c r="A188" s="125">
        <v>948</v>
      </c>
      <c r="B188" s="125" t="s">
        <v>84</v>
      </c>
      <c r="C188" s="125" t="s">
        <v>1110</v>
      </c>
      <c r="D188" s="125" t="s">
        <v>1</v>
      </c>
      <c r="E188" s="125">
        <v>1200</v>
      </c>
      <c r="F188" s="125">
        <v>1.6199999999999999E-2</v>
      </c>
      <c r="G188" s="125"/>
      <c r="H188" s="128">
        <f t="shared" ref="H188:H203" si="7">(F188-G188)/F188</f>
        <v>1</v>
      </c>
      <c r="I188" s="125" t="s">
        <v>98</v>
      </c>
      <c r="J188" s="125" t="s">
        <v>412</v>
      </c>
      <c r="K188" s="125" t="s">
        <v>105</v>
      </c>
      <c r="L188" s="125" t="s">
        <v>76</v>
      </c>
      <c r="M188" s="125">
        <v>20</v>
      </c>
      <c r="N188" s="127">
        <v>29</v>
      </c>
      <c r="O188" s="125"/>
    </row>
    <row r="189" spans="1:15" x14ac:dyDescent="0.35">
      <c r="A189" s="125">
        <v>949</v>
      </c>
      <c r="B189" s="125" t="s">
        <v>84</v>
      </c>
      <c r="C189" s="125" t="s">
        <v>1111</v>
      </c>
      <c r="D189" s="125" t="s">
        <v>1</v>
      </c>
      <c r="E189" s="125">
        <v>600</v>
      </c>
      <c r="F189" s="125">
        <v>1.6400000000000001E-2</v>
      </c>
      <c r="G189" s="125"/>
      <c r="H189" s="128">
        <f t="shared" si="7"/>
        <v>1</v>
      </c>
      <c r="I189" s="125" t="s">
        <v>98</v>
      </c>
      <c r="J189" s="125" t="s">
        <v>412</v>
      </c>
      <c r="K189" s="125" t="s">
        <v>105</v>
      </c>
      <c r="L189" s="125" t="s">
        <v>76</v>
      </c>
      <c r="M189" s="125">
        <v>16</v>
      </c>
      <c r="N189" s="127">
        <v>18</v>
      </c>
      <c r="O189" s="125"/>
    </row>
    <row r="190" spans="1:15" x14ac:dyDescent="0.35">
      <c r="A190" s="125">
        <v>451</v>
      </c>
      <c r="B190" s="125" t="s">
        <v>0</v>
      </c>
      <c r="C190" s="125" t="s">
        <v>841</v>
      </c>
      <c r="D190" s="125" t="s">
        <v>1</v>
      </c>
      <c r="E190" s="125">
        <v>1300</v>
      </c>
      <c r="F190" s="125">
        <v>1.3599999999999999E-2</v>
      </c>
      <c r="G190" s="125">
        <v>1.0999999999999999E-2</v>
      </c>
      <c r="H190" s="128">
        <f t="shared" si="7"/>
        <v>0.19117647058823531</v>
      </c>
      <c r="I190" s="125" t="s">
        <v>98</v>
      </c>
      <c r="J190" s="125" t="s">
        <v>842</v>
      </c>
      <c r="K190" s="125" t="s">
        <v>222</v>
      </c>
      <c r="L190" s="125" t="s">
        <v>76</v>
      </c>
      <c r="M190" s="125">
        <v>42</v>
      </c>
      <c r="N190" s="127">
        <v>6</v>
      </c>
      <c r="O190" s="125"/>
    </row>
    <row r="191" spans="1:15" x14ac:dyDescent="0.35">
      <c r="A191" s="125">
        <v>527</v>
      </c>
      <c r="B191" s="125" t="s">
        <v>0</v>
      </c>
      <c r="C191" s="125" t="s">
        <v>863</v>
      </c>
      <c r="D191" s="125" t="s">
        <v>1</v>
      </c>
      <c r="E191" s="125">
        <v>700</v>
      </c>
      <c r="F191" s="125">
        <v>1.7000000000000001E-2</v>
      </c>
      <c r="G191" s="125">
        <v>1.4999999999999999E-2</v>
      </c>
      <c r="H191" s="128">
        <f t="shared" si="7"/>
        <v>0.11764705882352951</v>
      </c>
      <c r="I191" s="125" t="s">
        <v>98</v>
      </c>
      <c r="J191" s="125" t="s">
        <v>864</v>
      </c>
      <c r="K191" s="125" t="s">
        <v>90</v>
      </c>
      <c r="L191" s="125" t="s">
        <v>1402</v>
      </c>
      <c r="M191" s="125">
        <v>28</v>
      </c>
      <c r="N191" s="127">
        <v>6</v>
      </c>
      <c r="O191" s="125"/>
    </row>
    <row r="192" spans="1:15" x14ac:dyDescent="0.35">
      <c r="A192" s="125">
        <v>65</v>
      </c>
      <c r="B192" s="125" t="s">
        <v>0</v>
      </c>
      <c r="C192" s="125" t="s">
        <v>593</v>
      </c>
      <c r="D192" s="125" t="s">
        <v>1</v>
      </c>
      <c r="E192" s="125">
        <v>1850</v>
      </c>
      <c r="F192" s="125">
        <v>7.0000000000000001E-3</v>
      </c>
      <c r="G192" s="125"/>
      <c r="H192" s="128">
        <f t="shared" si="7"/>
        <v>1</v>
      </c>
      <c r="I192" s="125" t="s">
        <v>98</v>
      </c>
      <c r="J192" s="125" t="s">
        <v>594</v>
      </c>
      <c r="K192" s="125" t="s">
        <v>222</v>
      </c>
      <c r="L192" s="125" t="s">
        <v>76</v>
      </c>
      <c r="M192" s="125">
        <v>18</v>
      </c>
      <c r="N192" s="127">
        <v>25</v>
      </c>
      <c r="O192" s="125"/>
    </row>
    <row r="193" spans="1:15" x14ac:dyDescent="0.35">
      <c r="A193" s="125">
        <v>280</v>
      </c>
      <c r="B193" s="125" t="s">
        <v>0</v>
      </c>
      <c r="C193" s="125" t="s">
        <v>740</v>
      </c>
      <c r="D193" s="125" t="s">
        <v>1</v>
      </c>
      <c r="E193" s="125">
        <v>500</v>
      </c>
      <c r="F193" s="125">
        <v>2.18E-2</v>
      </c>
      <c r="G193" s="125"/>
      <c r="H193" s="128">
        <f t="shared" si="7"/>
        <v>1</v>
      </c>
      <c r="I193" s="125" t="s">
        <v>98</v>
      </c>
      <c r="J193" s="125" t="s">
        <v>594</v>
      </c>
      <c r="K193" s="125" t="s">
        <v>105</v>
      </c>
      <c r="L193" s="125" t="s">
        <v>76</v>
      </c>
      <c r="M193" s="125">
        <v>6</v>
      </c>
      <c r="N193" s="127">
        <v>25</v>
      </c>
      <c r="O193" s="125"/>
    </row>
    <row r="194" spans="1:15" x14ac:dyDescent="0.35">
      <c r="A194" s="125">
        <v>471</v>
      </c>
      <c r="B194" s="125" t="s">
        <v>84</v>
      </c>
      <c r="C194" s="125" t="s">
        <v>847</v>
      </c>
      <c r="D194" s="125" t="s">
        <v>1</v>
      </c>
      <c r="E194" s="125">
        <v>240</v>
      </c>
      <c r="F194" s="125">
        <v>6.7699999999999996E-2</v>
      </c>
      <c r="G194" s="125">
        <v>4.3499999999999997E-2</v>
      </c>
      <c r="H194" s="128">
        <f t="shared" si="7"/>
        <v>0.35745937961595275</v>
      </c>
      <c r="I194" s="125" t="s">
        <v>98</v>
      </c>
      <c r="J194" s="125" t="s">
        <v>594</v>
      </c>
      <c r="K194" s="125"/>
      <c r="L194" s="125"/>
      <c r="M194" s="125">
        <v>24</v>
      </c>
      <c r="N194" s="127">
        <v>15</v>
      </c>
      <c r="O194" s="125"/>
    </row>
    <row r="195" spans="1:15" x14ac:dyDescent="0.35">
      <c r="A195" s="125">
        <v>660</v>
      </c>
      <c r="B195" s="125" t="s">
        <v>84</v>
      </c>
      <c r="C195" s="125" t="s">
        <v>921</v>
      </c>
      <c r="D195" s="125" t="s">
        <v>1</v>
      </c>
      <c r="E195" s="125">
        <v>1300</v>
      </c>
      <c r="F195" s="125">
        <v>1.6400000000000001E-2</v>
      </c>
      <c r="G195" s="125">
        <v>1.2500000000000001E-2</v>
      </c>
      <c r="H195" s="128">
        <f t="shared" si="7"/>
        <v>0.2378048780487805</v>
      </c>
      <c r="I195" s="125" t="s">
        <v>98</v>
      </c>
      <c r="J195" s="125" t="s">
        <v>594</v>
      </c>
      <c r="K195" s="125" t="s">
        <v>90</v>
      </c>
      <c r="L195" s="125" t="s">
        <v>76</v>
      </c>
      <c r="M195" s="125">
        <v>9</v>
      </c>
      <c r="N195" s="127">
        <v>20</v>
      </c>
      <c r="O195" s="125"/>
    </row>
    <row r="196" spans="1:15" x14ac:dyDescent="0.35">
      <c r="A196" s="125">
        <v>859</v>
      </c>
      <c r="B196" s="125" t="s">
        <v>0</v>
      </c>
      <c r="C196" s="125" t="s">
        <v>1069</v>
      </c>
      <c r="D196" s="125" t="s">
        <v>1</v>
      </c>
      <c r="E196" s="125">
        <v>350</v>
      </c>
      <c r="F196" s="125">
        <v>3.04E-2</v>
      </c>
      <c r="G196" s="125">
        <v>2.5999999999999999E-2</v>
      </c>
      <c r="H196" s="128">
        <f t="shared" si="7"/>
        <v>0.14473684210526319</v>
      </c>
      <c r="I196" s="125" t="s">
        <v>98</v>
      </c>
      <c r="J196" s="125" t="s">
        <v>1070</v>
      </c>
      <c r="K196" s="125" t="s">
        <v>413</v>
      </c>
      <c r="L196" s="125" t="s">
        <v>76</v>
      </c>
      <c r="M196" s="125">
        <v>16</v>
      </c>
      <c r="N196" s="127">
        <v>13</v>
      </c>
      <c r="O196" s="125"/>
    </row>
    <row r="197" spans="1:15" x14ac:dyDescent="0.35">
      <c r="A197" s="125">
        <v>908</v>
      </c>
      <c r="B197" s="125" t="s">
        <v>0</v>
      </c>
      <c r="C197" s="125" t="s">
        <v>1100</v>
      </c>
      <c r="D197" s="125" t="s">
        <v>1</v>
      </c>
      <c r="E197" s="125">
        <v>120</v>
      </c>
      <c r="F197" s="125">
        <v>0.18479999999999999</v>
      </c>
      <c r="G197" s="125">
        <v>0.155</v>
      </c>
      <c r="H197" s="128">
        <f t="shared" si="7"/>
        <v>0.16125541125541124</v>
      </c>
      <c r="I197" s="125" t="s">
        <v>98</v>
      </c>
      <c r="J197" s="125" t="s">
        <v>1101</v>
      </c>
      <c r="K197" s="125" t="s">
        <v>5</v>
      </c>
      <c r="L197" s="125" t="s">
        <v>1402</v>
      </c>
      <c r="M197" s="125">
        <v>54</v>
      </c>
      <c r="N197" s="127">
        <v>16</v>
      </c>
      <c r="O197" s="125"/>
    </row>
    <row r="198" spans="1:15" x14ac:dyDescent="0.35">
      <c r="A198" s="125">
        <v>1018</v>
      </c>
      <c r="B198" s="125" t="s">
        <v>0</v>
      </c>
      <c r="C198" s="125" t="s">
        <v>1140</v>
      </c>
      <c r="D198" s="125" t="s">
        <v>1</v>
      </c>
      <c r="E198" s="125">
        <v>560</v>
      </c>
      <c r="F198" s="125">
        <v>3.3000000000000002E-2</v>
      </c>
      <c r="G198" s="125">
        <v>2.12E-2</v>
      </c>
      <c r="H198" s="128">
        <f t="shared" si="7"/>
        <v>0.3575757575757576</v>
      </c>
      <c r="I198" s="125" t="s">
        <v>98</v>
      </c>
      <c r="J198" s="125" t="s">
        <v>1141</v>
      </c>
      <c r="K198" s="125" t="s">
        <v>105</v>
      </c>
      <c r="L198" s="125" t="s">
        <v>76</v>
      </c>
      <c r="M198" s="125">
        <v>10</v>
      </c>
      <c r="N198" s="127">
        <v>22</v>
      </c>
      <c r="O198" s="125"/>
    </row>
    <row r="199" spans="1:15" x14ac:dyDescent="0.35">
      <c r="A199" s="125">
        <v>860</v>
      </c>
      <c r="B199" s="125" t="s">
        <v>0</v>
      </c>
      <c r="C199" s="125" t="s">
        <v>1072</v>
      </c>
      <c r="D199" s="125" t="s">
        <v>1</v>
      </c>
      <c r="E199" s="125">
        <v>50</v>
      </c>
      <c r="F199" s="125">
        <v>0.60719999999999996</v>
      </c>
      <c r="G199" s="125">
        <v>0.15</v>
      </c>
      <c r="H199" s="128">
        <f t="shared" si="7"/>
        <v>0.75296442687747034</v>
      </c>
      <c r="I199" s="125" t="s">
        <v>98</v>
      </c>
      <c r="J199" s="125" t="s">
        <v>1073</v>
      </c>
      <c r="K199" s="125" t="s">
        <v>230</v>
      </c>
      <c r="L199" s="125" t="s">
        <v>76</v>
      </c>
      <c r="M199" s="125">
        <v>1</v>
      </c>
      <c r="N199" s="127">
        <v>20</v>
      </c>
      <c r="O199" s="125"/>
    </row>
    <row r="200" spans="1:15" x14ac:dyDescent="0.35">
      <c r="A200" s="125">
        <v>606</v>
      </c>
      <c r="B200" s="125" t="s">
        <v>0</v>
      </c>
      <c r="C200" s="125" t="s">
        <v>891</v>
      </c>
      <c r="D200" s="125" t="s">
        <v>1</v>
      </c>
      <c r="E200" s="125">
        <v>45</v>
      </c>
      <c r="F200" s="125">
        <v>0.4204</v>
      </c>
      <c r="G200" s="125">
        <v>0.28839999999999999</v>
      </c>
      <c r="H200" s="128">
        <f t="shared" si="7"/>
        <v>0.31398667935299718</v>
      </c>
      <c r="I200" s="125" t="s">
        <v>98</v>
      </c>
      <c r="J200" s="125" t="s">
        <v>892</v>
      </c>
      <c r="K200" s="125" t="s">
        <v>105</v>
      </c>
      <c r="L200" s="125" t="s">
        <v>76</v>
      </c>
      <c r="M200" s="125">
        <v>2</v>
      </c>
      <c r="N200" s="127">
        <v>24</v>
      </c>
      <c r="O200" s="125"/>
    </row>
    <row r="201" spans="1:15" x14ac:dyDescent="0.35">
      <c r="A201" s="125">
        <v>611</v>
      </c>
      <c r="B201" s="125" t="s">
        <v>0</v>
      </c>
      <c r="C201" s="125" t="s">
        <v>897</v>
      </c>
      <c r="D201" s="125" t="s">
        <v>1</v>
      </c>
      <c r="E201" s="125">
        <v>40</v>
      </c>
      <c r="F201" s="125">
        <v>0.39389999999999997</v>
      </c>
      <c r="G201" s="125">
        <v>0.28839999999999999</v>
      </c>
      <c r="H201" s="128">
        <f t="shared" si="7"/>
        <v>0.26783447575526781</v>
      </c>
      <c r="I201" s="125" t="s">
        <v>98</v>
      </c>
      <c r="J201" s="125" t="s">
        <v>892</v>
      </c>
      <c r="K201" s="125" t="s">
        <v>105</v>
      </c>
      <c r="L201" s="125" t="s">
        <v>76</v>
      </c>
      <c r="M201" s="125">
        <v>2</v>
      </c>
      <c r="N201" s="127">
        <v>60</v>
      </c>
      <c r="O201" s="125"/>
    </row>
    <row r="202" spans="1:15" x14ac:dyDescent="0.35">
      <c r="A202" s="125">
        <v>613</v>
      </c>
      <c r="B202" s="125" t="s">
        <v>0</v>
      </c>
      <c r="C202" s="125" t="s">
        <v>899</v>
      </c>
      <c r="D202" s="125" t="s">
        <v>1</v>
      </c>
      <c r="E202" s="125">
        <v>40</v>
      </c>
      <c r="F202" s="125">
        <v>0.38119999999999998</v>
      </c>
      <c r="G202" s="125">
        <v>0.28839999999999999</v>
      </c>
      <c r="H202" s="128">
        <f t="shared" si="7"/>
        <v>0.24344176285414479</v>
      </c>
      <c r="I202" s="125" t="s">
        <v>98</v>
      </c>
      <c r="J202" s="125" t="s">
        <v>892</v>
      </c>
      <c r="K202" s="125" t="s">
        <v>105</v>
      </c>
      <c r="L202" s="125" t="s">
        <v>76</v>
      </c>
      <c r="M202" s="125">
        <v>2</v>
      </c>
      <c r="N202" s="127">
        <v>60</v>
      </c>
      <c r="O202" s="125"/>
    </row>
    <row r="203" spans="1:15" x14ac:dyDescent="0.35">
      <c r="A203" s="125">
        <v>615</v>
      </c>
      <c r="B203" s="125" t="s">
        <v>0</v>
      </c>
      <c r="C203" s="125" t="s">
        <v>901</v>
      </c>
      <c r="D203" s="125" t="s">
        <v>1</v>
      </c>
      <c r="E203" s="125">
        <v>60</v>
      </c>
      <c r="F203" s="125">
        <v>0.41120000000000001</v>
      </c>
      <c r="G203" s="125">
        <v>0.28839999999999999</v>
      </c>
      <c r="H203" s="128">
        <f t="shared" si="7"/>
        <v>0.29863813229571989</v>
      </c>
      <c r="I203" s="125" t="s">
        <v>98</v>
      </c>
      <c r="J203" s="125" t="s">
        <v>892</v>
      </c>
      <c r="K203" s="125" t="s">
        <v>105</v>
      </c>
      <c r="L203" s="125" t="s">
        <v>76</v>
      </c>
      <c r="M203" s="125">
        <v>2</v>
      </c>
      <c r="N203" s="127">
        <v>60</v>
      </c>
      <c r="O203" s="125"/>
    </row>
    <row r="205" spans="1:15" x14ac:dyDescent="0.35">
      <c r="A205" s="125">
        <v>169</v>
      </c>
      <c r="B205" s="125" t="s">
        <v>0</v>
      </c>
      <c r="C205" s="125" t="s">
        <v>381</v>
      </c>
      <c r="D205" s="125" t="s">
        <v>21</v>
      </c>
      <c r="E205" s="125">
        <v>4000</v>
      </c>
      <c r="F205" s="125">
        <v>3.7000000000000002E-3</v>
      </c>
      <c r="G205" s="125">
        <v>2.7000000000000001E-3</v>
      </c>
      <c r="H205" s="128">
        <f>(F205-G205)/F205</f>
        <v>0.27027027027027029</v>
      </c>
      <c r="I205" s="125" t="s">
        <v>98</v>
      </c>
      <c r="J205" s="125" t="s">
        <v>382</v>
      </c>
      <c r="K205" s="125" t="s">
        <v>105</v>
      </c>
      <c r="L205" s="125" t="s">
        <v>76</v>
      </c>
      <c r="M205" s="125">
        <v>14</v>
      </c>
      <c r="N205" s="127">
        <v>16</v>
      </c>
      <c r="O205" s="125"/>
    </row>
    <row r="206" spans="1:15" x14ac:dyDescent="0.35">
      <c r="A206" s="125">
        <v>188</v>
      </c>
      <c r="B206" s="125" t="s">
        <v>0</v>
      </c>
      <c r="C206" s="125" t="s">
        <v>386</v>
      </c>
      <c r="D206" s="125" t="s">
        <v>21</v>
      </c>
      <c r="E206" s="125">
        <v>4030</v>
      </c>
      <c r="F206" s="125">
        <v>2.3999999999999998E-3</v>
      </c>
      <c r="G206" s="125">
        <v>1.6999999999999999E-3</v>
      </c>
      <c r="H206" s="128">
        <f>(F206-G206)/F206</f>
        <v>0.29166666666666663</v>
      </c>
      <c r="I206" s="125" t="s">
        <v>98</v>
      </c>
      <c r="J206" s="125" t="s">
        <v>387</v>
      </c>
      <c r="K206" s="125" t="s">
        <v>5</v>
      </c>
      <c r="L206" s="125" t="s">
        <v>1402</v>
      </c>
      <c r="M206" s="125">
        <v>21</v>
      </c>
      <c r="N206" s="127">
        <v>15</v>
      </c>
      <c r="O206" s="125"/>
    </row>
    <row r="207" spans="1:15" x14ac:dyDescent="0.35">
      <c r="A207" s="125"/>
      <c r="B207" s="125"/>
      <c r="C207" s="125"/>
      <c r="D207" s="125"/>
      <c r="E207" s="125"/>
      <c r="F207" s="125"/>
      <c r="G207" s="125"/>
      <c r="H207" s="128"/>
      <c r="I207" s="125"/>
      <c r="J207" s="125"/>
      <c r="K207" s="125"/>
      <c r="L207" s="125"/>
      <c r="M207" s="125"/>
      <c r="N207" s="127"/>
      <c r="O207" s="125"/>
    </row>
    <row r="208" spans="1:15" x14ac:dyDescent="0.35">
      <c r="A208" s="125">
        <v>938</v>
      </c>
      <c r="B208" s="125" t="s">
        <v>84</v>
      </c>
      <c r="C208" s="125" t="s">
        <v>1105</v>
      </c>
      <c r="D208" s="125" t="s">
        <v>1</v>
      </c>
      <c r="E208" s="125">
        <v>1000</v>
      </c>
      <c r="F208" s="125">
        <v>1.66E-2</v>
      </c>
      <c r="G208" s="125"/>
      <c r="H208" s="128">
        <f t="shared" ref="H208:H241" si="8">(F208-G208)/F208</f>
        <v>1</v>
      </c>
      <c r="I208" s="125" t="s">
        <v>98</v>
      </c>
      <c r="J208" s="125" t="s">
        <v>382</v>
      </c>
      <c r="K208" s="125" t="s">
        <v>105</v>
      </c>
      <c r="L208" s="125" t="s">
        <v>76</v>
      </c>
      <c r="M208" s="125">
        <v>18</v>
      </c>
      <c r="N208" s="127"/>
      <c r="O208" s="125"/>
    </row>
    <row r="209" spans="1:15" x14ac:dyDescent="0.35">
      <c r="A209" s="125">
        <v>95</v>
      </c>
      <c r="B209" s="125" t="s">
        <v>0</v>
      </c>
      <c r="C209" s="125" t="s">
        <v>618</v>
      </c>
      <c r="D209" s="125" t="s">
        <v>1</v>
      </c>
      <c r="E209" s="125">
        <v>4900</v>
      </c>
      <c r="F209" s="125">
        <v>2.5000000000000001E-3</v>
      </c>
      <c r="G209" s="125">
        <v>2.2000000000000001E-3</v>
      </c>
      <c r="H209" s="128">
        <f t="shared" si="8"/>
        <v>0.11999999999999997</v>
      </c>
      <c r="I209" s="125" t="s">
        <v>98</v>
      </c>
      <c r="J209" s="125" t="s">
        <v>619</v>
      </c>
      <c r="K209" s="125" t="s">
        <v>5</v>
      </c>
      <c r="L209" s="125" t="s">
        <v>1402</v>
      </c>
      <c r="M209" s="125">
        <v>54</v>
      </c>
      <c r="N209" s="127">
        <v>16</v>
      </c>
      <c r="O209" s="125"/>
    </row>
    <row r="210" spans="1:15" x14ac:dyDescent="0.35">
      <c r="A210" s="125">
        <v>1836</v>
      </c>
      <c r="B210" s="125" t="s">
        <v>0</v>
      </c>
      <c r="C210" s="125" t="s">
        <v>1252</v>
      </c>
      <c r="D210" s="125" t="s">
        <v>1</v>
      </c>
      <c r="E210" s="125">
        <v>2100</v>
      </c>
      <c r="F210" s="125">
        <v>5.8999999999999999E-3</v>
      </c>
      <c r="G210" s="125">
        <v>4.7000000000000002E-3</v>
      </c>
      <c r="H210" s="128">
        <f t="shared" si="8"/>
        <v>0.20338983050847453</v>
      </c>
      <c r="I210" s="125" t="s">
        <v>98</v>
      </c>
      <c r="J210" s="125" t="s">
        <v>1253</v>
      </c>
      <c r="K210" s="125" t="s">
        <v>105</v>
      </c>
      <c r="L210" s="125" t="s">
        <v>76</v>
      </c>
      <c r="M210" s="125">
        <v>30</v>
      </c>
      <c r="N210" s="127">
        <v>22</v>
      </c>
      <c r="O210" s="125"/>
    </row>
    <row r="211" spans="1:15" x14ac:dyDescent="0.35">
      <c r="A211" s="125">
        <v>1870</v>
      </c>
      <c r="B211" s="125" t="s">
        <v>0</v>
      </c>
      <c r="C211" s="125" t="s">
        <v>1254</v>
      </c>
      <c r="D211" s="125" t="s">
        <v>1</v>
      </c>
      <c r="E211" s="125">
        <v>2100</v>
      </c>
      <c r="F211" s="125">
        <v>5.8999999999999999E-3</v>
      </c>
      <c r="G211" s="125">
        <v>4.7000000000000002E-3</v>
      </c>
      <c r="H211" s="128">
        <f t="shared" si="8"/>
        <v>0.20338983050847453</v>
      </c>
      <c r="I211" s="125" t="s">
        <v>98</v>
      </c>
      <c r="J211" s="125" t="s">
        <v>1253</v>
      </c>
      <c r="K211" s="125" t="s">
        <v>105</v>
      </c>
      <c r="L211" s="125" t="s">
        <v>76</v>
      </c>
      <c r="M211" s="125">
        <v>30</v>
      </c>
      <c r="N211" s="127">
        <v>22</v>
      </c>
      <c r="O211" s="125"/>
    </row>
    <row r="212" spans="1:15" x14ac:dyDescent="0.35">
      <c r="A212" s="125">
        <v>631</v>
      </c>
      <c r="B212" s="125" t="s">
        <v>0</v>
      </c>
      <c r="C212" s="125" t="s">
        <v>1472</v>
      </c>
      <c r="D212" s="125" t="s">
        <v>1</v>
      </c>
      <c r="E212" s="125">
        <v>2800</v>
      </c>
      <c r="F212" s="125">
        <v>8.2000000000000007E-3</v>
      </c>
      <c r="G212" s="125">
        <v>6.0000000000000001E-3</v>
      </c>
      <c r="H212" s="128">
        <f t="shared" si="8"/>
        <v>0.26829268292682934</v>
      </c>
      <c r="I212" s="125" t="s">
        <v>98</v>
      </c>
      <c r="J212" s="125" t="s">
        <v>908</v>
      </c>
      <c r="K212" s="125" t="s">
        <v>222</v>
      </c>
      <c r="L212" s="125" t="s">
        <v>76</v>
      </c>
      <c r="M212" s="125">
        <v>25</v>
      </c>
      <c r="N212" s="127">
        <v>15</v>
      </c>
      <c r="O212" s="125"/>
    </row>
    <row r="213" spans="1:15" x14ac:dyDescent="0.35">
      <c r="A213" s="125">
        <v>1216</v>
      </c>
      <c r="B213" s="125" t="s">
        <v>0</v>
      </c>
      <c r="C213" s="125" t="s">
        <v>1204</v>
      </c>
      <c r="D213" s="125" t="s">
        <v>1</v>
      </c>
      <c r="E213" s="125">
        <v>1150</v>
      </c>
      <c r="F213" s="125">
        <v>3.5000000000000001E-3</v>
      </c>
      <c r="G213" s="125">
        <v>2.3999999999999998E-3</v>
      </c>
      <c r="H213" s="128">
        <f t="shared" si="8"/>
        <v>0.31428571428571433</v>
      </c>
      <c r="I213" s="125" t="s">
        <v>98</v>
      </c>
      <c r="J213" s="125" t="s">
        <v>1473</v>
      </c>
      <c r="K213" s="125" t="s">
        <v>90</v>
      </c>
      <c r="L213" s="125" t="s">
        <v>1402</v>
      </c>
      <c r="M213" s="125">
        <v>36</v>
      </c>
      <c r="N213" s="127">
        <v>9</v>
      </c>
      <c r="O213" s="125"/>
    </row>
    <row r="214" spans="1:15" x14ac:dyDescent="0.35">
      <c r="A214" s="125">
        <v>781</v>
      </c>
      <c r="B214" s="125" t="s">
        <v>0</v>
      </c>
      <c r="C214" s="125" t="s">
        <v>1021</v>
      </c>
      <c r="D214" s="125" t="s">
        <v>1</v>
      </c>
      <c r="E214" s="125">
        <v>1900</v>
      </c>
      <c r="F214" s="125">
        <v>3.3999999999999998E-3</v>
      </c>
      <c r="G214" s="125">
        <v>2.3999999999999998E-3</v>
      </c>
      <c r="H214" s="128">
        <f t="shared" si="8"/>
        <v>0.29411764705882354</v>
      </c>
      <c r="I214" s="125" t="s">
        <v>98</v>
      </c>
      <c r="J214" s="125" t="s">
        <v>1022</v>
      </c>
      <c r="K214" s="125" t="s">
        <v>163</v>
      </c>
      <c r="L214" s="125" t="s">
        <v>6</v>
      </c>
      <c r="M214" s="125">
        <v>48</v>
      </c>
      <c r="N214" s="127">
        <v>13</v>
      </c>
      <c r="O214" s="125"/>
    </row>
    <row r="215" spans="1:15" x14ac:dyDescent="0.35">
      <c r="A215" s="125">
        <v>883</v>
      </c>
      <c r="B215" s="125" t="s">
        <v>0</v>
      </c>
      <c r="C215" s="125" t="s">
        <v>1083</v>
      </c>
      <c r="D215" s="125" t="s">
        <v>1</v>
      </c>
      <c r="E215" s="125">
        <v>4100</v>
      </c>
      <c r="F215" s="125">
        <v>3.3999999999999998E-3</v>
      </c>
      <c r="G215" s="125">
        <v>2.5999999999999999E-3</v>
      </c>
      <c r="H215" s="128">
        <f t="shared" si="8"/>
        <v>0.23529411764705882</v>
      </c>
      <c r="I215" s="125" t="s">
        <v>98</v>
      </c>
      <c r="J215" s="125" t="s">
        <v>1022</v>
      </c>
      <c r="K215" s="125" t="s">
        <v>5</v>
      </c>
      <c r="L215" s="125" t="s">
        <v>1402</v>
      </c>
      <c r="M215" s="125">
        <v>60</v>
      </c>
      <c r="N215" s="127">
        <v>16</v>
      </c>
      <c r="O215" s="125"/>
    </row>
    <row r="216" spans="1:15" x14ac:dyDescent="0.35">
      <c r="A216" s="125">
        <v>211</v>
      </c>
      <c r="B216" s="125" t="s">
        <v>0</v>
      </c>
      <c r="C216" s="125" t="s">
        <v>671</v>
      </c>
      <c r="D216" s="125" t="s">
        <v>1</v>
      </c>
      <c r="E216" s="125">
        <v>3300</v>
      </c>
      <c r="F216" s="125">
        <v>3.5000000000000001E-3</v>
      </c>
      <c r="G216" s="125">
        <v>2.7000000000000001E-3</v>
      </c>
      <c r="H216" s="128">
        <f t="shared" si="8"/>
        <v>0.22857142857142854</v>
      </c>
      <c r="I216" s="125" t="s">
        <v>98</v>
      </c>
      <c r="J216" s="125" t="s">
        <v>672</v>
      </c>
      <c r="K216" s="125" t="s">
        <v>163</v>
      </c>
      <c r="L216" s="125" t="s">
        <v>6</v>
      </c>
      <c r="M216" s="125">
        <v>60</v>
      </c>
      <c r="N216" s="127">
        <v>12</v>
      </c>
      <c r="O216" s="125"/>
    </row>
    <row r="217" spans="1:15" x14ac:dyDescent="0.35">
      <c r="A217" s="125">
        <v>219</v>
      </c>
      <c r="B217" s="125" t="s">
        <v>0</v>
      </c>
      <c r="C217" s="125" t="s">
        <v>677</v>
      </c>
      <c r="D217" s="125" t="s">
        <v>1</v>
      </c>
      <c r="E217" s="125">
        <v>1260</v>
      </c>
      <c r="F217" s="125">
        <v>7.1999999999999998E-3</v>
      </c>
      <c r="G217" s="125">
        <v>5.4999999999999997E-3</v>
      </c>
      <c r="H217" s="128">
        <f t="shared" si="8"/>
        <v>0.23611111111111113</v>
      </c>
      <c r="I217" s="125" t="s">
        <v>98</v>
      </c>
      <c r="J217" s="125" t="s">
        <v>672</v>
      </c>
      <c r="K217" s="125" t="s">
        <v>5</v>
      </c>
      <c r="L217" s="125" t="s">
        <v>1402</v>
      </c>
      <c r="M217" s="125">
        <v>30</v>
      </c>
      <c r="N217" s="127">
        <v>18</v>
      </c>
      <c r="O217" s="125"/>
    </row>
    <row r="218" spans="1:15" x14ac:dyDescent="0.35">
      <c r="A218" s="125">
        <v>884</v>
      </c>
      <c r="B218" s="125" t="s">
        <v>0</v>
      </c>
      <c r="C218" s="125" t="s">
        <v>1085</v>
      </c>
      <c r="D218" s="125" t="s">
        <v>1</v>
      </c>
      <c r="E218" s="125">
        <v>4600</v>
      </c>
      <c r="F218" s="125">
        <v>3.0000000000000001E-3</v>
      </c>
      <c r="G218" s="125">
        <v>2.0999999999999999E-3</v>
      </c>
      <c r="H218" s="128">
        <f t="shared" si="8"/>
        <v>0.30000000000000004</v>
      </c>
      <c r="I218" s="125" t="s">
        <v>98</v>
      </c>
      <c r="J218" s="125" t="s">
        <v>672</v>
      </c>
      <c r="K218" s="125" t="s">
        <v>5</v>
      </c>
      <c r="L218" s="125" t="s">
        <v>1402</v>
      </c>
      <c r="M218" s="125">
        <v>64</v>
      </c>
      <c r="N218" s="127">
        <v>10</v>
      </c>
      <c r="O218" s="125"/>
    </row>
    <row r="219" spans="1:15" x14ac:dyDescent="0.35">
      <c r="A219" s="125">
        <v>258</v>
      </c>
      <c r="B219" s="125" t="s">
        <v>0</v>
      </c>
      <c r="C219" s="125" t="s">
        <v>720</v>
      </c>
      <c r="D219" s="125" t="s">
        <v>1</v>
      </c>
      <c r="E219" s="125">
        <v>1200</v>
      </c>
      <c r="F219" s="125">
        <v>1.09E-2</v>
      </c>
      <c r="G219" s="125">
        <v>8.0000000000000002E-3</v>
      </c>
      <c r="H219" s="128">
        <f t="shared" si="8"/>
        <v>0.26605504587155959</v>
      </c>
      <c r="I219" s="125" t="s">
        <v>98</v>
      </c>
      <c r="J219" s="125" t="s">
        <v>721</v>
      </c>
      <c r="K219" s="125" t="s">
        <v>5</v>
      </c>
      <c r="L219" s="125" t="s">
        <v>1402</v>
      </c>
      <c r="M219" s="125">
        <v>20</v>
      </c>
      <c r="N219" s="127">
        <v>20</v>
      </c>
      <c r="O219" s="125"/>
    </row>
    <row r="220" spans="1:15" x14ac:dyDescent="0.35">
      <c r="A220" s="125">
        <v>306</v>
      </c>
      <c r="B220" s="125" t="s">
        <v>0</v>
      </c>
      <c r="C220" s="125" t="s">
        <v>748</v>
      </c>
      <c r="D220" s="125" t="s">
        <v>1</v>
      </c>
      <c r="E220" s="125">
        <v>3000</v>
      </c>
      <c r="F220" s="125">
        <v>6.7999999999999996E-3</v>
      </c>
      <c r="G220" s="125">
        <v>6.0000000000000001E-3</v>
      </c>
      <c r="H220" s="128">
        <f t="shared" si="8"/>
        <v>0.11764705882352934</v>
      </c>
      <c r="I220" s="125" t="s">
        <v>98</v>
      </c>
      <c r="J220" s="125" t="s">
        <v>721</v>
      </c>
      <c r="K220" s="125" t="s">
        <v>129</v>
      </c>
      <c r="L220" s="125" t="s">
        <v>1402</v>
      </c>
      <c r="M220" s="125">
        <v>20</v>
      </c>
      <c r="N220" s="127">
        <v>10</v>
      </c>
      <c r="O220" s="125"/>
    </row>
    <row r="221" spans="1:15" x14ac:dyDescent="0.35">
      <c r="A221" s="125">
        <v>308</v>
      </c>
      <c r="B221" s="125" t="s">
        <v>0</v>
      </c>
      <c r="C221" s="125" t="s">
        <v>750</v>
      </c>
      <c r="D221" s="125" t="s">
        <v>1</v>
      </c>
      <c r="E221" s="125">
        <v>1500</v>
      </c>
      <c r="F221" s="125">
        <v>8.0999999999999996E-3</v>
      </c>
      <c r="G221" s="125">
        <v>7.4999999999999997E-3</v>
      </c>
      <c r="H221" s="128">
        <f t="shared" si="8"/>
        <v>7.4074074074074056E-2</v>
      </c>
      <c r="I221" s="125" t="s">
        <v>98</v>
      </c>
      <c r="J221" s="125" t="s">
        <v>721</v>
      </c>
      <c r="K221" s="125" t="s">
        <v>222</v>
      </c>
      <c r="L221" s="125" t="s">
        <v>76</v>
      </c>
      <c r="M221" s="125">
        <v>18</v>
      </c>
      <c r="N221" s="127">
        <v>10</v>
      </c>
      <c r="O221" s="125"/>
    </row>
    <row r="222" spans="1:15" x14ac:dyDescent="0.35">
      <c r="A222" s="125">
        <v>324</v>
      </c>
      <c r="B222" s="125" t="s">
        <v>0</v>
      </c>
      <c r="C222" s="125" t="s">
        <v>765</v>
      </c>
      <c r="D222" s="125" t="s">
        <v>1</v>
      </c>
      <c r="E222" s="125">
        <v>1700</v>
      </c>
      <c r="F222" s="125">
        <v>1.29E-2</v>
      </c>
      <c r="G222" s="125">
        <v>9.7999999999999997E-3</v>
      </c>
      <c r="H222" s="128">
        <f t="shared" si="8"/>
        <v>0.24031007751937988</v>
      </c>
      <c r="I222" s="125" t="s">
        <v>98</v>
      </c>
      <c r="J222" s="125" t="s">
        <v>721</v>
      </c>
      <c r="K222" s="125" t="s">
        <v>261</v>
      </c>
      <c r="L222" s="125" t="s">
        <v>76</v>
      </c>
      <c r="M222" s="125">
        <v>12</v>
      </c>
      <c r="N222" s="127">
        <v>10</v>
      </c>
      <c r="O222" s="125"/>
    </row>
    <row r="223" spans="1:15" x14ac:dyDescent="0.35">
      <c r="A223" s="125">
        <v>315</v>
      </c>
      <c r="B223" s="125" t="s">
        <v>0</v>
      </c>
      <c r="C223" s="125" t="s">
        <v>754</v>
      </c>
      <c r="D223" s="125" t="s">
        <v>1</v>
      </c>
      <c r="E223" s="125">
        <v>1400</v>
      </c>
      <c r="F223" s="125">
        <v>1.7999999999999999E-2</v>
      </c>
      <c r="G223" s="125">
        <v>1.4800000000000001E-2</v>
      </c>
      <c r="H223" s="128">
        <f t="shared" si="8"/>
        <v>0.17777777777777767</v>
      </c>
      <c r="I223" s="125" t="s">
        <v>98</v>
      </c>
      <c r="J223" s="125" t="s">
        <v>755</v>
      </c>
      <c r="K223" s="125" t="s">
        <v>105</v>
      </c>
      <c r="L223" s="125" t="s">
        <v>755</v>
      </c>
      <c r="M223" s="125">
        <v>10</v>
      </c>
      <c r="N223" s="127">
        <v>10</v>
      </c>
      <c r="O223" s="125"/>
    </row>
    <row r="224" spans="1:15" x14ac:dyDescent="0.35">
      <c r="A224" s="125">
        <v>976</v>
      </c>
      <c r="B224" s="125" t="s">
        <v>0</v>
      </c>
      <c r="C224" s="125" t="s">
        <v>1122</v>
      </c>
      <c r="D224" s="125" t="s">
        <v>1</v>
      </c>
      <c r="E224" s="125">
        <v>19200</v>
      </c>
      <c r="F224" s="125">
        <v>1.4E-3</v>
      </c>
      <c r="G224" s="125">
        <v>5.9999999999999995E-4</v>
      </c>
      <c r="H224" s="128">
        <f t="shared" si="8"/>
        <v>0.57142857142857151</v>
      </c>
      <c r="I224" s="125" t="s">
        <v>98</v>
      </c>
      <c r="J224" s="125" t="s">
        <v>755</v>
      </c>
      <c r="K224" s="125" t="s">
        <v>357</v>
      </c>
      <c r="L224" s="125" t="s">
        <v>6</v>
      </c>
      <c r="M224" s="125">
        <v>180</v>
      </c>
      <c r="N224" s="127">
        <v>2</v>
      </c>
      <c r="O224" s="125"/>
    </row>
    <row r="225" spans="1:15" x14ac:dyDescent="0.35">
      <c r="A225" s="125">
        <v>977</v>
      </c>
      <c r="B225" s="125" t="s">
        <v>0</v>
      </c>
      <c r="C225" s="125" t="s">
        <v>1123</v>
      </c>
      <c r="D225" s="125" t="s">
        <v>1</v>
      </c>
      <c r="E225" s="125">
        <v>15750</v>
      </c>
      <c r="F225" s="125">
        <v>2.5000000000000001E-3</v>
      </c>
      <c r="G225" s="125">
        <v>1.1000000000000001E-3</v>
      </c>
      <c r="H225" s="128">
        <f t="shared" si="8"/>
        <v>0.55999999999999994</v>
      </c>
      <c r="I225" s="125" t="s">
        <v>98</v>
      </c>
      <c r="J225" s="125" t="s">
        <v>755</v>
      </c>
      <c r="K225" s="125" t="s">
        <v>90</v>
      </c>
      <c r="L225" s="125" t="s">
        <v>6</v>
      </c>
      <c r="M225" s="125">
        <v>35</v>
      </c>
      <c r="N225" s="127">
        <v>2</v>
      </c>
      <c r="O225" s="125"/>
    </row>
    <row r="226" spans="1:15" x14ac:dyDescent="0.35">
      <c r="A226" s="125">
        <v>978</v>
      </c>
      <c r="B226" s="125" t="s">
        <v>0</v>
      </c>
      <c r="C226" s="125" t="s">
        <v>1124</v>
      </c>
      <c r="D226" s="125" t="s">
        <v>1</v>
      </c>
      <c r="E226" s="125">
        <v>12000</v>
      </c>
      <c r="F226" s="125">
        <v>4.4999999999999997E-3</v>
      </c>
      <c r="G226" s="125">
        <v>2.2000000000000001E-3</v>
      </c>
      <c r="H226" s="128">
        <f t="shared" si="8"/>
        <v>0.51111111111111107</v>
      </c>
      <c r="I226" s="125" t="s">
        <v>98</v>
      </c>
      <c r="J226" s="125" t="s">
        <v>755</v>
      </c>
      <c r="K226" s="125" t="s">
        <v>5</v>
      </c>
      <c r="L226" s="125" t="s">
        <v>1402</v>
      </c>
      <c r="M226" s="125">
        <v>25</v>
      </c>
      <c r="N226" s="127">
        <v>3</v>
      </c>
      <c r="O226" s="125"/>
    </row>
    <row r="227" spans="1:15" x14ac:dyDescent="0.35">
      <c r="A227" s="125">
        <v>1034</v>
      </c>
      <c r="B227" s="125" t="s">
        <v>0</v>
      </c>
      <c r="C227" s="125" t="s">
        <v>1144</v>
      </c>
      <c r="D227" s="125" t="s">
        <v>1</v>
      </c>
      <c r="E227" s="125">
        <v>500</v>
      </c>
      <c r="F227" s="125">
        <v>2.4799999999999999E-2</v>
      </c>
      <c r="G227" s="125">
        <v>9.7999999999999997E-3</v>
      </c>
      <c r="H227" s="128">
        <f t="shared" si="8"/>
        <v>0.60483870967741937</v>
      </c>
      <c r="I227" s="125" t="s">
        <v>98</v>
      </c>
      <c r="J227" s="125" t="s">
        <v>755</v>
      </c>
      <c r="K227" s="125" t="s">
        <v>163</v>
      </c>
      <c r="L227" s="125" t="s">
        <v>6</v>
      </c>
      <c r="M227" s="125">
        <v>4</v>
      </c>
      <c r="N227" s="127">
        <v>5</v>
      </c>
      <c r="O227" s="125"/>
    </row>
    <row r="228" spans="1:15" x14ac:dyDescent="0.35">
      <c r="A228" s="125">
        <v>1065</v>
      </c>
      <c r="B228" s="125" t="s">
        <v>0</v>
      </c>
      <c r="C228" s="125" t="s">
        <v>1169</v>
      </c>
      <c r="D228" s="125" t="s">
        <v>1</v>
      </c>
      <c r="E228" s="125">
        <v>320</v>
      </c>
      <c r="F228" s="125">
        <v>3.7600000000000001E-2</v>
      </c>
      <c r="G228" s="125">
        <v>3.2000000000000001E-2</v>
      </c>
      <c r="H228" s="128">
        <f t="shared" si="8"/>
        <v>0.14893617021276598</v>
      </c>
      <c r="I228" s="125" t="s">
        <v>98</v>
      </c>
      <c r="J228" s="125" t="s">
        <v>755</v>
      </c>
      <c r="K228" s="125" t="s">
        <v>222</v>
      </c>
      <c r="L228" s="125" t="s">
        <v>76</v>
      </c>
      <c r="M228" s="125">
        <v>6</v>
      </c>
      <c r="N228" s="127">
        <v>25</v>
      </c>
      <c r="O228" s="125"/>
    </row>
    <row r="229" spans="1:15" x14ac:dyDescent="0.35">
      <c r="A229" s="125">
        <v>1066</v>
      </c>
      <c r="B229" s="125" t="s">
        <v>0</v>
      </c>
      <c r="C229" s="125" t="s">
        <v>1170</v>
      </c>
      <c r="D229" s="125" t="s">
        <v>1</v>
      </c>
      <c r="E229" s="125">
        <v>320</v>
      </c>
      <c r="F229" s="125">
        <v>3.7600000000000001E-2</v>
      </c>
      <c r="G229" s="125">
        <v>3.2000000000000001E-2</v>
      </c>
      <c r="H229" s="128">
        <f t="shared" si="8"/>
        <v>0.14893617021276598</v>
      </c>
      <c r="I229" s="125" t="s">
        <v>98</v>
      </c>
      <c r="J229" s="125" t="s">
        <v>755</v>
      </c>
      <c r="K229" s="125" t="s">
        <v>222</v>
      </c>
      <c r="L229" s="125" t="s">
        <v>76</v>
      </c>
      <c r="M229" s="125">
        <v>6</v>
      </c>
      <c r="N229" s="127">
        <v>25</v>
      </c>
      <c r="O229" s="125"/>
    </row>
    <row r="230" spans="1:15" x14ac:dyDescent="0.35">
      <c r="A230" s="125">
        <v>1872</v>
      </c>
      <c r="B230" s="125" t="s">
        <v>0</v>
      </c>
      <c r="C230" s="125" t="s">
        <v>1257</v>
      </c>
      <c r="D230" s="125" t="s">
        <v>1</v>
      </c>
      <c r="E230" s="125">
        <v>1920</v>
      </c>
      <c r="F230" s="125">
        <v>1.0699999999999999E-2</v>
      </c>
      <c r="G230" s="125">
        <v>8.0999999999999996E-3</v>
      </c>
      <c r="H230" s="128">
        <f t="shared" si="8"/>
        <v>0.24299065420560748</v>
      </c>
      <c r="I230" s="125" t="s">
        <v>98</v>
      </c>
      <c r="J230" s="125" t="s">
        <v>755</v>
      </c>
      <c r="K230" s="125" t="s">
        <v>105</v>
      </c>
      <c r="L230" s="125" t="s">
        <v>76</v>
      </c>
      <c r="M230" s="125">
        <v>20</v>
      </c>
      <c r="N230" s="127">
        <v>16</v>
      </c>
      <c r="O230" s="125"/>
    </row>
    <row r="231" spans="1:15" x14ac:dyDescent="0.35">
      <c r="A231" s="125">
        <v>214</v>
      </c>
      <c r="B231" s="125" t="s">
        <v>0</v>
      </c>
      <c r="C231" s="125" t="s">
        <v>674</v>
      </c>
      <c r="D231" s="125" t="s">
        <v>1</v>
      </c>
      <c r="E231" s="125">
        <v>1000</v>
      </c>
      <c r="F231" s="125">
        <v>1.2800000000000001E-2</v>
      </c>
      <c r="G231" s="125">
        <v>1.01E-2</v>
      </c>
      <c r="H231" s="128">
        <f t="shared" si="8"/>
        <v>0.21093750000000006</v>
      </c>
      <c r="I231" s="125" t="s">
        <v>98</v>
      </c>
      <c r="J231" s="125" t="s">
        <v>675</v>
      </c>
      <c r="K231" s="125" t="s">
        <v>105</v>
      </c>
      <c r="L231" s="125" t="s">
        <v>76</v>
      </c>
      <c r="M231" s="125">
        <v>20</v>
      </c>
      <c r="N231" s="127">
        <v>20</v>
      </c>
      <c r="O231" s="125"/>
    </row>
    <row r="232" spans="1:15" x14ac:dyDescent="0.35">
      <c r="A232" s="125">
        <v>216</v>
      </c>
      <c r="B232" s="125" t="s">
        <v>0</v>
      </c>
      <c r="C232" s="125" t="s">
        <v>676</v>
      </c>
      <c r="D232" s="125" t="s">
        <v>1</v>
      </c>
      <c r="E232" s="125">
        <v>1000</v>
      </c>
      <c r="F232" s="125">
        <v>1.2800000000000001E-2</v>
      </c>
      <c r="G232" s="125">
        <v>1.01E-2</v>
      </c>
      <c r="H232" s="128">
        <f t="shared" si="8"/>
        <v>0.21093750000000006</v>
      </c>
      <c r="I232" s="125" t="s">
        <v>98</v>
      </c>
      <c r="J232" s="125" t="s">
        <v>675</v>
      </c>
      <c r="K232" s="125" t="s">
        <v>105</v>
      </c>
      <c r="L232" s="125" t="s">
        <v>76</v>
      </c>
      <c r="M232" s="125">
        <v>20</v>
      </c>
      <c r="N232" s="127">
        <v>18</v>
      </c>
      <c r="O232" s="125"/>
    </row>
    <row r="233" spans="1:15" x14ac:dyDescent="0.35">
      <c r="A233" s="125">
        <v>144</v>
      </c>
      <c r="B233" s="125" t="s">
        <v>0</v>
      </c>
      <c r="C233" s="125" t="s">
        <v>629</v>
      </c>
      <c r="D233" s="125" t="s">
        <v>1</v>
      </c>
      <c r="E233" s="125">
        <v>1680</v>
      </c>
      <c r="F233" s="125">
        <v>1.6400000000000001E-2</v>
      </c>
      <c r="G233" s="125">
        <v>1.0999999999999999E-2</v>
      </c>
      <c r="H233" s="128">
        <f t="shared" si="8"/>
        <v>0.3292682926829269</v>
      </c>
      <c r="I233" s="125" t="s">
        <v>98</v>
      </c>
      <c r="J233" s="125" t="s">
        <v>415</v>
      </c>
      <c r="K233" s="125" t="s">
        <v>105</v>
      </c>
      <c r="L233" s="125" t="s">
        <v>76</v>
      </c>
      <c r="M233" s="125">
        <v>16</v>
      </c>
      <c r="N233" s="127">
        <v>10</v>
      </c>
      <c r="O233" s="125"/>
    </row>
    <row r="234" spans="1:15" x14ac:dyDescent="0.35">
      <c r="A234" s="125">
        <v>688</v>
      </c>
      <c r="B234" s="125" t="s">
        <v>0</v>
      </c>
      <c r="C234" s="125" t="s">
        <v>946</v>
      </c>
      <c r="D234" s="125" t="s">
        <v>1</v>
      </c>
      <c r="E234" s="125">
        <v>650</v>
      </c>
      <c r="F234" s="125">
        <v>3.56E-2</v>
      </c>
      <c r="G234" s="125">
        <v>1.9300000000000001E-2</v>
      </c>
      <c r="H234" s="128">
        <f t="shared" si="8"/>
        <v>0.4578651685393258</v>
      </c>
      <c r="I234" s="125" t="s">
        <v>98</v>
      </c>
      <c r="J234" s="125" t="s">
        <v>947</v>
      </c>
      <c r="K234" s="125" t="s">
        <v>261</v>
      </c>
      <c r="L234" s="125" t="s">
        <v>76</v>
      </c>
      <c r="M234" s="125">
        <v>8</v>
      </c>
      <c r="N234" s="127">
        <v>15</v>
      </c>
      <c r="O234" s="125"/>
    </row>
    <row r="235" spans="1:15" x14ac:dyDescent="0.35">
      <c r="A235" s="125">
        <v>979</v>
      </c>
      <c r="B235" s="125" t="s">
        <v>0</v>
      </c>
      <c r="C235" s="125" t="s">
        <v>1125</v>
      </c>
      <c r="D235" s="125" t="s">
        <v>1</v>
      </c>
      <c r="E235" s="125">
        <v>6700</v>
      </c>
      <c r="F235" s="125">
        <v>8.5000000000000006E-3</v>
      </c>
      <c r="G235" s="125">
        <v>4.4999999999999997E-3</v>
      </c>
      <c r="H235" s="128">
        <f t="shared" si="8"/>
        <v>0.47058823529411775</v>
      </c>
      <c r="I235" s="125" t="s">
        <v>98</v>
      </c>
      <c r="J235" s="125" t="s">
        <v>947</v>
      </c>
      <c r="K235" s="125" t="s">
        <v>5</v>
      </c>
      <c r="L235" s="125" t="s">
        <v>1402</v>
      </c>
      <c r="M235" s="125">
        <v>32</v>
      </c>
      <c r="N235" s="127">
        <v>5</v>
      </c>
      <c r="O235" s="125"/>
    </row>
    <row r="236" spans="1:15" x14ac:dyDescent="0.35">
      <c r="A236" s="125">
        <v>1064</v>
      </c>
      <c r="B236" s="125" t="s">
        <v>0</v>
      </c>
      <c r="C236" s="125" t="s">
        <v>1168</v>
      </c>
      <c r="D236" s="125" t="s">
        <v>1</v>
      </c>
      <c r="E236" s="125">
        <v>180</v>
      </c>
      <c r="F236" s="125">
        <v>5.0200000000000002E-2</v>
      </c>
      <c r="G236" s="125">
        <v>4.4200000000000003E-2</v>
      </c>
      <c r="H236" s="128">
        <f t="shared" si="8"/>
        <v>0.11952191235059757</v>
      </c>
      <c r="I236" s="125" t="s">
        <v>98</v>
      </c>
      <c r="J236" s="125" t="s">
        <v>947</v>
      </c>
      <c r="K236" s="125" t="s">
        <v>222</v>
      </c>
      <c r="L236" s="125" t="s">
        <v>76</v>
      </c>
      <c r="M236" s="125">
        <v>6</v>
      </c>
      <c r="N236" s="127">
        <v>14</v>
      </c>
      <c r="O236" s="125"/>
    </row>
    <row r="237" spans="1:15" x14ac:dyDescent="0.35">
      <c r="A237" s="125">
        <v>313</v>
      </c>
      <c r="B237" s="125" t="s">
        <v>0</v>
      </c>
      <c r="C237" s="125" t="s">
        <v>752</v>
      </c>
      <c r="D237" s="125" t="s">
        <v>1</v>
      </c>
      <c r="E237" s="125">
        <v>650</v>
      </c>
      <c r="F237" s="125">
        <v>2.4299999999999999E-2</v>
      </c>
      <c r="G237" s="125">
        <v>1.8800000000000001E-2</v>
      </c>
      <c r="H237" s="128">
        <f t="shared" si="8"/>
        <v>0.22633744855967072</v>
      </c>
      <c r="I237" s="125" t="s">
        <v>98</v>
      </c>
      <c r="J237" s="125" t="s">
        <v>753</v>
      </c>
      <c r="K237" s="125" t="s">
        <v>105</v>
      </c>
      <c r="L237" s="125" t="s">
        <v>76</v>
      </c>
      <c r="M237" s="125">
        <v>12</v>
      </c>
      <c r="N237" s="127">
        <v>10</v>
      </c>
      <c r="O237" s="125"/>
    </row>
    <row r="238" spans="1:15" x14ac:dyDescent="0.35">
      <c r="A238" s="125">
        <v>681</v>
      </c>
      <c r="B238" s="125" t="s">
        <v>0</v>
      </c>
      <c r="C238" s="125" t="s">
        <v>934</v>
      </c>
      <c r="D238" s="125" t="s">
        <v>1</v>
      </c>
      <c r="E238" s="125">
        <v>1350</v>
      </c>
      <c r="F238" s="125">
        <v>1.06E-2</v>
      </c>
      <c r="G238" s="125">
        <v>7.1000000000000004E-3</v>
      </c>
      <c r="H238" s="128">
        <f t="shared" si="8"/>
        <v>0.330188679245283</v>
      </c>
      <c r="I238" s="125" t="s">
        <v>98</v>
      </c>
      <c r="J238" s="125" t="s">
        <v>935</v>
      </c>
      <c r="K238" s="125" t="s">
        <v>105</v>
      </c>
      <c r="L238" s="125" t="s">
        <v>76</v>
      </c>
      <c r="M238" s="125">
        <v>24</v>
      </c>
      <c r="N238" s="127">
        <v>8</v>
      </c>
      <c r="O238" s="125"/>
    </row>
    <row r="239" spans="1:15" x14ac:dyDescent="0.35">
      <c r="A239" s="125">
        <v>682</v>
      </c>
      <c r="B239" s="125" t="s">
        <v>0</v>
      </c>
      <c r="C239" s="125" t="s">
        <v>936</v>
      </c>
      <c r="D239" s="125" t="s">
        <v>1</v>
      </c>
      <c r="E239" s="125">
        <v>1000</v>
      </c>
      <c r="F239" s="125">
        <v>1.06E-2</v>
      </c>
      <c r="G239" s="125">
        <v>7.1000000000000004E-3</v>
      </c>
      <c r="H239" s="128">
        <f t="shared" si="8"/>
        <v>0.330188679245283</v>
      </c>
      <c r="I239" s="125" t="s">
        <v>98</v>
      </c>
      <c r="J239" s="125" t="s">
        <v>935</v>
      </c>
      <c r="K239" s="125" t="s">
        <v>5</v>
      </c>
      <c r="L239" s="125" t="s">
        <v>1402</v>
      </c>
      <c r="M239" s="125">
        <v>24</v>
      </c>
      <c r="N239" s="127">
        <v>14</v>
      </c>
      <c r="O239" s="125"/>
    </row>
    <row r="240" spans="1:15" x14ac:dyDescent="0.35">
      <c r="A240" s="125">
        <v>980</v>
      </c>
      <c r="B240" s="125" t="s">
        <v>0</v>
      </c>
      <c r="C240" s="125" t="s">
        <v>1126</v>
      </c>
      <c r="D240" s="125" t="s">
        <v>1</v>
      </c>
      <c r="E240" s="125">
        <v>2900</v>
      </c>
      <c r="F240" s="125">
        <v>2.3800000000000002E-2</v>
      </c>
      <c r="G240" s="125">
        <v>7.1000000000000004E-3</v>
      </c>
      <c r="H240" s="128">
        <f t="shared" si="8"/>
        <v>0.70168067226890751</v>
      </c>
      <c r="I240" s="125" t="s">
        <v>98</v>
      </c>
      <c r="J240" s="125" t="s">
        <v>935</v>
      </c>
      <c r="K240" s="125" t="s">
        <v>5</v>
      </c>
      <c r="L240" s="125" t="s">
        <v>1402</v>
      </c>
      <c r="M240" s="125">
        <v>18</v>
      </c>
      <c r="N240" s="127">
        <v>9</v>
      </c>
      <c r="O240" s="125"/>
    </row>
    <row r="241" spans="1:15" x14ac:dyDescent="0.35">
      <c r="A241" s="125">
        <v>981</v>
      </c>
      <c r="B241" s="125" t="s">
        <v>0</v>
      </c>
      <c r="C241" s="125" t="s">
        <v>1127</v>
      </c>
      <c r="D241" s="125" t="s">
        <v>1</v>
      </c>
      <c r="E241" s="125">
        <v>1000</v>
      </c>
      <c r="F241" s="125">
        <v>2.86E-2</v>
      </c>
      <c r="G241" s="125">
        <v>1.26E-2</v>
      </c>
      <c r="H241" s="128">
        <f t="shared" si="8"/>
        <v>0.55944055944055948</v>
      </c>
      <c r="I241" s="125" t="s">
        <v>98</v>
      </c>
      <c r="J241" s="125" t="s">
        <v>935</v>
      </c>
      <c r="K241" s="125" t="s">
        <v>105</v>
      </c>
      <c r="L241" s="125" t="s">
        <v>76</v>
      </c>
      <c r="M241" s="125">
        <v>15</v>
      </c>
      <c r="N241" s="127">
        <v>12</v>
      </c>
      <c r="O241" s="125"/>
    </row>
    <row r="243" spans="1:15" x14ac:dyDescent="0.35">
      <c r="A243" s="125">
        <v>700</v>
      </c>
      <c r="B243" s="125" t="s">
        <v>0</v>
      </c>
      <c r="C243" s="125" t="s">
        <v>955</v>
      </c>
      <c r="D243" s="125" t="s">
        <v>1</v>
      </c>
      <c r="E243" s="125">
        <v>1000</v>
      </c>
      <c r="F243" s="125">
        <v>2.4400000000000002E-2</v>
      </c>
      <c r="G243" s="125">
        <v>2.0400000000000001E-2</v>
      </c>
      <c r="H243" s="128">
        <f t="shared" ref="H243:H284" si="9">(F243-G243)/F243</f>
        <v>0.16393442622950818</v>
      </c>
      <c r="I243" s="125" t="s">
        <v>98</v>
      </c>
      <c r="J243" s="125" t="s">
        <v>956</v>
      </c>
      <c r="K243" s="125" t="s">
        <v>413</v>
      </c>
      <c r="L243" s="125"/>
      <c r="M243" s="125">
        <v>4</v>
      </c>
      <c r="N243" s="127">
        <v>45</v>
      </c>
      <c r="O243" s="125"/>
    </row>
    <row r="244" spans="1:15" x14ac:dyDescent="0.35">
      <c r="A244" s="125">
        <v>701</v>
      </c>
      <c r="B244" s="125" t="s">
        <v>0</v>
      </c>
      <c r="C244" s="125" t="s">
        <v>957</v>
      </c>
      <c r="D244" s="125" t="s">
        <v>1</v>
      </c>
      <c r="E244" s="125">
        <v>1000</v>
      </c>
      <c r="F244" s="125">
        <v>2.4199999999999999E-2</v>
      </c>
      <c r="G244" s="125">
        <v>2.0400000000000001E-2</v>
      </c>
      <c r="H244" s="128">
        <f t="shared" si="9"/>
        <v>0.15702479338842967</v>
      </c>
      <c r="I244" s="125" t="s">
        <v>98</v>
      </c>
      <c r="J244" s="125" t="s">
        <v>956</v>
      </c>
      <c r="K244" s="125" t="s">
        <v>413</v>
      </c>
      <c r="L244" s="125" t="s">
        <v>76</v>
      </c>
      <c r="M244" s="125">
        <v>4</v>
      </c>
      <c r="N244" s="127">
        <v>45</v>
      </c>
      <c r="O244" s="125"/>
    </row>
    <row r="245" spans="1:15" x14ac:dyDescent="0.35">
      <c r="A245" s="125">
        <v>702</v>
      </c>
      <c r="B245" s="125" t="s">
        <v>0</v>
      </c>
      <c r="C245" s="125" t="s">
        <v>958</v>
      </c>
      <c r="D245" s="125" t="s">
        <v>1</v>
      </c>
      <c r="E245" s="125">
        <v>1000</v>
      </c>
      <c r="F245" s="125">
        <v>2.4199999999999999E-2</v>
      </c>
      <c r="G245" s="125">
        <v>2.0400000000000001E-2</v>
      </c>
      <c r="H245" s="128">
        <f t="shared" si="9"/>
        <v>0.15702479338842967</v>
      </c>
      <c r="I245" s="125" t="s">
        <v>98</v>
      </c>
      <c r="J245" s="125" t="s">
        <v>956</v>
      </c>
      <c r="K245" s="125" t="s">
        <v>413</v>
      </c>
      <c r="L245" s="125"/>
      <c r="M245" s="125">
        <v>4</v>
      </c>
      <c r="N245" s="127">
        <v>45</v>
      </c>
      <c r="O245" s="125"/>
    </row>
    <row r="246" spans="1:15" x14ac:dyDescent="0.35">
      <c r="A246" s="125">
        <v>703</v>
      </c>
      <c r="B246" s="125" t="s">
        <v>0</v>
      </c>
      <c r="C246" s="125" t="s">
        <v>959</v>
      </c>
      <c r="D246" s="125" t="s">
        <v>1</v>
      </c>
      <c r="E246" s="125">
        <v>1000</v>
      </c>
      <c r="F246" s="125">
        <v>2.4199999999999999E-2</v>
      </c>
      <c r="G246" s="125">
        <v>2.0400000000000001E-2</v>
      </c>
      <c r="H246" s="128">
        <f t="shared" si="9"/>
        <v>0.15702479338842967</v>
      </c>
      <c r="I246" s="125" t="s">
        <v>98</v>
      </c>
      <c r="J246" s="125" t="s">
        <v>956</v>
      </c>
      <c r="K246" s="125" t="s">
        <v>413</v>
      </c>
      <c r="L246" s="125" t="s">
        <v>76</v>
      </c>
      <c r="M246" s="125">
        <v>4</v>
      </c>
      <c r="N246" s="127">
        <v>45</v>
      </c>
      <c r="O246" s="125"/>
    </row>
    <row r="247" spans="1:15" x14ac:dyDescent="0.35">
      <c r="A247" s="125">
        <v>704</v>
      </c>
      <c r="B247" s="125" t="s">
        <v>0</v>
      </c>
      <c r="C247" s="125" t="s">
        <v>960</v>
      </c>
      <c r="D247" s="125" t="s">
        <v>1</v>
      </c>
      <c r="E247" s="125">
        <v>1000</v>
      </c>
      <c r="F247" s="125">
        <v>2.4199999999999999E-2</v>
      </c>
      <c r="G247" s="125">
        <v>2.0400000000000001E-2</v>
      </c>
      <c r="H247" s="128">
        <f t="shared" si="9"/>
        <v>0.15702479338842967</v>
      </c>
      <c r="I247" s="125" t="s">
        <v>98</v>
      </c>
      <c r="J247" s="125" t="s">
        <v>956</v>
      </c>
      <c r="K247" s="125" t="s">
        <v>413</v>
      </c>
      <c r="L247" s="125" t="s">
        <v>76</v>
      </c>
      <c r="M247" s="125">
        <v>4</v>
      </c>
      <c r="N247" s="127">
        <v>45</v>
      </c>
      <c r="O247" s="125"/>
    </row>
    <row r="248" spans="1:15" x14ac:dyDescent="0.35">
      <c r="A248" s="125">
        <v>705</v>
      </c>
      <c r="B248" s="125" t="s">
        <v>0</v>
      </c>
      <c r="C248" s="125" t="s">
        <v>961</v>
      </c>
      <c r="D248" s="125" t="s">
        <v>1</v>
      </c>
      <c r="E248" s="125">
        <v>1000</v>
      </c>
      <c r="F248" s="125">
        <v>2.4199999999999999E-2</v>
      </c>
      <c r="G248" s="125">
        <v>2.0400000000000001E-2</v>
      </c>
      <c r="H248" s="128">
        <f t="shared" si="9"/>
        <v>0.15702479338842967</v>
      </c>
      <c r="I248" s="125" t="s">
        <v>98</v>
      </c>
      <c r="J248" s="125" t="s">
        <v>956</v>
      </c>
      <c r="K248" s="125" t="s">
        <v>413</v>
      </c>
      <c r="L248" s="125" t="s">
        <v>76</v>
      </c>
      <c r="M248" s="125">
        <v>4</v>
      </c>
      <c r="N248" s="127">
        <v>45</v>
      </c>
      <c r="O248" s="125"/>
    </row>
    <row r="249" spans="1:15" x14ac:dyDescent="0.35">
      <c r="A249" s="125">
        <v>706</v>
      </c>
      <c r="B249" s="125" t="s">
        <v>0</v>
      </c>
      <c r="C249" s="125" t="s">
        <v>962</v>
      </c>
      <c r="D249" s="125" t="s">
        <v>1</v>
      </c>
      <c r="E249" s="125">
        <v>1000</v>
      </c>
      <c r="F249" s="125">
        <v>2.4199999999999999E-2</v>
      </c>
      <c r="G249" s="125">
        <v>2.0400000000000001E-2</v>
      </c>
      <c r="H249" s="128">
        <f t="shared" si="9"/>
        <v>0.15702479338842967</v>
      </c>
      <c r="I249" s="125" t="s">
        <v>98</v>
      </c>
      <c r="J249" s="125" t="s">
        <v>956</v>
      </c>
      <c r="K249" s="125" t="s">
        <v>413</v>
      </c>
      <c r="L249" s="125" t="s">
        <v>76</v>
      </c>
      <c r="M249" s="125">
        <v>4</v>
      </c>
      <c r="N249" s="127">
        <v>45</v>
      </c>
      <c r="O249" s="125"/>
    </row>
    <row r="250" spans="1:15" x14ac:dyDescent="0.35">
      <c r="A250" s="125">
        <v>708</v>
      </c>
      <c r="B250" s="125" t="s">
        <v>0</v>
      </c>
      <c r="C250" s="125" t="s">
        <v>965</v>
      </c>
      <c r="D250" s="125" t="s">
        <v>1</v>
      </c>
      <c r="E250" s="125">
        <v>1000</v>
      </c>
      <c r="F250" s="125">
        <v>2.4199999999999999E-2</v>
      </c>
      <c r="G250" s="125">
        <v>2.0400000000000001E-2</v>
      </c>
      <c r="H250" s="128">
        <f t="shared" si="9"/>
        <v>0.15702479338842967</v>
      </c>
      <c r="I250" s="125" t="s">
        <v>98</v>
      </c>
      <c r="J250" s="125" t="s">
        <v>956</v>
      </c>
      <c r="K250" s="125" t="s">
        <v>413</v>
      </c>
      <c r="L250" s="125" t="s">
        <v>76</v>
      </c>
      <c r="M250" s="125">
        <v>4</v>
      </c>
      <c r="N250" s="127">
        <v>45</v>
      </c>
      <c r="O250" s="125"/>
    </row>
    <row r="251" spans="1:15" x14ac:dyDescent="0.35">
      <c r="A251" s="125">
        <v>709</v>
      </c>
      <c r="B251" s="125" t="s">
        <v>0</v>
      </c>
      <c r="C251" s="125" t="s">
        <v>966</v>
      </c>
      <c r="D251" s="125" t="s">
        <v>1</v>
      </c>
      <c r="E251" s="125">
        <v>1000</v>
      </c>
      <c r="F251" s="125">
        <v>2.4199999999999999E-2</v>
      </c>
      <c r="G251" s="125">
        <v>2.0400000000000001E-2</v>
      </c>
      <c r="H251" s="128">
        <f t="shared" si="9"/>
        <v>0.15702479338842967</v>
      </c>
      <c r="I251" s="125" t="s">
        <v>98</v>
      </c>
      <c r="J251" s="125" t="s">
        <v>956</v>
      </c>
      <c r="K251" s="125" t="s">
        <v>413</v>
      </c>
      <c r="L251" s="125" t="s">
        <v>76</v>
      </c>
      <c r="M251" s="125">
        <v>4</v>
      </c>
      <c r="N251" s="127">
        <v>45</v>
      </c>
      <c r="O251" s="125"/>
    </row>
    <row r="252" spans="1:15" x14ac:dyDescent="0.35">
      <c r="A252" s="125">
        <v>710</v>
      </c>
      <c r="B252" s="125" t="s">
        <v>0</v>
      </c>
      <c r="C252" s="125" t="s">
        <v>967</v>
      </c>
      <c r="D252" s="125" t="s">
        <v>1</v>
      </c>
      <c r="E252" s="125">
        <v>1000</v>
      </c>
      <c r="F252" s="125">
        <v>2.4199999999999999E-2</v>
      </c>
      <c r="G252" s="125">
        <v>2.0400000000000001E-2</v>
      </c>
      <c r="H252" s="128">
        <f t="shared" si="9"/>
        <v>0.15702479338842967</v>
      </c>
      <c r="I252" s="125" t="s">
        <v>98</v>
      </c>
      <c r="J252" s="125" t="s">
        <v>956</v>
      </c>
      <c r="K252" s="125" t="s">
        <v>413</v>
      </c>
      <c r="L252" s="125" t="s">
        <v>76</v>
      </c>
      <c r="M252" s="125">
        <v>4</v>
      </c>
      <c r="N252" s="127">
        <v>45</v>
      </c>
      <c r="O252" s="125"/>
    </row>
    <row r="253" spans="1:15" x14ac:dyDescent="0.35">
      <c r="A253" s="125">
        <v>711</v>
      </c>
      <c r="B253" s="125" t="s">
        <v>0</v>
      </c>
      <c r="C253" s="125" t="s">
        <v>968</v>
      </c>
      <c r="D253" s="125" t="s">
        <v>1</v>
      </c>
      <c r="E253" s="125">
        <v>1000</v>
      </c>
      <c r="F253" s="125">
        <v>2.4199999999999999E-2</v>
      </c>
      <c r="G253" s="125">
        <v>2.0400000000000001E-2</v>
      </c>
      <c r="H253" s="128">
        <f t="shared" si="9"/>
        <v>0.15702479338842967</v>
      </c>
      <c r="I253" s="125" t="s">
        <v>98</v>
      </c>
      <c r="J253" s="125" t="s">
        <v>956</v>
      </c>
      <c r="K253" s="125" t="s">
        <v>413</v>
      </c>
      <c r="L253" s="125" t="s">
        <v>76</v>
      </c>
      <c r="M253" s="125">
        <v>4</v>
      </c>
      <c r="N253" s="127">
        <v>45</v>
      </c>
      <c r="O253" s="125"/>
    </row>
    <row r="254" spans="1:15" x14ac:dyDescent="0.35">
      <c r="A254" s="125">
        <v>712</v>
      </c>
      <c r="B254" s="125" t="s">
        <v>0</v>
      </c>
      <c r="C254" s="125" t="s">
        <v>970</v>
      </c>
      <c r="D254" s="125" t="s">
        <v>1</v>
      </c>
      <c r="E254" s="125">
        <v>1000</v>
      </c>
      <c r="F254" s="125">
        <v>2.4199999999999999E-2</v>
      </c>
      <c r="G254" s="125">
        <v>2.0400000000000001E-2</v>
      </c>
      <c r="H254" s="128">
        <f t="shared" si="9"/>
        <v>0.15702479338842967</v>
      </c>
      <c r="I254" s="125" t="s">
        <v>98</v>
      </c>
      <c r="J254" s="125" t="s">
        <v>956</v>
      </c>
      <c r="K254" s="125" t="s">
        <v>413</v>
      </c>
      <c r="L254" s="125"/>
      <c r="M254" s="125">
        <v>4</v>
      </c>
      <c r="N254" s="127">
        <v>45</v>
      </c>
      <c r="O254" s="125"/>
    </row>
    <row r="255" spans="1:15" x14ac:dyDescent="0.35">
      <c r="A255" s="125">
        <v>713</v>
      </c>
      <c r="B255" s="125" t="s">
        <v>0</v>
      </c>
      <c r="C255" s="125" t="s">
        <v>971</v>
      </c>
      <c r="D255" s="125" t="s">
        <v>1</v>
      </c>
      <c r="E255" s="125">
        <v>1000</v>
      </c>
      <c r="F255" s="125">
        <v>2.4199999999999999E-2</v>
      </c>
      <c r="G255" s="125">
        <v>2.0400000000000001E-2</v>
      </c>
      <c r="H255" s="128">
        <f t="shared" si="9"/>
        <v>0.15702479338842967</v>
      </c>
      <c r="I255" s="125" t="s">
        <v>98</v>
      </c>
      <c r="J255" s="125" t="s">
        <v>956</v>
      </c>
      <c r="K255" s="125" t="s">
        <v>413</v>
      </c>
      <c r="L255" s="125" t="s">
        <v>76</v>
      </c>
      <c r="M255" s="125">
        <v>4</v>
      </c>
      <c r="N255" s="127">
        <v>45</v>
      </c>
      <c r="O255" s="125"/>
    </row>
    <row r="256" spans="1:15" x14ac:dyDescent="0.35">
      <c r="A256" s="125">
        <v>714</v>
      </c>
      <c r="B256" s="125" t="s">
        <v>0</v>
      </c>
      <c r="C256" s="125" t="s">
        <v>972</v>
      </c>
      <c r="D256" s="125" t="s">
        <v>1</v>
      </c>
      <c r="E256" s="125">
        <v>1000</v>
      </c>
      <c r="F256" s="125">
        <v>2.4199999999999999E-2</v>
      </c>
      <c r="G256" s="125">
        <v>2.0400000000000001E-2</v>
      </c>
      <c r="H256" s="128">
        <f t="shared" si="9"/>
        <v>0.15702479338842967</v>
      </c>
      <c r="I256" s="125" t="s">
        <v>98</v>
      </c>
      <c r="J256" s="125" t="s">
        <v>956</v>
      </c>
      <c r="K256" s="125" t="s">
        <v>413</v>
      </c>
      <c r="L256" s="125"/>
      <c r="M256" s="125">
        <v>4</v>
      </c>
      <c r="N256" s="127">
        <v>45</v>
      </c>
      <c r="O256" s="125"/>
    </row>
    <row r="257" spans="1:15" x14ac:dyDescent="0.35">
      <c r="A257" s="125">
        <v>715</v>
      </c>
      <c r="B257" s="125" t="s">
        <v>0</v>
      </c>
      <c r="C257" s="125" t="s">
        <v>973</v>
      </c>
      <c r="D257" s="125" t="s">
        <v>1</v>
      </c>
      <c r="E257" s="125">
        <v>1000</v>
      </c>
      <c r="F257" s="125">
        <v>2.4199999999999999E-2</v>
      </c>
      <c r="G257" s="125">
        <v>2.0400000000000001E-2</v>
      </c>
      <c r="H257" s="128">
        <f t="shared" si="9"/>
        <v>0.15702479338842967</v>
      </c>
      <c r="I257" s="125" t="s">
        <v>98</v>
      </c>
      <c r="J257" s="125" t="s">
        <v>956</v>
      </c>
      <c r="K257" s="125" t="s">
        <v>413</v>
      </c>
      <c r="L257" s="125"/>
      <c r="M257" s="125">
        <v>4</v>
      </c>
      <c r="N257" s="127">
        <v>45</v>
      </c>
      <c r="O257" s="125"/>
    </row>
    <row r="258" spans="1:15" x14ac:dyDescent="0.35">
      <c r="A258" s="125">
        <v>716</v>
      </c>
      <c r="B258" s="125" t="s">
        <v>0</v>
      </c>
      <c r="C258" s="125" t="s">
        <v>974</v>
      </c>
      <c r="D258" s="125" t="s">
        <v>1</v>
      </c>
      <c r="E258" s="125">
        <v>1000</v>
      </c>
      <c r="F258" s="125">
        <v>2.4199999999999999E-2</v>
      </c>
      <c r="G258" s="125">
        <v>2.0400000000000001E-2</v>
      </c>
      <c r="H258" s="128">
        <f t="shared" si="9"/>
        <v>0.15702479338842967</v>
      </c>
      <c r="I258" s="125" t="s">
        <v>98</v>
      </c>
      <c r="J258" s="125" t="s">
        <v>956</v>
      </c>
      <c r="K258" s="125" t="s">
        <v>413</v>
      </c>
      <c r="L258" s="125"/>
      <c r="M258" s="125">
        <v>4</v>
      </c>
      <c r="N258" s="127">
        <v>45</v>
      </c>
      <c r="O258" s="125"/>
    </row>
    <row r="259" spans="1:15" x14ac:dyDescent="0.35">
      <c r="A259" s="125">
        <v>717</v>
      </c>
      <c r="B259" s="125" t="s">
        <v>0</v>
      </c>
      <c r="C259" s="125" t="s">
        <v>975</v>
      </c>
      <c r="D259" s="125" t="s">
        <v>1</v>
      </c>
      <c r="E259" s="125">
        <v>1000</v>
      </c>
      <c r="F259" s="125">
        <v>2.4199999999999999E-2</v>
      </c>
      <c r="G259" s="125">
        <v>2.0400000000000001E-2</v>
      </c>
      <c r="H259" s="128">
        <f t="shared" si="9"/>
        <v>0.15702479338842967</v>
      </c>
      <c r="I259" s="125" t="s">
        <v>98</v>
      </c>
      <c r="J259" s="125" t="s">
        <v>956</v>
      </c>
      <c r="K259" s="125" t="s">
        <v>413</v>
      </c>
      <c r="L259" s="125"/>
      <c r="M259" s="125">
        <v>4</v>
      </c>
      <c r="N259" s="127">
        <v>45</v>
      </c>
      <c r="O259" s="125"/>
    </row>
    <row r="260" spans="1:15" x14ac:dyDescent="0.35">
      <c r="A260" s="125">
        <v>718</v>
      </c>
      <c r="B260" s="125" t="s">
        <v>0</v>
      </c>
      <c r="C260" s="125" t="s">
        <v>976</v>
      </c>
      <c r="D260" s="125" t="s">
        <v>1</v>
      </c>
      <c r="E260" s="125">
        <v>1000</v>
      </c>
      <c r="F260" s="125">
        <v>2.4199999999999999E-2</v>
      </c>
      <c r="G260" s="125">
        <v>2.0400000000000001E-2</v>
      </c>
      <c r="H260" s="128">
        <f t="shared" si="9"/>
        <v>0.15702479338842967</v>
      </c>
      <c r="I260" s="125" t="s">
        <v>98</v>
      </c>
      <c r="J260" s="125" t="s">
        <v>956</v>
      </c>
      <c r="K260" s="125" t="s">
        <v>413</v>
      </c>
      <c r="L260" s="125"/>
      <c r="M260" s="125">
        <v>4</v>
      </c>
      <c r="N260" s="127">
        <v>45</v>
      </c>
      <c r="O260" s="125"/>
    </row>
    <row r="261" spans="1:15" x14ac:dyDescent="0.35">
      <c r="A261" s="125">
        <v>719</v>
      </c>
      <c r="B261" s="125" t="s">
        <v>0</v>
      </c>
      <c r="C261" s="125" t="s">
        <v>977</v>
      </c>
      <c r="D261" s="125" t="s">
        <v>1</v>
      </c>
      <c r="E261" s="125">
        <v>1000</v>
      </c>
      <c r="F261" s="125">
        <v>2.4199999999999999E-2</v>
      </c>
      <c r="G261" s="125">
        <v>2.0400000000000001E-2</v>
      </c>
      <c r="H261" s="128">
        <f t="shared" si="9"/>
        <v>0.15702479338842967</v>
      </c>
      <c r="I261" s="125" t="s">
        <v>98</v>
      </c>
      <c r="J261" s="125" t="s">
        <v>956</v>
      </c>
      <c r="K261" s="125" t="s">
        <v>413</v>
      </c>
      <c r="L261" s="125"/>
      <c r="M261" s="125">
        <v>4</v>
      </c>
      <c r="N261" s="127">
        <v>45</v>
      </c>
      <c r="O261" s="125"/>
    </row>
    <row r="262" spans="1:15" x14ac:dyDescent="0.35">
      <c r="A262" s="125">
        <v>720</v>
      </c>
      <c r="B262" s="125" t="s">
        <v>0</v>
      </c>
      <c r="C262" s="125" t="s">
        <v>978</v>
      </c>
      <c r="D262" s="125" t="s">
        <v>1</v>
      </c>
      <c r="E262" s="125">
        <v>1000</v>
      </c>
      <c r="F262" s="125">
        <v>2.4199999999999999E-2</v>
      </c>
      <c r="G262" s="125">
        <v>2.0400000000000001E-2</v>
      </c>
      <c r="H262" s="128">
        <f t="shared" si="9"/>
        <v>0.15702479338842967</v>
      </c>
      <c r="I262" s="125" t="s">
        <v>98</v>
      </c>
      <c r="J262" s="125" t="s">
        <v>956</v>
      </c>
      <c r="K262" s="125" t="s">
        <v>413</v>
      </c>
      <c r="L262" s="125"/>
      <c r="M262" s="125">
        <v>4</v>
      </c>
      <c r="N262" s="127">
        <v>45</v>
      </c>
      <c r="O262" s="125"/>
    </row>
    <row r="263" spans="1:15" x14ac:dyDescent="0.35">
      <c r="A263" s="125">
        <v>721</v>
      </c>
      <c r="B263" s="125" t="s">
        <v>0</v>
      </c>
      <c r="C263" s="125" t="s">
        <v>979</v>
      </c>
      <c r="D263" s="125" t="s">
        <v>1</v>
      </c>
      <c r="E263" s="125">
        <v>1000</v>
      </c>
      <c r="F263" s="125">
        <v>2.4199999999999999E-2</v>
      </c>
      <c r="G263" s="125">
        <v>2.0400000000000001E-2</v>
      </c>
      <c r="H263" s="128">
        <f t="shared" si="9"/>
        <v>0.15702479338842967</v>
      </c>
      <c r="I263" s="125" t="s">
        <v>98</v>
      </c>
      <c r="J263" s="125" t="s">
        <v>956</v>
      </c>
      <c r="K263" s="125" t="s">
        <v>413</v>
      </c>
      <c r="L263" s="125"/>
      <c r="M263" s="125">
        <v>4</v>
      </c>
      <c r="N263" s="127">
        <v>45</v>
      </c>
      <c r="O263" s="125"/>
    </row>
    <row r="264" spans="1:15" x14ac:dyDescent="0.35">
      <c r="A264" s="125">
        <v>733</v>
      </c>
      <c r="B264" s="125" t="s">
        <v>0</v>
      </c>
      <c r="C264" s="125" t="s">
        <v>986</v>
      </c>
      <c r="D264" s="125" t="s">
        <v>1</v>
      </c>
      <c r="E264" s="125">
        <v>750</v>
      </c>
      <c r="F264" s="125">
        <v>4.0099999999999997E-2</v>
      </c>
      <c r="G264" s="125">
        <v>3.3099999999999997E-2</v>
      </c>
      <c r="H264" s="128">
        <f t="shared" si="9"/>
        <v>0.1745635910224439</v>
      </c>
      <c r="I264" s="125" t="s">
        <v>98</v>
      </c>
      <c r="J264" s="125" t="s">
        <v>987</v>
      </c>
      <c r="K264" s="125" t="s">
        <v>413</v>
      </c>
      <c r="L264" s="125" t="s">
        <v>76</v>
      </c>
      <c r="M264" s="125">
        <v>3</v>
      </c>
      <c r="N264" s="127">
        <v>45</v>
      </c>
      <c r="O264" s="125"/>
    </row>
    <row r="265" spans="1:15" x14ac:dyDescent="0.35">
      <c r="A265" s="125">
        <v>734</v>
      </c>
      <c r="B265" s="125" t="s">
        <v>0</v>
      </c>
      <c r="C265" s="125" t="s">
        <v>988</v>
      </c>
      <c r="D265" s="125" t="s">
        <v>1</v>
      </c>
      <c r="E265" s="125">
        <v>750</v>
      </c>
      <c r="F265" s="125">
        <v>4.0099999999999997E-2</v>
      </c>
      <c r="G265" s="125">
        <v>3.3099999999999997E-2</v>
      </c>
      <c r="H265" s="128">
        <f t="shared" si="9"/>
        <v>0.1745635910224439</v>
      </c>
      <c r="I265" s="125" t="s">
        <v>98</v>
      </c>
      <c r="J265" s="125" t="s">
        <v>987</v>
      </c>
      <c r="K265" s="125" t="s">
        <v>413</v>
      </c>
      <c r="L265" s="125" t="s">
        <v>76</v>
      </c>
      <c r="M265" s="125">
        <v>3</v>
      </c>
      <c r="N265" s="127">
        <v>45</v>
      </c>
      <c r="O265" s="125"/>
    </row>
    <row r="266" spans="1:15" x14ac:dyDescent="0.35">
      <c r="A266" s="125">
        <v>736</v>
      </c>
      <c r="B266" s="125" t="s">
        <v>0</v>
      </c>
      <c r="C266" s="125" t="s">
        <v>994</v>
      </c>
      <c r="D266" s="125" t="s">
        <v>1</v>
      </c>
      <c r="E266" s="125">
        <v>750</v>
      </c>
      <c r="F266" s="125">
        <v>4.0099999999999997E-2</v>
      </c>
      <c r="G266" s="125">
        <v>3.3099999999999997E-2</v>
      </c>
      <c r="H266" s="128">
        <f t="shared" si="9"/>
        <v>0.1745635910224439</v>
      </c>
      <c r="I266" s="125" t="s">
        <v>98</v>
      </c>
      <c r="J266" s="125" t="s">
        <v>987</v>
      </c>
      <c r="K266" s="125" t="s">
        <v>413</v>
      </c>
      <c r="L266" s="125" t="s">
        <v>76</v>
      </c>
      <c r="M266" s="125">
        <v>3</v>
      </c>
      <c r="N266" s="127">
        <v>45</v>
      </c>
      <c r="O266" s="125"/>
    </row>
    <row r="267" spans="1:15" x14ac:dyDescent="0.35">
      <c r="A267" s="125">
        <v>738</v>
      </c>
      <c r="B267" s="125" t="s">
        <v>0</v>
      </c>
      <c r="C267" s="125" t="s">
        <v>997</v>
      </c>
      <c r="D267" s="125" t="s">
        <v>1</v>
      </c>
      <c r="E267" s="125">
        <v>750</v>
      </c>
      <c r="F267" s="125">
        <v>4.0099999999999997E-2</v>
      </c>
      <c r="G267" s="125">
        <v>3.3099999999999997E-2</v>
      </c>
      <c r="H267" s="128">
        <f t="shared" si="9"/>
        <v>0.1745635910224439</v>
      </c>
      <c r="I267" s="125" t="s">
        <v>98</v>
      </c>
      <c r="J267" s="125" t="s">
        <v>987</v>
      </c>
      <c r="K267" s="125" t="s">
        <v>413</v>
      </c>
      <c r="L267" s="125" t="s">
        <v>76</v>
      </c>
      <c r="M267" s="125">
        <v>3</v>
      </c>
      <c r="N267" s="127">
        <v>45</v>
      </c>
      <c r="O267" s="125"/>
    </row>
    <row r="268" spans="1:15" x14ac:dyDescent="0.35">
      <c r="A268" s="125">
        <v>739</v>
      </c>
      <c r="B268" s="125" t="s">
        <v>0</v>
      </c>
      <c r="C268" s="125" t="s">
        <v>998</v>
      </c>
      <c r="D268" s="125" t="s">
        <v>1</v>
      </c>
      <c r="E268" s="125">
        <v>750</v>
      </c>
      <c r="F268" s="125">
        <v>4.0099999999999997E-2</v>
      </c>
      <c r="G268" s="125">
        <v>3.3099999999999997E-2</v>
      </c>
      <c r="H268" s="128">
        <f t="shared" si="9"/>
        <v>0.1745635910224439</v>
      </c>
      <c r="I268" s="125" t="s">
        <v>98</v>
      </c>
      <c r="J268" s="125" t="s">
        <v>987</v>
      </c>
      <c r="K268" s="125" t="s">
        <v>413</v>
      </c>
      <c r="L268" s="125" t="s">
        <v>76</v>
      </c>
      <c r="M268" s="125">
        <v>3</v>
      </c>
      <c r="N268" s="127">
        <v>45</v>
      </c>
      <c r="O268" s="125"/>
    </row>
    <row r="269" spans="1:15" x14ac:dyDescent="0.35">
      <c r="A269" s="125">
        <v>740</v>
      </c>
      <c r="B269" s="125" t="s">
        <v>0</v>
      </c>
      <c r="C269" s="125" t="s">
        <v>999</v>
      </c>
      <c r="D269" s="125" t="s">
        <v>1</v>
      </c>
      <c r="E269" s="125">
        <v>750</v>
      </c>
      <c r="F269" s="125">
        <v>4.0099999999999997E-2</v>
      </c>
      <c r="G269" s="125">
        <v>3.3099999999999997E-2</v>
      </c>
      <c r="H269" s="128">
        <f t="shared" si="9"/>
        <v>0.1745635910224439</v>
      </c>
      <c r="I269" s="125" t="s">
        <v>98</v>
      </c>
      <c r="J269" s="125" t="s">
        <v>987</v>
      </c>
      <c r="K269" s="125" t="s">
        <v>413</v>
      </c>
      <c r="L269" s="125" t="s">
        <v>76</v>
      </c>
      <c r="M269" s="125">
        <v>3</v>
      </c>
      <c r="N269" s="127">
        <v>45</v>
      </c>
      <c r="O269" s="125"/>
    </row>
    <row r="270" spans="1:15" x14ac:dyDescent="0.35">
      <c r="A270" s="125">
        <v>741</v>
      </c>
      <c r="B270" s="125" t="s">
        <v>0</v>
      </c>
      <c r="C270" s="125" t="s">
        <v>1000</v>
      </c>
      <c r="D270" s="125" t="s">
        <v>1</v>
      </c>
      <c r="E270" s="125">
        <v>750</v>
      </c>
      <c r="F270" s="125">
        <v>4.0099999999999997E-2</v>
      </c>
      <c r="G270" s="125">
        <v>3.3099999999999997E-2</v>
      </c>
      <c r="H270" s="128">
        <f t="shared" si="9"/>
        <v>0.1745635910224439</v>
      </c>
      <c r="I270" s="125" t="s">
        <v>98</v>
      </c>
      <c r="J270" s="125" t="s">
        <v>987</v>
      </c>
      <c r="K270" s="125" t="s">
        <v>413</v>
      </c>
      <c r="L270" s="125" t="s">
        <v>76</v>
      </c>
      <c r="M270" s="125">
        <v>3</v>
      </c>
      <c r="N270" s="127">
        <v>45</v>
      </c>
      <c r="O270" s="125"/>
    </row>
    <row r="271" spans="1:15" x14ac:dyDescent="0.35">
      <c r="A271" s="125">
        <v>742</v>
      </c>
      <c r="B271" s="125" t="s">
        <v>0</v>
      </c>
      <c r="C271" s="125" t="s">
        <v>1001</v>
      </c>
      <c r="D271" s="125" t="s">
        <v>1</v>
      </c>
      <c r="E271" s="125">
        <v>750</v>
      </c>
      <c r="F271" s="125">
        <v>4.0099999999999997E-2</v>
      </c>
      <c r="G271" s="125">
        <v>3.3099999999999997E-2</v>
      </c>
      <c r="H271" s="128">
        <f t="shared" si="9"/>
        <v>0.1745635910224439</v>
      </c>
      <c r="I271" s="125" t="s">
        <v>98</v>
      </c>
      <c r="J271" s="125" t="s">
        <v>987</v>
      </c>
      <c r="K271" s="125" t="s">
        <v>413</v>
      </c>
      <c r="L271" s="125" t="s">
        <v>76</v>
      </c>
      <c r="M271" s="125">
        <v>3</v>
      </c>
      <c r="N271" s="127">
        <v>45</v>
      </c>
      <c r="O271" s="125"/>
    </row>
    <row r="272" spans="1:15" x14ac:dyDescent="0.35">
      <c r="A272" s="125">
        <v>745</v>
      </c>
      <c r="B272" s="125" t="s">
        <v>0</v>
      </c>
      <c r="C272" s="125" t="s">
        <v>1005</v>
      </c>
      <c r="D272" s="125" t="s">
        <v>1</v>
      </c>
      <c r="E272" s="125">
        <v>750</v>
      </c>
      <c r="F272" s="125">
        <v>4.0099999999999997E-2</v>
      </c>
      <c r="G272" s="125">
        <v>3.3099999999999997E-2</v>
      </c>
      <c r="H272" s="128">
        <f t="shared" si="9"/>
        <v>0.1745635910224439</v>
      </c>
      <c r="I272" s="125" t="s">
        <v>98</v>
      </c>
      <c r="J272" s="125" t="s">
        <v>987</v>
      </c>
      <c r="K272" s="125" t="s">
        <v>413</v>
      </c>
      <c r="L272" s="125" t="s">
        <v>76</v>
      </c>
      <c r="M272" s="125">
        <v>3</v>
      </c>
      <c r="N272" s="127">
        <v>45</v>
      </c>
      <c r="O272" s="125"/>
    </row>
    <row r="273" spans="1:15" x14ac:dyDescent="0.35">
      <c r="A273" s="125">
        <v>722</v>
      </c>
      <c r="B273" s="125" t="s">
        <v>0</v>
      </c>
      <c r="C273" s="125" t="s">
        <v>980</v>
      </c>
      <c r="D273" s="125" t="s">
        <v>1</v>
      </c>
      <c r="E273" s="125">
        <v>1000</v>
      </c>
      <c r="F273" s="125">
        <v>6.6E-3</v>
      </c>
      <c r="G273" s="125">
        <v>4.1999999999999997E-3</v>
      </c>
      <c r="H273" s="128">
        <f t="shared" si="9"/>
        <v>0.36363636363636365</v>
      </c>
      <c r="I273" s="125" t="s">
        <v>98</v>
      </c>
      <c r="J273" s="125" t="s">
        <v>981</v>
      </c>
      <c r="K273" s="125" t="s">
        <v>982</v>
      </c>
      <c r="L273" s="125" t="s">
        <v>983</v>
      </c>
      <c r="M273" s="125">
        <v>24</v>
      </c>
      <c r="N273" s="127">
        <v>40</v>
      </c>
      <c r="O273" s="125"/>
    </row>
    <row r="274" spans="1:15" x14ac:dyDescent="0.35">
      <c r="A274" s="125">
        <v>145</v>
      </c>
      <c r="B274" s="125" t="s">
        <v>0</v>
      </c>
      <c r="C274" s="125" t="s">
        <v>630</v>
      </c>
      <c r="D274" s="125" t="s">
        <v>1</v>
      </c>
      <c r="E274" s="125">
        <v>300</v>
      </c>
      <c r="F274" s="125">
        <v>9.6799999999999997E-2</v>
      </c>
      <c r="G274" s="125">
        <v>5.96E-2</v>
      </c>
      <c r="H274" s="128">
        <f t="shared" si="9"/>
        <v>0.38429752066115702</v>
      </c>
      <c r="I274" s="125" t="s">
        <v>98</v>
      </c>
      <c r="J274" s="125" t="s">
        <v>631</v>
      </c>
      <c r="K274" s="125" t="s">
        <v>413</v>
      </c>
      <c r="L274" s="125" t="s">
        <v>76</v>
      </c>
      <c r="M274" s="125">
        <v>6</v>
      </c>
      <c r="N274" s="127">
        <v>20</v>
      </c>
      <c r="O274" s="125"/>
    </row>
    <row r="275" spans="1:15" x14ac:dyDescent="0.35">
      <c r="A275" s="125">
        <v>146</v>
      </c>
      <c r="B275" s="125" t="s">
        <v>0</v>
      </c>
      <c r="C275" s="125" t="s">
        <v>632</v>
      </c>
      <c r="D275" s="125" t="s">
        <v>1</v>
      </c>
      <c r="E275" s="125">
        <v>200</v>
      </c>
      <c r="F275" s="125">
        <v>9.6799999999999997E-2</v>
      </c>
      <c r="G275" s="125">
        <v>5.96E-2</v>
      </c>
      <c r="H275" s="128">
        <f t="shared" si="9"/>
        <v>0.38429752066115702</v>
      </c>
      <c r="I275" s="125" t="s">
        <v>98</v>
      </c>
      <c r="J275" s="125" t="s">
        <v>631</v>
      </c>
      <c r="K275" s="125" t="s">
        <v>413</v>
      </c>
      <c r="L275" s="125" t="s">
        <v>76</v>
      </c>
      <c r="M275" s="125">
        <v>6</v>
      </c>
      <c r="N275" s="127">
        <v>28</v>
      </c>
      <c r="O275" s="125"/>
    </row>
    <row r="276" spans="1:15" x14ac:dyDescent="0.35">
      <c r="A276" s="125">
        <v>1754</v>
      </c>
      <c r="B276" s="125" t="s">
        <v>0</v>
      </c>
      <c r="C276" s="125" t="s">
        <v>1213</v>
      </c>
      <c r="D276" s="125" t="s">
        <v>1</v>
      </c>
      <c r="E276" s="125">
        <v>300</v>
      </c>
      <c r="F276" s="125">
        <v>9.6799999999999997E-2</v>
      </c>
      <c r="G276" s="125">
        <v>5.96E-2</v>
      </c>
      <c r="H276" s="128">
        <f t="shared" si="9"/>
        <v>0.38429752066115702</v>
      </c>
      <c r="I276" s="125" t="s">
        <v>98</v>
      </c>
      <c r="J276" s="125" t="s">
        <v>631</v>
      </c>
      <c r="K276" s="125" t="s">
        <v>413</v>
      </c>
      <c r="L276" s="125" t="s">
        <v>76</v>
      </c>
      <c r="M276" s="125">
        <v>6</v>
      </c>
      <c r="N276" s="127">
        <v>20</v>
      </c>
      <c r="O276" s="125"/>
    </row>
    <row r="277" spans="1:15" x14ac:dyDescent="0.35">
      <c r="A277" s="125">
        <v>1755</v>
      </c>
      <c r="B277" s="125" t="s">
        <v>0</v>
      </c>
      <c r="C277" s="125" t="s">
        <v>1214</v>
      </c>
      <c r="D277" s="125" t="s">
        <v>1</v>
      </c>
      <c r="E277" s="125">
        <v>300</v>
      </c>
      <c r="F277" s="125">
        <v>9.6799999999999997E-2</v>
      </c>
      <c r="G277" s="125">
        <v>5.96E-2</v>
      </c>
      <c r="H277" s="128">
        <f t="shared" si="9"/>
        <v>0.38429752066115702</v>
      </c>
      <c r="I277" s="125" t="s">
        <v>98</v>
      </c>
      <c r="J277" s="125" t="s">
        <v>631</v>
      </c>
      <c r="K277" s="125" t="s">
        <v>413</v>
      </c>
      <c r="L277" s="125" t="s">
        <v>76</v>
      </c>
      <c r="M277" s="125">
        <v>6</v>
      </c>
      <c r="N277" s="127">
        <v>20</v>
      </c>
      <c r="O277" s="125"/>
    </row>
    <row r="278" spans="1:15" x14ac:dyDescent="0.35">
      <c r="A278" s="125">
        <v>1756</v>
      </c>
      <c r="B278" s="125" t="s">
        <v>0</v>
      </c>
      <c r="C278" s="125" t="s">
        <v>1215</v>
      </c>
      <c r="D278" s="125" t="s">
        <v>1</v>
      </c>
      <c r="E278" s="125">
        <v>300</v>
      </c>
      <c r="F278" s="125">
        <v>9.6799999999999997E-2</v>
      </c>
      <c r="G278" s="125">
        <v>5.96E-2</v>
      </c>
      <c r="H278" s="128">
        <f t="shared" si="9"/>
        <v>0.38429752066115702</v>
      </c>
      <c r="I278" s="125" t="s">
        <v>98</v>
      </c>
      <c r="J278" s="125" t="s">
        <v>631</v>
      </c>
      <c r="K278" s="125" t="s">
        <v>413</v>
      </c>
      <c r="L278" s="125" t="s">
        <v>76</v>
      </c>
      <c r="M278" s="125">
        <v>6</v>
      </c>
      <c r="N278" s="127">
        <v>20</v>
      </c>
      <c r="O278" s="125"/>
    </row>
    <row r="279" spans="1:15" x14ac:dyDescent="0.35">
      <c r="A279" s="125">
        <v>1760</v>
      </c>
      <c r="B279" s="125" t="s">
        <v>0</v>
      </c>
      <c r="C279" s="125" t="s">
        <v>1220</v>
      </c>
      <c r="D279" s="125" t="s">
        <v>1</v>
      </c>
      <c r="E279" s="125">
        <v>200</v>
      </c>
      <c r="F279" s="125">
        <v>9.6799999999999997E-2</v>
      </c>
      <c r="G279" s="125">
        <v>5.96E-2</v>
      </c>
      <c r="H279" s="128">
        <f t="shared" si="9"/>
        <v>0.38429752066115702</v>
      </c>
      <c r="I279" s="125" t="s">
        <v>98</v>
      </c>
      <c r="J279" s="125" t="s">
        <v>631</v>
      </c>
      <c r="K279" s="125" t="s">
        <v>413</v>
      </c>
      <c r="L279" s="125" t="s">
        <v>76</v>
      </c>
      <c r="M279" s="125">
        <v>6</v>
      </c>
      <c r="N279" s="127">
        <v>28</v>
      </c>
      <c r="O279" s="125"/>
    </row>
    <row r="280" spans="1:15" x14ac:dyDescent="0.35">
      <c r="A280" s="125">
        <v>1771</v>
      </c>
      <c r="B280" s="125" t="s">
        <v>84</v>
      </c>
      <c r="C280" s="125" t="s">
        <v>1226</v>
      </c>
      <c r="D280" s="125" t="s">
        <v>1</v>
      </c>
      <c r="E280" s="125">
        <v>1140</v>
      </c>
      <c r="F280" s="125">
        <v>2.7699999999999999E-2</v>
      </c>
      <c r="G280" s="125"/>
      <c r="H280" s="128">
        <f t="shared" si="9"/>
        <v>1</v>
      </c>
      <c r="I280" s="125" t="s">
        <v>98</v>
      </c>
      <c r="J280" s="125" t="s">
        <v>1227</v>
      </c>
      <c r="K280" s="125" t="s">
        <v>413</v>
      </c>
      <c r="L280" s="125" t="s">
        <v>76</v>
      </c>
      <c r="M280" s="125">
        <v>26</v>
      </c>
      <c r="N280" s="127"/>
      <c r="O280" s="125"/>
    </row>
    <row r="281" spans="1:15" x14ac:dyDescent="0.35">
      <c r="A281" s="125">
        <v>1772</v>
      </c>
      <c r="B281" s="125" t="s">
        <v>84</v>
      </c>
      <c r="C281" s="125" t="s">
        <v>1228</v>
      </c>
      <c r="D281" s="125" t="s">
        <v>1</v>
      </c>
      <c r="E281" s="125">
        <v>1140</v>
      </c>
      <c r="F281" s="125">
        <v>2.7699999999999999E-2</v>
      </c>
      <c r="G281" s="125"/>
      <c r="H281" s="128">
        <f t="shared" si="9"/>
        <v>1</v>
      </c>
      <c r="I281" s="125" t="s">
        <v>98</v>
      </c>
      <c r="J281" s="125" t="s">
        <v>1227</v>
      </c>
      <c r="K281" s="125" t="s">
        <v>413</v>
      </c>
      <c r="L281" s="125" t="s">
        <v>76</v>
      </c>
      <c r="M281" s="125">
        <v>26</v>
      </c>
      <c r="N281" s="127"/>
      <c r="O281" s="125"/>
    </row>
    <row r="282" spans="1:15" x14ac:dyDescent="0.35">
      <c r="A282" s="125">
        <v>147</v>
      </c>
      <c r="B282" s="125" t="s">
        <v>84</v>
      </c>
      <c r="C282" s="125" t="s">
        <v>633</v>
      </c>
      <c r="D282" s="125" t="s">
        <v>1</v>
      </c>
      <c r="E282" s="125">
        <v>500</v>
      </c>
      <c r="F282" s="125">
        <v>4.1300000000000003E-2</v>
      </c>
      <c r="G282" s="125"/>
      <c r="H282" s="128">
        <f t="shared" si="9"/>
        <v>1</v>
      </c>
      <c r="I282" s="125" t="s">
        <v>98</v>
      </c>
      <c r="J282" s="125" t="s">
        <v>634</v>
      </c>
      <c r="K282" s="125" t="s">
        <v>413</v>
      </c>
      <c r="L282" s="125" t="s">
        <v>76</v>
      </c>
      <c r="M282" s="125">
        <v>18</v>
      </c>
      <c r="N282" s="127">
        <v>6</v>
      </c>
      <c r="O282" s="125"/>
    </row>
    <row r="283" spans="1:15" x14ac:dyDescent="0.35">
      <c r="A283" s="125">
        <v>150</v>
      </c>
      <c r="B283" s="125" t="s">
        <v>0</v>
      </c>
      <c r="C283" s="125" t="s">
        <v>639</v>
      </c>
      <c r="D283" s="125" t="s">
        <v>1</v>
      </c>
      <c r="E283" s="125">
        <v>50</v>
      </c>
      <c r="F283" s="125">
        <v>0.2069</v>
      </c>
      <c r="G283" s="125"/>
      <c r="H283" s="128">
        <f t="shared" si="9"/>
        <v>1</v>
      </c>
      <c r="I283" s="125" t="s">
        <v>98</v>
      </c>
      <c r="J283" s="125" t="s">
        <v>640</v>
      </c>
      <c r="K283" s="125" t="s">
        <v>413</v>
      </c>
      <c r="L283" s="125" t="s">
        <v>76</v>
      </c>
      <c r="M283" s="125">
        <v>6</v>
      </c>
      <c r="N283" s="127">
        <v>14</v>
      </c>
      <c r="O283" s="125"/>
    </row>
    <row r="284" spans="1:15" x14ac:dyDescent="0.35">
      <c r="A284" s="125">
        <v>255</v>
      </c>
      <c r="B284" s="125" t="s">
        <v>0</v>
      </c>
      <c r="C284" s="125" t="s">
        <v>716</v>
      </c>
      <c r="D284" s="125" t="s">
        <v>1</v>
      </c>
      <c r="E284" s="125">
        <v>40</v>
      </c>
      <c r="F284" s="125">
        <v>0.32340000000000002</v>
      </c>
      <c r="G284" s="125">
        <v>0.24199999999999999</v>
      </c>
      <c r="H284" s="128">
        <f t="shared" si="9"/>
        <v>0.2517006802721089</v>
      </c>
      <c r="I284" s="125" t="s">
        <v>98</v>
      </c>
      <c r="J284" s="125" t="s">
        <v>717</v>
      </c>
      <c r="K284" s="125" t="s">
        <v>105</v>
      </c>
      <c r="L284" s="125" t="s">
        <v>76</v>
      </c>
      <c r="M284" s="125">
        <v>3</v>
      </c>
      <c r="N284" s="127">
        <v>20</v>
      </c>
      <c r="O284" s="125"/>
    </row>
    <row r="285" spans="1:15" x14ac:dyDescent="0.35">
      <c r="A285" s="125"/>
      <c r="B285" s="125"/>
      <c r="C285" s="125"/>
      <c r="D285" s="125"/>
      <c r="E285" s="125"/>
      <c r="F285" s="125"/>
      <c r="G285" s="125"/>
      <c r="H285" s="128"/>
      <c r="I285" s="125"/>
      <c r="J285" s="125"/>
      <c r="K285" s="125"/>
      <c r="L285" s="125"/>
      <c r="M285" s="125"/>
      <c r="N285" s="127"/>
      <c r="O285" s="125"/>
    </row>
    <row r="286" spans="1:15" x14ac:dyDescent="0.35">
      <c r="A286" s="125">
        <v>891</v>
      </c>
      <c r="B286" s="125" t="s">
        <v>0</v>
      </c>
      <c r="C286" s="125" t="s">
        <v>1092</v>
      </c>
      <c r="D286" s="125" t="s">
        <v>1</v>
      </c>
      <c r="E286" s="125">
        <v>1000</v>
      </c>
      <c r="F286" s="125">
        <v>6.6E-3</v>
      </c>
      <c r="G286" s="125">
        <v>4.1999999999999997E-3</v>
      </c>
      <c r="H286" s="128">
        <f t="shared" ref="H286:H296" si="10">(F286-G286)/F286</f>
        <v>0.36363636363636365</v>
      </c>
      <c r="I286" s="125" t="s">
        <v>98</v>
      </c>
      <c r="J286" s="125" t="s">
        <v>1093</v>
      </c>
      <c r="K286" s="125" t="s">
        <v>982</v>
      </c>
      <c r="L286" s="125" t="s">
        <v>983</v>
      </c>
      <c r="M286" s="125">
        <v>24</v>
      </c>
      <c r="N286" s="127">
        <v>40</v>
      </c>
      <c r="O286" s="125"/>
    </row>
    <row r="287" spans="1:15" x14ac:dyDescent="0.35">
      <c r="A287" s="125">
        <v>1779</v>
      </c>
      <c r="B287" s="125" t="s">
        <v>0</v>
      </c>
      <c r="C287" s="125" t="s">
        <v>1239</v>
      </c>
      <c r="D287" s="125" t="s">
        <v>1</v>
      </c>
      <c r="E287" s="125">
        <v>200</v>
      </c>
      <c r="F287" s="125">
        <v>9.6799999999999997E-2</v>
      </c>
      <c r="G287" s="125">
        <v>5.96E-2</v>
      </c>
      <c r="H287" s="128">
        <f t="shared" si="10"/>
        <v>0.38429752066115702</v>
      </c>
      <c r="I287" s="125" t="s">
        <v>98</v>
      </c>
      <c r="J287" s="125" t="s">
        <v>1240</v>
      </c>
      <c r="K287" s="125" t="s">
        <v>413</v>
      </c>
      <c r="L287" s="125" t="s">
        <v>76</v>
      </c>
      <c r="M287" s="125">
        <v>6</v>
      </c>
      <c r="N287" s="127">
        <v>28</v>
      </c>
      <c r="O287" s="125"/>
    </row>
    <row r="288" spans="1:15" x14ac:dyDescent="0.35">
      <c r="A288" s="125">
        <v>1775</v>
      </c>
      <c r="B288" s="125" t="s">
        <v>84</v>
      </c>
      <c r="C288" s="125" t="s">
        <v>1232</v>
      </c>
      <c r="D288" s="125" t="s">
        <v>1</v>
      </c>
      <c r="E288" s="125">
        <v>1140</v>
      </c>
      <c r="F288" s="125">
        <v>2.7699999999999999E-2</v>
      </c>
      <c r="G288" s="125"/>
      <c r="H288" s="128">
        <f t="shared" si="10"/>
        <v>1</v>
      </c>
      <c r="I288" s="125" t="s">
        <v>98</v>
      </c>
      <c r="J288" s="125" t="s">
        <v>1233</v>
      </c>
      <c r="K288" s="125" t="s">
        <v>413</v>
      </c>
      <c r="L288" s="125" t="s">
        <v>76</v>
      </c>
      <c r="M288" s="125">
        <v>26</v>
      </c>
      <c r="N288" s="127"/>
      <c r="O288" s="125"/>
    </row>
    <row r="289" spans="1:15" x14ac:dyDescent="0.35">
      <c r="A289" s="125">
        <v>148</v>
      </c>
      <c r="B289" s="125" t="s">
        <v>84</v>
      </c>
      <c r="C289" s="125" t="s">
        <v>635</v>
      </c>
      <c r="D289" s="125" t="s">
        <v>1</v>
      </c>
      <c r="E289" s="125">
        <v>500</v>
      </c>
      <c r="F289" s="125">
        <v>4.1300000000000003E-2</v>
      </c>
      <c r="G289" s="125"/>
      <c r="H289" s="128">
        <f t="shared" si="10"/>
        <v>1</v>
      </c>
      <c r="I289" s="125" t="s">
        <v>98</v>
      </c>
      <c r="J289" s="125" t="s">
        <v>636</v>
      </c>
      <c r="K289" s="125" t="s">
        <v>413</v>
      </c>
      <c r="L289" s="125" t="s">
        <v>76</v>
      </c>
      <c r="M289" s="125">
        <v>18</v>
      </c>
      <c r="N289" s="127">
        <v>7</v>
      </c>
      <c r="O289" s="125"/>
    </row>
    <row r="290" spans="1:15" x14ac:dyDescent="0.35">
      <c r="A290" s="125">
        <v>486</v>
      </c>
      <c r="B290" s="125" t="s">
        <v>0</v>
      </c>
      <c r="C290" s="125" t="s">
        <v>851</v>
      </c>
      <c r="D290" s="125" t="s">
        <v>1</v>
      </c>
      <c r="E290" s="125">
        <v>200</v>
      </c>
      <c r="F290" s="125">
        <v>9.6000000000000002E-2</v>
      </c>
      <c r="G290" s="125">
        <v>6.88E-2</v>
      </c>
      <c r="H290" s="128">
        <f t="shared" si="10"/>
        <v>0.28333333333333333</v>
      </c>
      <c r="I290" s="125" t="s">
        <v>98</v>
      </c>
      <c r="J290" s="125" t="s">
        <v>636</v>
      </c>
      <c r="K290" s="125" t="s">
        <v>413</v>
      </c>
      <c r="L290" s="125" t="s">
        <v>76</v>
      </c>
      <c r="M290" s="125">
        <v>6</v>
      </c>
      <c r="N290" s="127">
        <v>28</v>
      </c>
      <c r="O290" s="125"/>
    </row>
    <row r="291" spans="1:15" x14ac:dyDescent="0.35">
      <c r="A291" s="125">
        <v>880</v>
      </c>
      <c r="B291" s="125" t="s">
        <v>84</v>
      </c>
      <c r="C291" s="125" t="s">
        <v>1079</v>
      </c>
      <c r="D291" s="125" t="s">
        <v>1</v>
      </c>
      <c r="E291" s="125">
        <v>440</v>
      </c>
      <c r="F291" s="125">
        <v>2.4899999999999999E-2</v>
      </c>
      <c r="G291" s="125"/>
      <c r="H291" s="128">
        <f t="shared" si="10"/>
        <v>1</v>
      </c>
      <c r="I291" s="125" t="s">
        <v>98</v>
      </c>
      <c r="J291" s="125" t="s">
        <v>1080</v>
      </c>
      <c r="K291" s="125" t="s">
        <v>413</v>
      </c>
      <c r="L291" s="125" t="s">
        <v>76</v>
      </c>
      <c r="M291" s="125">
        <v>20</v>
      </c>
      <c r="N291" s="127">
        <v>9</v>
      </c>
      <c r="O291" s="125"/>
    </row>
    <row r="292" spans="1:15" x14ac:dyDescent="0.35">
      <c r="A292" s="125">
        <v>149</v>
      </c>
      <c r="B292" s="125" t="s">
        <v>84</v>
      </c>
      <c r="C292" s="125" t="s">
        <v>637</v>
      </c>
      <c r="D292" s="125" t="s">
        <v>1</v>
      </c>
      <c r="E292" s="125">
        <v>900</v>
      </c>
      <c r="F292" s="125">
        <v>3.6499999999999998E-2</v>
      </c>
      <c r="G292" s="125"/>
      <c r="H292" s="128">
        <f t="shared" si="10"/>
        <v>1</v>
      </c>
      <c r="I292" s="125" t="s">
        <v>98</v>
      </c>
      <c r="J292" s="125" t="s">
        <v>638</v>
      </c>
      <c r="K292" s="125" t="s">
        <v>413</v>
      </c>
      <c r="L292" s="125" t="s">
        <v>76</v>
      </c>
      <c r="M292" s="125">
        <v>22</v>
      </c>
      <c r="N292" s="127">
        <v>7</v>
      </c>
      <c r="O292" s="125"/>
    </row>
    <row r="293" spans="1:15" x14ac:dyDescent="0.35">
      <c r="A293" s="125">
        <v>507</v>
      </c>
      <c r="B293" s="125" t="s">
        <v>0</v>
      </c>
      <c r="C293" s="125" t="s">
        <v>852</v>
      </c>
      <c r="D293" s="125" t="s">
        <v>1</v>
      </c>
      <c r="E293" s="125">
        <v>670</v>
      </c>
      <c r="F293" s="125">
        <v>3.9600000000000003E-2</v>
      </c>
      <c r="G293" s="125">
        <v>0.03</v>
      </c>
      <c r="H293" s="128">
        <f t="shared" si="10"/>
        <v>0.24242424242424251</v>
      </c>
      <c r="I293" s="125" t="s">
        <v>98</v>
      </c>
      <c r="J293" s="125" t="s">
        <v>853</v>
      </c>
      <c r="K293" s="125" t="s">
        <v>413</v>
      </c>
      <c r="L293" s="125" t="s">
        <v>76</v>
      </c>
      <c r="M293" s="125">
        <v>21</v>
      </c>
      <c r="N293" s="127">
        <v>12</v>
      </c>
      <c r="O293" s="125"/>
    </row>
    <row r="294" spans="1:15" x14ac:dyDescent="0.35">
      <c r="A294" s="125">
        <v>151</v>
      </c>
      <c r="B294" s="125" t="s">
        <v>0</v>
      </c>
      <c r="C294" s="125" t="s">
        <v>641</v>
      </c>
      <c r="D294" s="125" t="s">
        <v>1</v>
      </c>
      <c r="E294" s="125">
        <v>50</v>
      </c>
      <c r="F294" s="125">
        <v>0.2069</v>
      </c>
      <c r="G294" s="125"/>
      <c r="H294" s="128">
        <f t="shared" si="10"/>
        <v>1</v>
      </c>
      <c r="I294" s="125" t="s">
        <v>98</v>
      </c>
      <c r="J294" s="125" t="s">
        <v>642</v>
      </c>
      <c r="K294" s="125" t="s">
        <v>413</v>
      </c>
      <c r="L294" s="125" t="s">
        <v>76</v>
      </c>
      <c r="M294" s="125">
        <v>6</v>
      </c>
      <c r="N294" s="127">
        <v>55</v>
      </c>
      <c r="O294" s="125"/>
    </row>
    <row r="295" spans="1:15" x14ac:dyDescent="0.35">
      <c r="A295" s="125">
        <v>152</v>
      </c>
      <c r="B295" s="125" t="s">
        <v>0</v>
      </c>
      <c r="C295" s="125" t="s">
        <v>643</v>
      </c>
      <c r="D295" s="125" t="s">
        <v>1</v>
      </c>
      <c r="E295" s="125">
        <v>70</v>
      </c>
      <c r="F295" s="125">
        <v>0.19850000000000001</v>
      </c>
      <c r="G295" s="125"/>
      <c r="H295" s="128">
        <f t="shared" si="10"/>
        <v>1</v>
      </c>
      <c r="I295" s="125" t="s">
        <v>98</v>
      </c>
      <c r="J295" s="125" t="s">
        <v>642</v>
      </c>
      <c r="K295" s="125" t="s">
        <v>413</v>
      </c>
      <c r="L295" s="125" t="s">
        <v>76</v>
      </c>
      <c r="M295" s="125">
        <v>6</v>
      </c>
      <c r="N295" s="127">
        <v>35</v>
      </c>
      <c r="O295" s="125"/>
    </row>
    <row r="296" spans="1:15" x14ac:dyDescent="0.35">
      <c r="A296" s="125">
        <v>242</v>
      </c>
      <c r="B296" s="125" t="s">
        <v>0</v>
      </c>
      <c r="C296" s="125" t="s">
        <v>702</v>
      </c>
      <c r="D296" s="125" t="s">
        <v>1</v>
      </c>
      <c r="E296" s="125">
        <v>40</v>
      </c>
      <c r="F296" s="125">
        <v>0.32340000000000002</v>
      </c>
      <c r="G296" s="125">
        <v>0.24199999999999999</v>
      </c>
      <c r="H296" s="128">
        <f t="shared" si="10"/>
        <v>0.2517006802721089</v>
      </c>
      <c r="I296" s="125" t="s">
        <v>98</v>
      </c>
      <c r="J296" s="125" t="s">
        <v>703</v>
      </c>
      <c r="K296" s="125" t="s">
        <v>105</v>
      </c>
      <c r="L296" s="125" t="s">
        <v>76</v>
      </c>
      <c r="M296" s="125">
        <v>3</v>
      </c>
      <c r="N296" s="127">
        <v>20</v>
      </c>
      <c r="O296" s="125"/>
    </row>
    <row r="297" spans="1:15" x14ac:dyDescent="0.35">
      <c r="A297" s="125"/>
      <c r="B297" s="125"/>
      <c r="C297" s="125"/>
      <c r="D297" s="125"/>
      <c r="E297" s="125"/>
      <c r="F297" s="125"/>
      <c r="G297" s="125"/>
      <c r="H297" s="128"/>
      <c r="I297" s="125"/>
      <c r="J297" s="125"/>
      <c r="K297" s="125"/>
      <c r="L297" s="125"/>
      <c r="M297" s="125"/>
      <c r="N297" s="127"/>
      <c r="O297" s="125"/>
    </row>
    <row r="298" spans="1:15" x14ac:dyDescent="0.35">
      <c r="A298" s="125">
        <v>839</v>
      </c>
      <c r="B298" s="125" t="s">
        <v>0</v>
      </c>
      <c r="C298" s="125" t="s">
        <v>1053</v>
      </c>
      <c r="D298" s="125" t="s">
        <v>1</v>
      </c>
      <c r="E298" s="125">
        <v>1000</v>
      </c>
      <c r="F298" s="125">
        <v>6.6E-3</v>
      </c>
      <c r="G298" s="125">
        <v>4.1999999999999997E-3</v>
      </c>
      <c r="H298" s="128">
        <f t="shared" ref="H298:H308" si="11">(F298-G298)/F298</f>
        <v>0.36363636363636365</v>
      </c>
      <c r="I298" s="125" t="s">
        <v>98</v>
      </c>
      <c r="J298" s="125" t="s">
        <v>1054</v>
      </c>
      <c r="K298" s="125" t="s">
        <v>982</v>
      </c>
      <c r="L298" s="125" t="s">
        <v>983</v>
      </c>
      <c r="M298" s="125">
        <v>24</v>
      </c>
      <c r="N298" s="127">
        <v>40</v>
      </c>
      <c r="O298" s="125"/>
    </row>
    <row r="299" spans="1:15" x14ac:dyDescent="0.35">
      <c r="A299" s="125">
        <v>1059</v>
      </c>
      <c r="B299" s="125" t="s">
        <v>0</v>
      </c>
      <c r="C299" s="125" t="s">
        <v>1162</v>
      </c>
      <c r="D299" s="125" t="s">
        <v>1</v>
      </c>
      <c r="E299" s="125">
        <v>1000</v>
      </c>
      <c r="F299" s="125">
        <v>1.6199999999999999E-2</v>
      </c>
      <c r="G299" s="125">
        <v>1.2999999999999999E-2</v>
      </c>
      <c r="H299" s="128">
        <f t="shared" si="11"/>
        <v>0.19753086419753085</v>
      </c>
      <c r="I299" s="125" t="s">
        <v>98</v>
      </c>
      <c r="J299" s="125" t="s">
        <v>1163</v>
      </c>
      <c r="K299" s="125" t="s">
        <v>5</v>
      </c>
      <c r="L299" s="125" t="s">
        <v>1402</v>
      </c>
      <c r="M299" s="125">
        <v>20</v>
      </c>
      <c r="N299" s="127">
        <v>18</v>
      </c>
      <c r="O299" s="125"/>
    </row>
    <row r="300" spans="1:15" x14ac:dyDescent="0.35">
      <c r="A300" s="125">
        <v>1063</v>
      </c>
      <c r="B300" s="125" t="s">
        <v>0</v>
      </c>
      <c r="C300" s="125" t="s">
        <v>1167</v>
      </c>
      <c r="D300" s="125" t="s">
        <v>1</v>
      </c>
      <c r="E300" s="125">
        <v>1000</v>
      </c>
      <c r="F300" s="125">
        <v>1.6199999999999999E-2</v>
      </c>
      <c r="G300" s="125">
        <v>1.2999999999999999E-2</v>
      </c>
      <c r="H300" s="128">
        <f t="shared" si="11"/>
        <v>0.19753086419753085</v>
      </c>
      <c r="I300" s="125" t="s">
        <v>98</v>
      </c>
      <c r="J300" s="125" t="s">
        <v>1163</v>
      </c>
      <c r="K300" s="125" t="s">
        <v>5</v>
      </c>
      <c r="L300" s="125" t="s">
        <v>1402</v>
      </c>
      <c r="M300" s="125">
        <v>20</v>
      </c>
      <c r="N300" s="127">
        <v>18</v>
      </c>
      <c r="O300" s="125"/>
    </row>
    <row r="301" spans="1:15" x14ac:dyDescent="0.35">
      <c r="A301" s="125">
        <v>1777</v>
      </c>
      <c r="B301" s="125" t="s">
        <v>84</v>
      </c>
      <c r="C301" s="125" t="s">
        <v>1236</v>
      </c>
      <c r="D301" s="125" t="s">
        <v>1</v>
      </c>
      <c r="E301" s="125">
        <v>1140</v>
      </c>
      <c r="F301" s="125">
        <v>2.7699999999999999E-2</v>
      </c>
      <c r="G301" s="125"/>
      <c r="H301" s="128">
        <f t="shared" si="11"/>
        <v>1</v>
      </c>
      <c r="I301" s="125" t="s">
        <v>98</v>
      </c>
      <c r="J301" s="125" t="s">
        <v>1237</v>
      </c>
      <c r="K301" s="125" t="s">
        <v>413</v>
      </c>
      <c r="L301" s="125" t="s">
        <v>76</v>
      </c>
      <c r="M301" s="125">
        <v>26</v>
      </c>
      <c r="N301" s="127"/>
      <c r="O301" s="125"/>
    </row>
    <row r="302" spans="1:15" x14ac:dyDescent="0.35">
      <c r="A302" s="125">
        <v>1778</v>
      </c>
      <c r="B302" s="125" t="s">
        <v>84</v>
      </c>
      <c r="C302" s="125" t="s">
        <v>1238</v>
      </c>
      <c r="D302" s="125" t="s">
        <v>1</v>
      </c>
      <c r="E302" s="125">
        <v>1140</v>
      </c>
      <c r="F302" s="125">
        <v>2.7699999999999999E-2</v>
      </c>
      <c r="G302" s="125"/>
      <c r="H302" s="128">
        <f t="shared" si="11"/>
        <v>1</v>
      </c>
      <c r="I302" s="125" t="s">
        <v>98</v>
      </c>
      <c r="J302" s="125" t="s">
        <v>1237</v>
      </c>
      <c r="K302" s="125" t="s">
        <v>413</v>
      </c>
      <c r="L302" s="125" t="s">
        <v>76</v>
      </c>
      <c r="M302" s="125">
        <v>26</v>
      </c>
      <c r="N302" s="127"/>
      <c r="O302" s="125"/>
    </row>
    <row r="303" spans="1:15" x14ac:dyDescent="0.35">
      <c r="A303" s="125">
        <v>881</v>
      </c>
      <c r="B303" s="125" t="s">
        <v>84</v>
      </c>
      <c r="C303" s="125" t="s">
        <v>1081</v>
      </c>
      <c r="D303" s="125" t="s">
        <v>1</v>
      </c>
      <c r="E303" s="125">
        <v>440</v>
      </c>
      <c r="F303" s="125">
        <v>2.4899999999999999E-2</v>
      </c>
      <c r="G303" s="125"/>
      <c r="H303" s="128">
        <f t="shared" si="11"/>
        <v>1</v>
      </c>
      <c r="I303" s="125" t="s">
        <v>98</v>
      </c>
      <c r="J303" s="125" t="s">
        <v>1082</v>
      </c>
      <c r="K303" s="125" t="s">
        <v>413</v>
      </c>
      <c r="L303" s="125" t="s">
        <v>76</v>
      </c>
      <c r="M303" s="125">
        <v>20</v>
      </c>
      <c r="N303" s="127">
        <v>9</v>
      </c>
      <c r="O303" s="125"/>
    </row>
    <row r="304" spans="1:15" x14ac:dyDescent="0.35">
      <c r="A304" s="125">
        <v>240</v>
      </c>
      <c r="B304" s="125" t="s">
        <v>0</v>
      </c>
      <c r="C304" s="125" t="s">
        <v>699</v>
      </c>
      <c r="D304" s="125" t="s">
        <v>1</v>
      </c>
      <c r="E304" s="125">
        <v>60</v>
      </c>
      <c r="F304" s="125">
        <v>0.32340000000000002</v>
      </c>
      <c r="G304" s="125">
        <v>0.24199999999999999</v>
      </c>
      <c r="H304" s="128">
        <f t="shared" si="11"/>
        <v>0.2517006802721089</v>
      </c>
      <c r="I304" s="125" t="s">
        <v>98</v>
      </c>
      <c r="J304" s="125" t="s">
        <v>700</v>
      </c>
      <c r="K304" s="125" t="s">
        <v>105</v>
      </c>
      <c r="L304" s="125" t="s">
        <v>76</v>
      </c>
      <c r="M304" s="125">
        <v>3</v>
      </c>
      <c r="N304" s="127">
        <v>20</v>
      </c>
      <c r="O304" s="125"/>
    </row>
    <row r="305" spans="1:15" x14ac:dyDescent="0.35">
      <c r="A305" s="125">
        <v>245</v>
      </c>
      <c r="B305" s="125" t="s">
        <v>0</v>
      </c>
      <c r="C305" s="125" t="s">
        <v>707</v>
      </c>
      <c r="D305" s="125" t="s">
        <v>1</v>
      </c>
      <c r="E305" s="125">
        <v>40</v>
      </c>
      <c r="F305" s="125">
        <v>0.32340000000000002</v>
      </c>
      <c r="G305" s="125">
        <v>0.24199999999999999</v>
      </c>
      <c r="H305" s="128">
        <f t="shared" si="11"/>
        <v>0.2517006802721089</v>
      </c>
      <c r="I305" s="125" t="s">
        <v>98</v>
      </c>
      <c r="J305" s="125" t="s">
        <v>700</v>
      </c>
      <c r="K305" s="125" t="s">
        <v>105</v>
      </c>
      <c r="L305" s="125" t="s">
        <v>76</v>
      </c>
      <c r="M305" s="125">
        <v>3</v>
      </c>
      <c r="N305" s="127">
        <v>20</v>
      </c>
      <c r="O305" s="125"/>
    </row>
    <row r="306" spans="1:15" x14ac:dyDescent="0.35">
      <c r="A306" s="125">
        <v>246</v>
      </c>
      <c r="B306" s="125" t="s">
        <v>0</v>
      </c>
      <c r="C306" s="125" t="s">
        <v>708</v>
      </c>
      <c r="D306" s="125" t="s">
        <v>1</v>
      </c>
      <c r="E306" s="125">
        <v>60</v>
      </c>
      <c r="F306" s="125">
        <v>0.32340000000000002</v>
      </c>
      <c r="G306" s="125">
        <v>0.24199999999999999</v>
      </c>
      <c r="H306" s="128">
        <f t="shared" si="11"/>
        <v>0.2517006802721089</v>
      </c>
      <c r="I306" s="125" t="s">
        <v>98</v>
      </c>
      <c r="J306" s="125" t="s">
        <v>700</v>
      </c>
      <c r="K306" s="125" t="s">
        <v>129</v>
      </c>
      <c r="L306" s="125" t="s">
        <v>76</v>
      </c>
      <c r="M306" s="125">
        <v>3</v>
      </c>
      <c r="N306" s="127">
        <v>20</v>
      </c>
      <c r="O306" s="125"/>
    </row>
    <row r="307" spans="1:15" x14ac:dyDescent="0.35">
      <c r="A307" s="125">
        <v>248</v>
      </c>
      <c r="B307" s="125" t="s">
        <v>0</v>
      </c>
      <c r="C307" s="125" t="s">
        <v>710</v>
      </c>
      <c r="D307" s="125" t="s">
        <v>1</v>
      </c>
      <c r="E307" s="125">
        <v>45</v>
      </c>
      <c r="F307" s="125">
        <v>0.32340000000000002</v>
      </c>
      <c r="G307" s="125">
        <v>0.24199999999999999</v>
      </c>
      <c r="H307" s="128">
        <f t="shared" si="11"/>
        <v>0.2517006802721089</v>
      </c>
      <c r="I307" s="125" t="s">
        <v>98</v>
      </c>
      <c r="J307" s="125" t="s">
        <v>700</v>
      </c>
      <c r="K307" s="125" t="s">
        <v>105</v>
      </c>
      <c r="L307" s="125" t="s">
        <v>76</v>
      </c>
      <c r="M307" s="125">
        <v>3</v>
      </c>
      <c r="N307" s="127">
        <v>20</v>
      </c>
      <c r="O307" s="125"/>
    </row>
    <row r="308" spans="1:15" x14ac:dyDescent="0.35">
      <c r="A308" s="125">
        <v>253</v>
      </c>
      <c r="B308" s="125" t="s">
        <v>0</v>
      </c>
      <c r="C308" s="125" t="s">
        <v>714</v>
      </c>
      <c r="D308" s="125" t="s">
        <v>1</v>
      </c>
      <c r="E308" s="125">
        <v>60</v>
      </c>
      <c r="F308" s="125">
        <v>0.32340000000000002</v>
      </c>
      <c r="G308" s="125">
        <v>0.24199999999999999</v>
      </c>
      <c r="H308" s="128">
        <f t="shared" si="11"/>
        <v>0.2517006802721089</v>
      </c>
      <c r="I308" s="125" t="s">
        <v>98</v>
      </c>
      <c r="J308" s="125" t="s">
        <v>700</v>
      </c>
      <c r="K308" s="125"/>
      <c r="L308" s="125"/>
      <c r="M308" s="125">
        <v>3</v>
      </c>
      <c r="N308" s="127">
        <v>20</v>
      </c>
      <c r="O308" s="125"/>
    </row>
    <row r="310" spans="1:15" x14ac:dyDescent="0.35">
      <c r="A310" s="125">
        <v>747</v>
      </c>
      <c r="B310" s="125" t="s">
        <v>0</v>
      </c>
      <c r="C310" s="125" t="s">
        <v>1008</v>
      </c>
      <c r="D310" s="125" t="s">
        <v>1</v>
      </c>
      <c r="E310" s="125">
        <v>1000</v>
      </c>
      <c r="F310" s="125">
        <v>6.6E-3</v>
      </c>
      <c r="G310" s="125">
        <v>4.1999999999999997E-3</v>
      </c>
      <c r="H310" s="128">
        <f t="shared" ref="H310:H325" si="12">(F310-G310)/F310</f>
        <v>0.36363636363636365</v>
      </c>
      <c r="I310" s="125" t="s">
        <v>98</v>
      </c>
      <c r="J310" s="125" t="s">
        <v>1009</v>
      </c>
      <c r="K310" s="125" t="s">
        <v>982</v>
      </c>
      <c r="L310" s="125" t="s">
        <v>983</v>
      </c>
      <c r="M310" s="125">
        <v>24</v>
      </c>
      <c r="N310" s="127">
        <v>40</v>
      </c>
      <c r="O310" s="125"/>
    </row>
    <row r="311" spans="1:15" x14ac:dyDescent="0.35">
      <c r="A311" s="125">
        <v>743</v>
      </c>
      <c r="B311" s="125" t="s">
        <v>0</v>
      </c>
      <c r="C311" s="125" t="s">
        <v>1002</v>
      </c>
      <c r="D311" s="125" t="s">
        <v>1</v>
      </c>
      <c r="E311" s="125">
        <v>1000</v>
      </c>
      <c r="F311" s="125">
        <v>6.6E-3</v>
      </c>
      <c r="G311" s="125">
        <v>4.1999999999999997E-3</v>
      </c>
      <c r="H311" s="128">
        <f t="shared" si="12"/>
        <v>0.36363636363636365</v>
      </c>
      <c r="I311" s="125" t="s">
        <v>98</v>
      </c>
      <c r="J311" s="125" t="s">
        <v>1003</v>
      </c>
      <c r="K311" s="125" t="s">
        <v>982</v>
      </c>
      <c r="L311" s="125" t="s">
        <v>983</v>
      </c>
      <c r="M311" s="125">
        <v>24</v>
      </c>
      <c r="N311" s="127">
        <v>40</v>
      </c>
      <c r="O311" s="125"/>
    </row>
    <row r="312" spans="1:15" x14ac:dyDescent="0.35">
      <c r="A312" s="125">
        <v>838</v>
      </c>
      <c r="B312" s="125" t="s">
        <v>0</v>
      </c>
      <c r="C312" s="125" t="s">
        <v>1051</v>
      </c>
      <c r="D312" s="125" t="s">
        <v>1</v>
      </c>
      <c r="E312" s="125">
        <v>1000</v>
      </c>
      <c r="F312" s="125">
        <v>6.6E-3</v>
      </c>
      <c r="G312" s="125">
        <v>4.1999999999999997E-3</v>
      </c>
      <c r="H312" s="128">
        <f t="shared" si="12"/>
        <v>0.36363636363636365</v>
      </c>
      <c r="I312" s="125" t="s">
        <v>98</v>
      </c>
      <c r="J312" s="125" t="s">
        <v>1052</v>
      </c>
      <c r="K312" s="125" t="s">
        <v>982</v>
      </c>
      <c r="L312" s="125" t="s">
        <v>983</v>
      </c>
      <c r="M312" s="125">
        <v>24</v>
      </c>
      <c r="N312" s="127">
        <v>40</v>
      </c>
      <c r="O312" s="125"/>
    </row>
    <row r="313" spans="1:15" x14ac:dyDescent="0.35">
      <c r="A313" s="125">
        <v>737</v>
      </c>
      <c r="B313" s="125" t="s">
        <v>0</v>
      </c>
      <c r="C313" s="125" t="s">
        <v>995</v>
      </c>
      <c r="D313" s="125" t="s">
        <v>1</v>
      </c>
      <c r="E313" s="125">
        <v>1000</v>
      </c>
      <c r="F313" s="125">
        <v>6.6E-3</v>
      </c>
      <c r="G313" s="125">
        <v>4.1999999999999997E-3</v>
      </c>
      <c r="H313" s="128">
        <f t="shared" si="12"/>
        <v>0.36363636363636365</v>
      </c>
      <c r="I313" s="125" t="s">
        <v>98</v>
      </c>
      <c r="J313" s="125" t="s">
        <v>996</v>
      </c>
      <c r="K313" s="125" t="s">
        <v>982</v>
      </c>
      <c r="L313" s="125" t="s">
        <v>983</v>
      </c>
      <c r="M313" s="125">
        <v>24</v>
      </c>
      <c r="N313" s="127">
        <v>40</v>
      </c>
      <c r="O313" s="125"/>
    </row>
    <row r="314" spans="1:15" x14ac:dyDescent="0.35">
      <c r="A314" s="125">
        <v>836</v>
      </c>
      <c r="B314" s="125" t="s">
        <v>0</v>
      </c>
      <c r="C314" s="125" t="s">
        <v>1046</v>
      </c>
      <c r="D314" s="125" t="s">
        <v>1</v>
      </c>
      <c r="E314" s="125">
        <v>1000</v>
      </c>
      <c r="F314" s="125">
        <v>6.6E-3</v>
      </c>
      <c r="G314" s="125">
        <v>4.1999999999999997E-3</v>
      </c>
      <c r="H314" s="128">
        <f t="shared" si="12"/>
        <v>0.36363636363636365</v>
      </c>
      <c r="I314" s="125" t="s">
        <v>98</v>
      </c>
      <c r="J314" s="125" t="s">
        <v>1047</v>
      </c>
      <c r="K314" s="125" t="s">
        <v>982</v>
      </c>
      <c r="L314" s="125" t="s">
        <v>983</v>
      </c>
      <c r="M314" s="125">
        <v>24</v>
      </c>
      <c r="N314" s="127">
        <v>40</v>
      </c>
      <c r="O314" s="125"/>
    </row>
    <row r="315" spans="1:15" x14ac:dyDescent="0.35">
      <c r="A315" s="125">
        <v>746</v>
      </c>
      <c r="B315" s="125" t="s">
        <v>0</v>
      </c>
      <c r="C315" s="125" t="s">
        <v>1006</v>
      </c>
      <c r="D315" s="125" t="s">
        <v>1</v>
      </c>
      <c r="E315" s="125">
        <v>1000</v>
      </c>
      <c r="F315" s="125">
        <v>6.6E-3</v>
      </c>
      <c r="G315" s="125">
        <v>4.1999999999999997E-3</v>
      </c>
      <c r="H315" s="128">
        <f t="shared" si="12"/>
        <v>0.36363636363636365</v>
      </c>
      <c r="I315" s="125" t="s">
        <v>98</v>
      </c>
      <c r="J315" s="125" t="s">
        <v>1007</v>
      </c>
      <c r="K315" s="125" t="s">
        <v>982</v>
      </c>
      <c r="L315" s="125" t="s">
        <v>983</v>
      </c>
      <c r="M315" s="125">
        <v>24</v>
      </c>
      <c r="N315" s="127">
        <v>40</v>
      </c>
      <c r="O315" s="125"/>
    </row>
    <row r="316" spans="1:15" x14ac:dyDescent="0.35">
      <c r="A316" s="125">
        <v>273</v>
      </c>
      <c r="B316" s="125" t="s">
        <v>0</v>
      </c>
      <c r="C316" s="125" t="s">
        <v>735</v>
      </c>
      <c r="D316" s="125" t="s">
        <v>1</v>
      </c>
      <c r="E316" s="125">
        <v>300</v>
      </c>
      <c r="F316" s="125">
        <v>6.3600000000000004E-2</v>
      </c>
      <c r="G316" s="125">
        <v>4.7E-2</v>
      </c>
      <c r="H316" s="128">
        <f t="shared" si="12"/>
        <v>0.26100628930817615</v>
      </c>
      <c r="I316" s="125" t="s">
        <v>98</v>
      </c>
      <c r="J316" s="125" t="s">
        <v>736</v>
      </c>
      <c r="K316" s="125" t="s">
        <v>5</v>
      </c>
      <c r="L316" s="125" t="s">
        <v>1402</v>
      </c>
      <c r="M316" s="125">
        <v>4</v>
      </c>
      <c r="N316" s="127">
        <v>18</v>
      </c>
      <c r="O316" s="125"/>
    </row>
    <row r="317" spans="1:15" x14ac:dyDescent="0.35">
      <c r="A317" s="125">
        <v>1770</v>
      </c>
      <c r="B317" s="125" t="s">
        <v>84</v>
      </c>
      <c r="C317" s="125" t="s">
        <v>1224</v>
      </c>
      <c r="D317" s="125" t="s">
        <v>1</v>
      </c>
      <c r="E317" s="125">
        <v>1140</v>
      </c>
      <c r="F317" s="125">
        <v>2.7699999999999999E-2</v>
      </c>
      <c r="G317" s="125"/>
      <c r="H317" s="128">
        <f t="shared" si="12"/>
        <v>1</v>
      </c>
      <c r="I317" s="125" t="s">
        <v>98</v>
      </c>
      <c r="J317" s="125" t="s">
        <v>1225</v>
      </c>
      <c r="K317" s="125" t="s">
        <v>413</v>
      </c>
      <c r="L317" s="125" t="s">
        <v>76</v>
      </c>
      <c r="M317" s="125">
        <v>26</v>
      </c>
      <c r="N317" s="127">
        <v>10</v>
      </c>
      <c r="O317" s="125"/>
    </row>
    <row r="318" spans="1:15" x14ac:dyDescent="0.35">
      <c r="A318" s="125">
        <v>1773</v>
      </c>
      <c r="B318" s="125" t="s">
        <v>84</v>
      </c>
      <c r="C318" s="125" t="s">
        <v>1229</v>
      </c>
      <c r="D318" s="125" t="s">
        <v>1</v>
      </c>
      <c r="E318" s="125">
        <v>1140</v>
      </c>
      <c r="F318" s="125">
        <v>2.7699999999999999E-2</v>
      </c>
      <c r="G318" s="125"/>
      <c r="H318" s="128">
        <f t="shared" si="12"/>
        <v>1</v>
      </c>
      <c r="I318" s="125" t="s">
        <v>98</v>
      </c>
      <c r="J318" s="125" t="s">
        <v>1225</v>
      </c>
      <c r="K318" s="125" t="s">
        <v>413</v>
      </c>
      <c r="L318" s="125" t="s">
        <v>76</v>
      </c>
      <c r="M318" s="125">
        <v>26</v>
      </c>
      <c r="N318" s="127"/>
      <c r="O318" s="125"/>
    </row>
    <row r="319" spans="1:15" x14ac:dyDescent="0.35">
      <c r="A319" s="125">
        <v>1757</v>
      </c>
      <c r="B319" s="125" t="s">
        <v>0</v>
      </c>
      <c r="C319" s="125" t="s">
        <v>1216</v>
      </c>
      <c r="D319" s="125" t="s">
        <v>1</v>
      </c>
      <c r="E319" s="125">
        <v>300</v>
      </c>
      <c r="F319" s="125">
        <v>9.6799999999999997E-2</v>
      </c>
      <c r="G319" s="125">
        <v>5.96E-2</v>
      </c>
      <c r="H319" s="128">
        <f t="shared" si="12"/>
        <v>0.38429752066115702</v>
      </c>
      <c r="I319" s="125" t="s">
        <v>98</v>
      </c>
      <c r="J319" s="125" t="s">
        <v>1217</v>
      </c>
      <c r="K319" s="125" t="s">
        <v>413</v>
      </c>
      <c r="L319" s="125" t="s">
        <v>76</v>
      </c>
      <c r="M319" s="125">
        <v>6</v>
      </c>
      <c r="N319" s="127">
        <v>20</v>
      </c>
      <c r="O319" s="125"/>
    </row>
    <row r="320" spans="1:15" x14ac:dyDescent="0.35">
      <c r="A320" s="125">
        <v>1761</v>
      </c>
      <c r="B320" s="125" t="s">
        <v>0</v>
      </c>
      <c r="C320" s="125" t="s">
        <v>1221</v>
      </c>
      <c r="D320" s="125" t="s">
        <v>1</v>
      </c>
      <c r="E320" s="125">
        <v>200</v>
      </c>
      <c r="F320" s="125">
        <v>9.6799999999999997E-2</v>
      </c>
      <c r="G320" s="125">
        <v>5.96E-2</v>
      </c>
      <c r="H320" s="128">
        <f t="shared" si="12"/>
        <v>0.38429752066115702</v>
      </c>
      <c r="I320" s="125" t="s">
        <v>98</v>
      </c>
      <c r="J320" s="125" t="s">
        <v>1217</v>
      </c>
      <c r="K320" s="125" t="s">
        <v>413</v>
      </c>
      <c r="L320" s="125" t="s">
        <v>76</v>
      </c>
      <c r="M320" s="125">
        <v>6</v>
      </c>
      <c r="N320" s="127">
        <v>28</v>
      </c>
      <c r="O320" s="125"/>
    </row>
    <row r="321" spans="1:15" x14ac:dyDescent="0.35">
      <c r="A321" s="125">
        <v>1776</v>
      </c>
      <c r="B321" s="125" t="s">
        <v>84</v>
      </c>
      <c r="C321" s="125" t="s">
        <v>1234</v>
      </c>
      <c r="D321" s="125" t="s">
        <v>1</v>
      </c>
      <c r="E321" s="125">
        <v>1140</v>
      </c>
      <c r="F321" s="125">
        <v>2.7699999999999999E-2</v>
      </c>
      <c r="G321" s="125"/>
      <c r="H321" s="128">
        <f t="shared" si="12"/>
        <v>1</v>
      </c>
      <c r="I321" s="125" t="s">
        <v>98</v>
      </c>
      <c r="J321" s="125" t="s">
        <v>1235</v>
      </c>
      <c r="K321" s="125" t="s">
        <v>413</v>
      </c>
      <c r="L321" s="125" t="s">
        <v>76</v>
      </c>
      <c r="M321" s="125">
        <v>26</v>
      </c>
      <c r="N321" s="127"/>
      <c r="O321" s="125"/>
    </row>
    <row r="322" spans="1:15" x14ac:dyDescent="0.35">
      <c r="A322" s="125">
        <v>299</v>
      </c>
      <c r="B322" s="125" t="s">
        <v>0</v>
      </c>
      <c r="C322" s="125" t="s">
        <v>746</v>
      </c>
      <c r="D322" s="125" t="s">
        <v>1</v>
      </c>
      <c r="E322" s="125">
        <v>300</v>
      </c>
      <c r="F322" s="125">
        <v>9.6799999999999997E-2</v>
      </c>
      <c r="G322" s="125">
        <v>5.96E-2</v>
      </c>
      <c r="H322" s="128">
        <f t="shared" si="12"/>
        <v>0.38429752066115702</v>
      </c>
      <c r="I322" s="125" t="s">
        <v>98</v>
      </c>
      <c r="J322" s="125" t="s">
        <v>747</v>
      </c>
      <c r="K322" s="125" t="s">
        <v>413</v>
      </c>
      <c r="L322" s="125" t="s">
        <v>76</v>
      </c>
      <c r="M322" s="125">
        <v>6</v>
      </c>
      <c r="N322" s="127">
        <v>20</v>
      </c>
      <c r="O322" s="125"/>
    </row>
    <row r="323" spans="1:15" x14ac:dyDescent="0.35">
      <c r="A323" s="125">
        <v>1769</v>
      </c>
      <c r="B323" s="125" t="s">
        <v>84</v>
      </c>
      <c r="C323" s="125" t="s">
        <v>1222</v>
      </c>
      <c r="D323" s="125" t="s">
        <v>1</v>
      </c>
      <c r="E323" s="125">
        <v>1140</v>
      </c>
      <c r="F323" s="125">
        <v>2.7699999999999999E-2</v>
      </c>
      <c r="G323" s="125"/>
      <c r="H323" s="128">
        <f t="shared" si="12"/>
        <v>1</v>
      </c>
      <c r="I323" s="125" t="s">
        <v>98</v>
      </c>
      <c r="J323" s="125" t="s">
        <v>1223</v>
      </c>
      <c r="K323" s="125" t="s">
        <v>413</v>
      </c>
      <c r="L323" s="125" t="s">
        <v>76</v>
      </c>
      <c r="M323" s="125">
        <v>26</v>
      </c>
      <c r="N323" s="127"/>
      <c r="O323" s="125"/>
    </row>
    <row r="324" spans="1:15" x14ac:dyDescent="0.35">
      <c r="A324" s="125">
        <v>271</v>
      </c>
      <c r="B324" s="125" t="s">
        <v>0</v>
      </c>
      <c r="C324" s="125" t="s">
        <v>733</v>
      </c>
      <c r="D324" s="125" t="s">
        <v>1</v>
      </c>
      <c r="E324" s="125">
        <v>450</v>
      </c>
      <c r="F324" s="125">
        <v>3.5200000000000002E-2</v>
      </c>
      <c r="G324" s="125">
        <v>2.1499999999999998E-2</v>
      </c>
      <c r="H324" s="128">
        <f t="shared" si="12"/>
        <v>0.38920454545454553</v>
      </c>
      <c r="I324" s="125" t="s">
        <v>98</v>
      </c>
      <c r="J324" s="125" t="s">
        <v>734</v>
      </c>
      <c r="K324" s="125" t="s">
        <v>413</v>
      </c>
      <c r="L324" s="125" t="s">
        <v>76</v>
      </c>
      <c r="M324" s="125">
        <v>15</v>
      </c>
      <c r="N324" s="127">
        <v>15</v>
      </c>
      <c r="O324" s="125"/>
    </row>
    <row r="325" spans="1:15" x14ac:dyDescent="0.35">
      <c r="A325" s="125">
        <v>266</v>
      </c>
      <c r="B325" s="125" t="s">
        <v>0</v>
      </c>
      <c r="C325" s="125" t="s">
        <v>729</v>
      </c>
      <c r="D325" s="125" t="s">
        <v>1</v>
      </c>
      <c r="E325" s="125">
        <v>45</v>
      </c>
      <c r="F325" s="125">
        <v>0.32340000000000002</v>
      </c>
      <c r="G325" s="125">
        <v>0.24199999999999999</v>
      </c>
      <c r="H325" s="128">
        <f t="shared" si="12"/>
        <v>0.2517006802721089</v>
      </c>
      <c r="I325" s="125" t="s">
        <v>98</v>
      </c>
      <c r="J325" s="125" t="s">
        <v>730</v>
      </c>
      <c r="K325" s="125" t="s">
        <v>105</v>
      </c>
      <c r="L325" s="125" t="s">
        <v>76</v>
      </c>
      <c r="M325" s="125">
        <v>3</v>
      </c>
      <c r="N325" s="127">
        <v>20</v>
      </c>
      <c r="O325" s="125"/>
    </row>
  </sheetData>
  <pageMargins left="0.7" right="0.7" top="0.75" bottom="0.75" header="0.3" footer="0.3"/>
  <pageSetup scale="68" fitToHeight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FBCA-C588-474B-BEA9-7FE3AE2B9D6C}">
  <sheetPr codeName="Hoja7"/>
  <dimension ref="A1:AP3"/>
  <sheetViews>
    <sheetView workbookViewId="0">
      <selection activeCell="G15" sqref="G15"/>
    </sheetView>
  </sheetViews>
  <sheetFormatPr defaultColWidth="11.44140625" defaultRowHeight="14.4" x14ac:dyDescent="0.3"/>
  <sheetData>
    <row r="1" spans="1:42" x14ac:dyDescent="0.3">
      <c r="A1" s="2" t="s">
        <v>1389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3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37</v>
      </c>
      <c r="N1" s="6" t="s">
        <v>16</v>
      </c>
      <c r="O1" s="5"/>
      <c r="P1" s="2" t="s">
        <v>44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94"/>
      <c r="AP1" s="21"/>
    </row>
    <row r="2" spans="1:42" x14ac:dyDescent="0.3">
      <c r="A2" s="23">
        <v>1075</v>
      </c>
      <c r="B2" s="93" t="s">
        <v>0</v>
      </c>
      <c r="C2" s="93" t="s">
        <v>21</v>
      </c>
      <c r="D2" s="93" t="s">
        <v>473</v>
      </c>
      <c r="E2" s="93">
        <v>240</v>
      </c>
      <c r="F2" s="2">
        <v>1.29E-2</v>
      </c>
      <c r="G2" s="2">
        <v>9.2999999999999992E-3</v>
      </c>
      <c r="H2" s="4">
        <f t="shared" ref="H2" si="0">(F2-G2)/F2</f>
        <v>0.27906976744186052</v>
      </c>
      <c r="I2" s="2" t="s">
        <v>98</v>
      </c>
      <c r="J2" s="2" t="s">
        <v>474</v>
      </c>
      <c r="K2" s="2" t="s">
        <v>471</v>
      </c>
      <c r="L2" s="2" t="s">
        <v>1402</v>
      </c>
      <c r="M2" s="2">
        <v>6</v>
      </c>
      <c r="N2" s="6">
        <v>40</v>
      </c>
      <c r="O2" s="5"/>
      <c r="P2" s="95">
        <v>45366</v>
      </c>
      <c r="Q2" s="2">
        <v>15</v>
      </c>
      <c r="R2" s="2">
        <v>3</v>
      </c>
      <c r="S2" s="2">
        <v>2.5</v>
      </c>
      <c r="T2" s="2">
        <v>3.8</v>
      </c>
      <c r="U2" s="2">
        <v>2</v>
      </c>
      <c r="V2" s="2">
        <v>0.35</v>
      </c>
      <c r="W2" s="2">
        <v>0.21</v>
      </c>
      <c r="X2" s="2">
        <v>0.18</v>
      </c>
      <c r="Y2" s="2">
        <v>0.55000000000000004</v>
      </c>
      <c r="Z2" s="2">
        <v>0.57999999999999996</v>
      </c>
      <c r="AA2" s="2">
        <v>13.5</v>
      </c>
      <c r="AB2" s="2">
        <v>50</v>
      </c>
      <c r="AC2" s="2">
        <v>125</v>
      </c>
      <c r="AD2" s="2">
        <v>125</v>
      </c>
      <c r="AE2" s="2">
        <v>128</v>
      </c>
      <c r="AF2" s="2">
        <v>50</v>
      </c>
      <c r="AG2" s="2">
        <v>20</v>
      </c>
      <c r="AH2" s="2">
        <v>40</v>
      </c>
      <c r="AI2" s="2">
        <v>20</v>
      </c>
      <c r="AJ2" s="2">
        <v>100</v>
      </c>
      <c r="AK2" s="2">
        <v>392</v>
      </c>
      <c r="AL2" s="2" t="s">
        <v>78</v>
      </c>
      <c r="AM2" s="2">
        <v>1000</v>
      </c>
      <c r="AN2" s="2">
        <v>10</v>
      </c>
    </row>
    <row r="3" spans="1:42" x14ac:dyDescent="0.3">
      <c r="A3" s="23">
        <v>1093</v>
      </c>
      <c r="B3" s="93" t="s">
        <v>0</v>
      </c>
      <c r="C3" s="93" t="s">
        <v>21</v>
      </c>
      <c r="D3" s="93" t="s">
        <v>468</v>
      </c>
      <c r="E3" s="93">
        <v>300</v>
      </c>
      <c r="F3" s="2">
        <v>1.09E-2</v>
      </c>
      <c r="G3" s="2">
        <v>6.4000000000000003E-3</v>
      </c>
      <c r="H3" s="4">
        <f t="shared" ref="H3" si="1">(F3-G3)/F3</f>
        <v>0.41284403669724767</v>
      </c>
      <c r="I3" s="2" t="s">
        <v>82</v>
      </c>
      <c r="J3" s="2" t="s">
        <v>134</v>
      </c>
      <c r="K3" s="2" t="s">
        <v>469</v>
      </c>
      <c r="L3" s="2" t="s">
        <v>1402</v>
      </c>
      <c r="M3" s="2">
        <v>6</v>
      </c>
      <c r="N3" s="6">
        <v>75</v>
      </c>
      <c r="O3" s="5"/>
      <c r="P3" s="95">
        <v>45348</v>
      </c>
      <c r="Q3" s="2">
        <v>12</v>
      </c>
      <c r="R3" s="2">
        <v>2</v>
      </c>
      <c r="S3" s="2">
        <v>1.1000000000000001</v>
      </c>
      <c r="T3" s="2">
        <v>2.1</v>
      </c>
      <c r="U3" s="2">
        <v>1.1000000000000001</v>
      </c>
      <c r="V3" s="2">
        <v>0.25</v>
      </c>
      <c r="W3" s="2">
        <v>0.15</v>
      </c>
      <c r="X3" s="2">
        <v>0.18</v>
      </c>
      <c r="Y3" s="2">
        <v>0.35</v>
      </c>
      <c r="Z3" s="2">
        <v>0.25</v>
      </c>
      <c r="AA3" s="2">
        <v>6.8</v>
      </c>
      <c r="AB3" s="2">
        <v>41</v>
      </c>
      <c r="AC3" s="2">
        <v>97</v>
      </c>
      <c r="AD3" s="2">
        <v>98</v>
      </c>
      <c r="AE3" s="2">
        <v>98</v>
      </c>
      <c r="AF3" s="2">
        <v>44</v>
      </c>
      <c r="AG3" s="2">
        <v>38</v>
      </c>
      <c r="AH3" s="2">
        <v>40</v>
      </c>
      <c r="AI3" s="2">
        <v>40</v>
      </c>
      <c r="AJ3" s="2">
        <v>67</v>
      </c>
      <c r="AK3" s="2">
        <v>328</v>
      </c>
      <c r="AL3" s="2" t="s">
        <v>78</v>
      </c>
      <c r="AM3" s="2">
        <v>2550</v>
      </c>
      <c r="AN3" s="2">
        <v>10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0283-B151-49B5-8725-44EAF832E6B2}">
  <sheetPr>
    <pageSetUpPr fitToPage="1"/>
  </sheetPr>
  <dimension ref="A1:V116"/>
  <sheetViews>
    <sheetView workbookViewId="0">
      <selection activeCell="A3" sqref="A3"/>
    </sheetView>
  </sheetViews>
  <sheetFormatPr defaultColWidth="11.44140625" defaultRowHeight="14.4" x14ac:dyDescent="0.3"/>
  <cols>
    <col min="3" max="3" width="33.109375" bestFit="1" customWidth="1"/>
    <col min="7" max="7" width="28.88671875" bestFit="1" customWidth="1"/>
  </cols>
  <sheetData>
    <row r="1" spans="1:22" x14ac:dyDescent="0.3">
      <c r="I1" s="138"/>
      <c r="J1" s="139"/>
      <c r="K1" s="244" t="s">
        <v>1474</v>
      </c>
      <c r="L1" s="245"/>
      <c r="M1" s="246"/>
      <c r="N1" s="244" t="s">
        <v>1475</v>
      </c>
      <c r="O1" s="245"/>
      <c r="P1" s="246"/>
      <c r="Q1" s="244" t="s">
        <v>1476</v>
      </c>
      <c r="R1" s="245"/>
      <c r="S1" s="246"/>
      <c r="T1" s="244" t="s">
        <v>1477</v>
      </c>
      <c r="U1" s="245"/>
      <c r="V1" s="246"/>
    </row>
    <row r="2" spans="1:22" ht="43.2" x14ac:dyDescent="0.3">
      <c r="A2" s="2" t="s">
        <v>1389</v>
      </c>
      <c r="B2" s="2" t="s">
        <v>25</v>
      </c>
      <c r="C2" s="2" t="s">
        <v>26</v>
      </c>
      <c r="D2" s="2" t="s">
        <v>27</v>
      </c>
      <c r="E2" s="2" t="s">
        <v>29</v>
      </c>
      <c r="F2" s="2" t="s">
        <v>31</v>
      </c>
      <c r="G2" s="2" t="s">
        <v>32</v>
      </c>
      <c r="I2" s="140" t="s">
        <v>1478</v>
      </c>
      <c r="J2" s="141" t="s">
        <v>1479</v>
      </c>
      <c r="K2" s="142" t="s">
        <v>1480</v>
      </c>
      <c r="L2" s="142" t="s">
        <v>18</v>
      </c>
      <c r="M2" s="142" t="s">
        <v>1481</v>
      </c>
      <c r="N2" s="142" t="s">
        <v>1480</v>
      </c>
      <c r="O2" s="142" t="s">
        <v>18</v>
      </c>
      <c r="P2" s="142" t="s">
        <v>1481</v>
      </c>
      <c r="Q2" s="143" t="s">
        <v>1480</v>
      </c>
      <c r="R2" s="143" t="s">
        <v>18</v>
      </c>
      <c r="S2" s="143" t="s">
        <v>1481</v>
      </c>
      <c r="T2" s="143" t="s">
        <v>1480</v>
      </c>
      <c r="U2" s="143" t="s">
        <v>18</v>
      </c>
      <c r="V2" s="143" t="s">
        <v>1481</v>
      </c>
    </row>
    <row r="3" spans="1:22" x14ac:dyDescent="0.3">
      <c r="A3" s="2">
        <v>338</v>
      </c>
      <c r="B3" s="2" t="s">
        <v>21</v>
      </c>
      <c r="C3" s="2" t="s">
        <v>72</v>
      </c>
      <c r="D3" s="2">
        <v>1200</v>
      </c>
      <c r="E3" s="2">
        <v>1.35E-2</v>
      </c>
      <c r="F3" s="2" t="s">
        <v>73</v>
      </c>
      <c r="G3" s="2" t="s">
        <v>74</v>
      </c>
    </row>
    <row r="4" spans="1:22" x14ac:dyDescent="0.3">
      <c r="A4" s="2">
        <v>398</v>
      </c>
      <c r="B4" s="2" t="s">
        <v>21</v>
      </c>
      <c r="C4" s="2" t="s">
        <v>79</v>
      </c>
      <c r="D4" s="2">
        <v>1600</v>
      </c>
      <c r="E4" s="2">
        <v>1.03E-2</v>
      </c>
      <c r="F4" s="2" t="s">
        <v>73</v>
      </c>
      <c r="G4" s="2" t="s">
        <v>80</v>
      </c>
    </row>
    <row r="5" spans="1:22" x14ac:dyDescent="0.3">
      <c r="A5" s="2">
        <v>1814</v>
      </c>
      <c r="B5" s="2" t="s">
        <v>21</v>
      </c>
      <c r="C5" s="2" t="s">
        <v>160</v>
      </c>
      <c r="D5" s="2">
        <v>520</v>
      </c>
      <c r="E5" s="2">
        <v>2.0400000000000001E-2</v>
      </c>
      <c r="F5" s="2" t="s">
        <v>73</v>
      </c>
      <c r="G5" s="2" t="s">
        <v>161</v>
      </c>
    </row>
    <row r="6" spans="1:22" x14ac:dyDescent="0.3">
      <c r="A6" s="2">
        <v>1915</v>
      </c>
      <c r="B6" s="2" t="s">
        <v>21</v>
      </c>
      <c r="C6" s="2" t="s">
        <v>162</v>
      </c>
      <c r="D6" s="2">
        <v>300</v>
      </c>
      <c r="E6" s="2">
        <v>2.0400000000000001E-2</v>
      </c>
      <c r="F6" s="2" t="s">
        <v>73</v>
      </c>
      <c r="G6" s="2" t="s">
        <v>161</v>
      </c>
    </row>
    <row r="7" spans="1:22" x14ac:dyDescent="0.3">
      <c r="A7" s="2">
        <v>1815</v>
      </c>
      <c r="B7" s="2" t="s">
        <v>21</v>
      </c>
      <c r="C7" s="2" t="s">
        <v>164</v>
      </c>
      <c r="D7" s="2">
        <v>520</v>
      </c>
      <c r="E7" s="2">
        <v>2.0400000000000001E-2</v>
      </c>
      <c r="F7" s="2" t="s">
        <v>73</v>
      </c>
      <c r="G7" s="2" t="s">
        <v>161</v>
      </c>
    </row>
    <row r="8" spans="1:22" x14ac:dyDescent="0.3">
      <c r="A8" s="2">
        <v>1916</v>
      </c>
      <c r="B8" s="2" t="s">
        <v>21</v>
      </c>
      <c r="C8" s="2" t="s">
        <v>165</v>
      </c>
      <c r="D8" s="2">
        <v>300</v>
      </c>
      <c r="E8" s="2">
        <v>2.0400000000000001E-2</v>
      </c>
      <c r="F8" s="2" t="s">
        <v>73</v>
      </c>
      <c r="G8" s="2" t="s">
        <v>161</v>
      </c>
    </row>
    <row r="9" spans="1:22" x14ac:dyDescent="0.3">
      <c r="A9" s="2">
        <v>1823</v>
      </c>
      <c r="B9" s="2" t="s">
        <v>21</v>
      </c>
      <c r="C9" s="2" t="s">
        <v>187</v>
      </c>
      <c r="D9" s="2">
        <v>200</v>
      </c>
      <c r="E9" s="2">
        <v>4.2299999999999997E-2</v>
      </c>
      <c r="F9" s="2" t="s">
        <v>73</v>
      </c>
      <c r="G9" s="2" t="s">
        <v>186</v>
      </c>
    </row>
    <row r="10" spans="1:22" x14ac:dyDescent="0.3">
      <c r="A10" s="2">
        <v>101</v>
      </c>
      <c r="B10" s="2" t="s">
        <v>21</v>
      </c>
      <c r="C10" s="2" t="s">
        <v>328</v>
      </c>
      <c r="D10" s="2">
        <v>60</v>
      </c>
      <c r="E10" s="2">
        <v>6.0499999999999998E-2</v>
      </c>
      <c r="F10" s="2" t="s">
        <v>73</v>
      </c>
      <c r="G10" s="2" t="s">
        <v>329</v>
      </c>
    </row>
    <row r="11" spans="1:22" x14ac:dyDescent="0.3">
      <c r="A11" s="2">
        <v>38</v>
      </c>
      <c r="B11" s="2" t="s">
        <v>21</v>
      </c>
      <c r="C11" s="2" t="s">
        <v>330</v>
      </c>
      <c r="D11" s="2">
        <v>160</v>
      </c>
      <c r="E11" s="2">
        <v>7.4300000000000005E-2</v>
      </c>
      <c r="F11" s="2" t="s">
        <v>73</v>
      </c>
      <c r="G11" s="2" t="s">
        <v>331</v>
      </c>
    </row>
    <row r="12" spans="1:22" x14ac:dyDescent="0.3">
      <c r="A12" s="2">
        <v>629</v>
      </c>
      <c r="B12" s="2" t="s">
        <v>21</v>
      </c>
      <c r="C12" s="2" t="s">
        <v>332</v>
      </c>
      <c r="D12" s="2">
        <v>200</v>
      </c>
      <c r="E12" s="2">
        <v>4.9299999999999997E-2</v>
      </c>
      <c r="F12" s="2" t="s">
        <v>73</v>
      </c>
      <c r="G12" s="2" t="s">
        <v>333</v>
      </c>
    </row>
    <row r="13" spans="1:22" x14ac:dyDescent="0.3">
      <c r="A13" s="2">
        <v>8</v>
      </c>
      <c r="B13" s="2" t="s">
        <v>21</v>
      </c>
      <c r="C13" s="2" t="s">
        <v>355</v>
      </c>
      <c r="D13" s="2">
        <v>850</v>
      </c>
      <c r="E13" s="2">
        <v>7.4000000000000003E-3</v>
      </c>
      <c r="F13" s="2" t="s">
        <v>73</v>
      </c>
      <c r="G13" s="2" t="s">
        <v>356</v>
      </c>
      <c r="I13" s="144">
        <v>8</v>
      </c>
      <c r="J13" s="144" t="s">
        <v>355</v>
      </c>
      <c r="K13" s="144">
        <v>7.03</v>
      </c>
      <c r="L13" s="144">
        <v>7.4</v>
      </c>
      <c r="M13" s="144">
        <v>7.7700000000000005</v>
      </c>
      <c r="N13" s="144">
        <v>0.12788888888888891</v>
      </c>
      <c r="O13" s="144">
        <v>0.1478888888888889</v>
      </c>
      <c r="P13" s="144">
        <v>0.16788888888888889</v>
      </c>
      <c r="Q13" s="144"/>
      <c r="R13" s="144"/>
      <c r="S13" s="144"/>
      <c r="T13" s="144" t="s">
        <v>1482</v>
      </c>
      <c r="U13" s="144" t="s">
        <v>1482</v>
      </c>
      <c r="V13" s="144" t="s">
        <v>1482</v>
      </c>
    </row>
    <row r="14" spans="1:22" x14ac:dyDescent="0.3">
      <c r="A14" s="2">
        <v>906</v>
      </c>
      <c r="B14" s="2" t="s">
        <v>21</v>
      </c>
      <c r="C14" s="2" t="s">
        <v>366</v>
      </c>
      <c r="D14" s="2">
        <v>1080</v>
      </c>
      <c r="E14" s="2">
        <v>1.04E-2</v>
      </c>
      <c r="F14" s="2" t="s">
        <v>73</v>
      </c>
      <c r="G14" s="2" t="s">
        <v>367</v>
      </c>
    </row>
    <row r="15" spans="1:22" x14ac:dyDescent="0.3">
      <c r="A15" s="2">
        <v>252</v>
      </c>
      <c r="B15" s="2" t="s">
        <v>21</v>
      </c>
      <c r="C15" s="2" t="s">
        <v>406</v>
      </c>
      <c r="D15" s="2">
        <v>560</v>
      </c>
      <c r="E15" s="2">
        <v>1.7399999999999999E-2</v>
      </c>
      <c r="F15" s="2" t="s">
        <v>73</v>
      </c>
      <c r="G15" s="2" t="s">
        <v>407</v>
      </c>
    </row>
    <row r="16" spans="1:22" x14ac:dyDescent="0.3">
      <c r="A16" s="2">
        <v>1033</v>
      </c>
      <c r="B16" s="2" t="s">
        <v>21</v>
      </c>
      <c r="C16" s="2" t="s">
        <v>425</v>
      </c>
      <c r="D16" s="2">
        <v>960</v>
      </c>
      <c r="E16" s="2">
        <v>9.4999999999999998E-3</v>
      </c>
      <c r="F16" s="2" t="s">
        <v>73</v>
      </c>
      <c r="G16" s="2" t="s">
        <v>426</v>
      </c>
    </row>
    <row r="17" spans="1:22" x14ac:dyDescent="0.3">
      <c r="A17" s="2">
        <v>35</v>
      </c>
      <c r="B17" s="2" t="s">
        <v>21</v>
      </c>
      <c r="C17" s="2" t="s">
        <v>433</v>
      </c>
      <c r="D17" s="2">
        <v>400</v>
      </c>
      <c r="E17" s="2">
        <v>4.5400000000000003E-2</v>
      </c>
      <c r="F17" s="2" t="s">
        <v>73</v>
      </c>
      <c r="G17" s="2" t="s">
        <v>434</v>
      </c>
    </row>
    <row r="18" spans="1:22" x14ac:dyDescent="0.3">
      <c r="A18" s="2">
        <v>1135</v>
      </c>
      <c r="B18" s="2" t="s">
        <v>21</v>
      </c>
      <c r="C18" s="2" t="s">
        <v>449</v>
      </c>
      <c r="D18" s="2">
        <v>500</v>
      </c>
      <c r="E18" s="2">
        <v>7.4999999999999997E-3</v>
      </c>
      <c r="F18" s="2" t="s">
        <v>73</v>
      </c>
      <c r="G18" s="2" t="s">
        <v>74</v>
      </c>
      <c r="I18">
        <v>1135</v>
      </c>
      <c r="J18" t="s">
        <v>449</v>
      </c>
      <c r="K18">
        <v>68.399999999999991</v>
      </c>
      <c r="L18">
        <v>72</v>
      </c>
      <c r="M18">
        <v>75.600000000000009</v>
      </c>
      <c r="N18">
        <v>0.12049999999999998</v>
      </c>
      <c r="O18">
        <v>0.14049999999999999</v>
      </c>
      <c r="P18">
        <v>0.16049999999999998</v>
      </c>
    </row>
    <row r="19" spans="1:22" x14ac:dyDescent="0.3">
      <c r="A19" s="2">
        <v>1136</v>
      </c>
      <c r="B19" s="2" t="s">
        <v>21</v>
      </c>
      <c r="C19" s="2" t="s">
        <v>451</v>
      </c>
      <c r="D19" s="2">
        <v>500</v>
      </c>
      <c r="E19" s="2">
        <v>8.8000000000000005E-3</v>
      </c>
      <c r="F19" s="2" t="s">
        <v>73</v>
      </c>
      <c r="G19" s="2" t="s">
        <v>452</v>
      </c>
      <c r="I19">
        <v>1136</v>
      </c>
      <c r="J19" t="s">
        <v>451</v>
      </c>
      <c r="K19">
        <v>8.36</v>
      </c>
      <c r="L19">
        <v>8.8000000000000007</v>
      </c>
      <c r="M19">
        <v>9.240000000000002</v>
      </c>
      <c r="N19">
        <v>9.0749999999999983E-2</v>
      </c>
      <c r="O19">
        <v>0.11074999999999999</v>
      </c>
      <c r="P19">
        <v>0.13074999999999998</v>
      </c>
      <c r="Q19">
        <v>7.099999999999998E-2</v>
      </c>
      <c r="R19">
        <v>9.0999999999999984E-2</v>
      </c>
      <c r="S19">
        <v>0.11099999999999999</v>
      </c>
      <c r="T19">
        <v>0.17299999999999999</v>
      </c>
      <c r="U19">
        <v>0.19299999999999998</v>
      </c>
      <c r="V19">
        <v>0.21299999999999997</v>
      </c>
    </row>
    <row r="20" spans="1:22" x14ac:dyDescent="0.3">
      <c r="A20" s="2">
        <v>1895</v>
      </c>
      <c r="B20" s="2" t="s">
        <v>21</v>
      </c>
      <c r="C20" s="2" t="s">
        <v>462</v>
      </c>
      <c r="D20" s="2">
        <v>850</v>
      </c>
      <c r="E20" s="2">
        <v>7.4000000000000003E-3</v>
      </c>
      <c r="F20" s="2" t="s">
        <v>73</v>
      </c>
      <c r="G20" s="2" t="s">
        <v>356</v>
      </c>
    </row>
    <row r="21" spans="1:22" x14ac:dyDescent="0.3">
      <c r="A21" s="2">
        <v>1082</v>
      </c>
      <c r="B21" s="2" t="s">
        <v>21</v>
      </c>
      <c r="C21" s="2" t="s">
        <v>513</v>
      </c>
      <c r="D21" s="2">
        <v>100</v>
      </c>
      <c r="E21" s="2">
        <v>7.1999999999999995E-2</v>
      </c>
      <c r="F21" s="2" t="s">
        <v>73</v>
      </c>
      <c r="G21" s="2" t="s">
        <v>514</v>
      </c>
      <c r="I21">
        <v>1082</v>
      </c>
      <c r="J21" t="s">
        <v>513</v>
      </c>
      <c r="K21">
        <v>66.974999999999994</v>
      </c>
      <c r="L21">
        <v>70.5</v>
      </c>
      <c r="M21">
        <v>74.025000000000006</v>
      </c>
    </row>
    <row r="22" spans="1:22" x14ac:dyDescent="0.3">
      <c r="A22" s="2">
        <v>1087</v>
      </c>
      <c r="B22" s="2" t="s">
        <v>21</v>
      </c>
      <c r="C22" s="2" t="s">
        <v>538</v>
      </c>
      <c r="D22" s="2">
        <v>100</v>
      </c>
      <c r="E22" s="2">
        <v>6.13E-2</v>
      </c>
      <c r="F22" s="2" t="s">
        <v>73</v>
      </c>
      <c r="G22" s="2" t="s">
        <v>186</v>
      </c>
      <c r="I22">
        <v>1087</v>
      </c>
      <c r="J22" t="s">
        <v>538</v>
      </c>
      <c r="K22">
        <v>58.234999999999992</v>
      </c>
      <c r="L22">
        <v>61.3</v>
      </c>
      <c r="M22">
        <v>64.364999999999995</v>
      </c>
      <c r="N22">
        <v>0.17700000000000002</v>
      </c>
      <c r="O22">
        <v>0.19700000000000001</v>
      </c>
      <c r="P22">
        <v>0.217</v>
      </c>
      <c r="Q22">
        <v>0.156</v>
      </c>
      <c r="R22">
        <v>0.17599999999999999</v>
      </c>
      <c r="S22">
        <v>0.19599999999999998</v>
      </c>
      <c r="T22">
        <v>0.185</v>
      </c>
      <c r="U22">
        <v>0.20499999999999999</v>
      </c>
      <c r="V22">
        <v>0.22499999999999998</v>
      </c>
    </row>
    <row r="23" spans="1:22" x14ac:dyDescent="0.3">
      <c r="A23" s="2"/>
      <c r="B23" s="2"/>
      <c r="C23" s="2"/>
      <c r="D23" s="2"/>
      <c r="E23" s="2"/>
      <c r="F23" s="2"/>
      <c r="G23" s="2"/>
    </row>
    <row r="24" spans="1:22" x14ac:dyDescent="0.3">
      <c r="A24" s="2">
        <v>11</v>
      </c>
      <c r="B24" s="2" t="s">
        <v>1</v>
      </c>
      <c r="C24" s="2" t="s">
        <v>567</v>
      </c>
      <c r="D24" s="2">
        <v>600</v>
      </c>
      <c r="E24" s="2"/>
      <c r="F24" s="2" t="s">
        <v>73</v>
      </c>
      <c r="G24" s="2" t="s">
        <v>568</v>
      </c>
    </row>
    <row r="25" spans="1:22" x14ac:dyDescent="0.3">
      <c r="A25" s="2">
        <v>1871</v>
      </c>
      <c r="B25" s="2" t="s">
        <v>1</v>
      </c>
      <c r="C25" s="2" t="s">
        <v>1255</v>
      </c>
      <c r="D25" s="2">
        <v>450</v>
      </c>
      <c r="E25" s="2">
        <v>2.5700000000000001E-2</v>
      </c>
      <c r="F25" s="2" t="s">
        <v>73</v>
      </c>
      <c r="G25" s="2" t="s">
        <v>1256</v>
      </c>
    </row>
    <row r="26" spans="1:22" x14ac:dyDescent="0.3">
      <c r="A26" s="2">
        <v>1955</v>
      </c>
      <c r="B26" s="2" t="s">
        <v>1</v>
      </c>
      <c r="C26" s="2" t="s">
        <v>1255</v>
      </c>
      <c r="D26" s="2">
        <v>450</v>
      </c>
      <c r="E26" s="2">
        <v>2.5700000000000001E-2</v>
      </c>
      <c r="F26" s="2" t="s">
        <v>73</v>
      </c>
      <c r="G26" s="2" t="s">
        <v>1256</v>
      </c>
    </row>
    <row r="27" spans="1:22" x14ac:dyDescent="0.3">
      <c r="A27" s="2">
        <v>208</v>
      </c>
      <c r="B27" s="2" t="s">
        <v>1</v>
      </c>
      <c r="C27" s="2" t="s">
        <v>665</v>
      </c>
      <c r="D27" s="2">
        <v>450</v>
      </c>
      <c r="E27" s="2">
        <v>2.9700000000000001E-2</v>
      </c>
      <c r="F27" s="2" t="s">
        <v>73</v>
      </c>
      <c r="G27" s="2" t="s">
        <v>666</v>
      </c>
    </row>
    <row r="28" spans="1:22" x14ac:dyDescent="0.3">
      <c r="A28" s="2">
        <v>842</v>
      </c>
      <c r="B28" s="2" t="s">
        <v>1</v>
      </c>
      <c r="C28" s="2" t="s">
        <v>1058</v>
      </c>
      <c r="D28" s="2">
        <v>450</v>
      </c>
      <c r="E28" s="2">
        <v>2.9700000000000001E-2</v>
      </c>
      <c r="F28" s="2" t="s">
        <v>73</v>
      </c>
      <c r="G28" s="2" t="s">
        <v>666</v>
      </c>
      <c r="I28">
        <v>842</v>
      </c>
      <c r="J28" t="s">
        <v>1483</v>
      </c>
      <c r="K28">
        <v>28.214999999999996</v>
      </c>
      <c r="L28">
        <v>29.7</v>
      </c>
      <c r="M28">
        <v>31.185000000000002</v>
      </c>
      <c r="N28">
        <v>0.34142857142857136</v>
      </c>
      <c r="O28">
        <v>0.36142857142857138</v>
      </c>
      <c r="P28">
        <v>0.38142857142857139</v>
      </c>
      <c r="Q28">
        <v>0.21614285714285716</v>
      </c>
      <c r="R28">
        <v>0.23614285714285715</v>
      </c>
      <c r="S28">
        <v>0.25614285714285717</v>
      </c>
      <c r="T28" t="s">
        <v>1482</v>
      </c>
      <c r="U28" t="s">
        <v>1482</v>
      </c>
      <c r="V28" t="s">
        <v>1482</v>
      </c>
    </row>
    <row r="29" spans="1:22" x14ac:dyDescent="0.3">
      <c r="A29" s="2">
        <v>209</v>
      </c>
      <c r="B29" s="2" t="s">
        <v>1</v>
      </c>
      <c r="C29" s="2" t="s">
        <v>667</v>
      </c>
      <c r="D29" s="2">
        <v>400</v>
      </c>
      <c r="E29" s="2">
        <v>3.2300000000000002E-2</v>
      </c>
      <c r="F29" s="2" t="s">
        <v>73</v>
      </c>
      <c r="G29" s="2" t="s">
        <v>668</v>
      </c>
    </row>
    <row r="30" spans="1:22" x14ac:dyDescent="0.3">
      <c r="A30" s="2">
        <v>843</v>
      </c>
      <c r="B30" s="2" t="s">
        <v>1</v>
      </c>
      <c r="C30" s="2" t="s">
        <v>667</v>
      </c>
      <c r="D30" s="2">
        <v>400</v>
      </c>
      <c r="E30" s="2">
        <v>3.2300000000000002E-2</v>
      </c>
      <c r="F30" s="2" t="s">
        <v>73</v>
      </c>
      <c r="G30" s="2" t="s">
        <v>668</v>
      </c>
    </row>
    <row r="31" spans="1:22" x14ac:dyDescent="0.3">
      <c r="A31" s="2">
        <v>178</v>
      </c>
      <c r="B31" s="2" t="s">
        <v>1</v>
      </c>
      <c r="C31" s="2" t="s">
        <v>651</v>
      </c>
      <c r="D31" s="2">
        <v>400</v>
      </c>
      <c r="E31" s="2">
        <v>2.9000000000000001E-2</v>
      </c>
      <c r="F31" s="2" t="s">
        <v>73</v>
      </c>
      <c r="G31" s="2" t="s">
        <v>652</v>
      </c>
    </row>
    <row r="32" spans="1:22" x14ac:dyDescent="0.3">
      <c r="A32" s="2">
        <v>844</v>
      </c>
      <c r="B32" s="2" t="s">
        <v>1</v>
      </c>
      <c r="C32" s="2" t="s">
        <v>1059</v>
      </c>
      <c r="D32" s="2">
        <v>400</v>
      </c>
      <c r="E32" s="2">
        <v>2.9000000000000001E-2</v>
      </c>
      <c r="F32" s="2" t="s">
        <v>73</v>
      </c>
      <c r="G32" s="2" t="s">
        <v>652</v>
      </c>
    </row>
    <row r="33" spans="1:22" x14ac:dyDescent="0.3">
      <c r="A33" s="2">
        <v>1060</v>
      </c>
      <c r="B33" s="2" t="s">
        <v>1</v>
      </c>
      <c r="C33" s="2" t="s">
        <v>1164</v>
      </c>
      <c r="D33" s="2">
        <v>400</v>
      </c>
      <c r="E33" s="2">
        <v>2.9000000000000001E-2</v>
      </c>
      <c r="F33" s="2" t="s">
        <v>73</v>
      </c>
      <c r="G33" s="2" t="s">
        <v>1165</v>
      </c>
    </row>
    <row r="34" spans="1:22" x14ac:dyDescent="0.3">
      <c r="A34" s="2">
        <v>179</v>
      </c>
      <c r="B34" s="2" t="s">
        <v>1</v>
      </c>
      <c r="C34" s="2" t="s">
        <v>653</v>
      </c>
      <c r="D34" s="2">
        <v>360</v>
      </c>
      <c r="E34" s="2">
        <v>3.1800000000000002E-2</v>
      </c>
      <c r="F34" s="2" t="s">
        <v>73</v>
      </c>
      <c r="G34" s="2" t="s">
        <v>654</v>
      </c>
      <c r="I34">
        <v>179</v>
      </c>
      <c r="J34" t="s">
        <v>653</v>
      </c>
      <c r="K34">
        <v>30.21</v>
      </c>
      <c r="L34">
        <v>31.8</v>
      </c>
      <c r="M34">
        <v>33.39</v>
      </c>
      <c r="N34">
        <v>0.31262499999999999</v>
      </c>
      <c r="O34">
        <v>0.332625</v>
      </c>
      <c r="P34">
        <v>0.35262500000000002</v>
      </c>
      <c r="Q34">
        <v>0.22575000000000003</v>
      </c>
      <c r="R34">
        <v>0.24575000000000002</v>
      </c>
      <c r="S34">
        <v>0.26575000000000004</v>
      </c>
    </row>
    <row r="35" spans="1:22" x14ac:dyDescent="0.3">
      <c r="A35" s="2">
        <v>845</v>
      </c>
      <c r="B35" s="2" t="s">
        <v>1</v>
      </c>
      <c r="C35" s="2" t="s">
        <v>1060</v>
      </c>
      <c r="D35" s="2">
        <v>360</v>
      </c>
      <c r="E35" s="2">
        <v>3.1800000000000002E-2</v>
      </c>
      <c r="F35" s="2" t="s">
        <v>73</v>
      </c>
      <c r="G35" s="2" t="s">
        <v>654</v>
      </c>
    </row>
    <row r="36" spans="1:22" x14ac:dyDescent="0.3">
      <c r="A36" s="2">
        <v>1953</v>
      </c>
      <c r="B36" s="2" t="s">
        <v>1</v>
      </c>
      <c r="C36" s="2" t="s">
        <v>1269</v>
      </c>
      <c r="D36" s="2">
        <v>760</v>
      </c>
      <c r="E36" s="2">
        <v>1.6799999999999999E-2</v>
      </c>
      <c r="F36" s="2" t="s">
        <v>73</v>
      </c>
      <c r="G36" s="2" t="s">
        <v>656</v>
      </c>
    </row>
    <row r="37" spans="1:22" x14ac:dyDescent="0.3">
      <c r="A37" s="2">
        <v>961</v>
      </c>
      <c r="B37" s="2" t="s">
        <v>1</v>
      </c>
      <c r="C37" s="2" t="s">
        <v>1114</v>
      </c>
      <c r="D37" s="2">
        <v>760</v>
      </c>
      <c r="E37" s="2">
        <v>1.6799999999999999E-2</v>
      </c>
      <c r="F37" s="2" t="s">
        <v>73</v>
      </c>
      <c r="G37" s="2" t="s">
        <v>656</v>
      </c>
    </row>
    <row r="38" spans="1:22" x14ac:dyDescent="0.3">
      <c r="A38" s="2">
        <v>180</v>
      </c>
      <c r="B38" s="2" t="s">
        <v>1</v>
      </c>
      <c r="C38" s="2" t="s">
        <v>655</v>
      </c>
      <c r="D38" s="2">
        <v>700</v>
      </c>
      <c r="E38" s="2">
        <v>1.7999999999999999E-2</v>
      </c>
      <c r="F38" s="2" t="s">
        <v>73</v>
      </c>
      <c r="G38" s="2" t="s">
        <v>656</v>
      </c>
    </row>
    <row r="39" spans="1:22" x14ac:dyDescent="0.3">
      <c r="A39" s="2">
        <v>857</v>
      </c>
      <c r="B39" s="2" t="s">
        <v>1</v>
      </c>
      <c r="C39" s="2" t="s">
        <v>655</v>
      </c>
      <c r="D39" s="2">
        <v>700</v>
      </c>
      <c r="E39" s="2">
        <v>1.7999999999999999E-2</v>
      </c>
      <c r="F39" s="2" t="s">
        <v>73</v>
      </c>
      <c r="G39" s="2" t="s">
        <v>656</v>
      </c>
    </row>
    <row r="40" spans="1:22" x14ac:dyDescent="0.3">
      <c r="A40" s="2">
        <v>1943</v>
      </c>
      <c r="B40" s="2" t="s">
        <v>1</v>
      </c>
      <c r="C40" s="2" t="s">
        <v>1265</v>
      </c>
      <c r="D40" s="2">
        <v>342</v>
      </c>
      <c r="E40" s="2">
        <v>2.2800000000000001E-2</v>
      </c>
      <c r="F40" s="2" t="s">
        <v>73</v>
      </c>
      <c r="G40" s="2" t="s">
        <v>1266</v>
      </c>
    </row>
    <row r="41" spans="1:22" x14ac:dyDescent="0.3">
      <c r="A41" s="2">
        <v>847</v>
      </c>
      <c r="B41" s="2" t="s">
        <v>1</v>
      </c>
      <c r="C41" s="2" t="s">
        <v>1062</v>
      </c>
      <c r="D41" s="2">
        <v>700</v>
      </c>
      <c r="E41" s="2">
        <v>1.4E-2</v>
      </c>
      <c r="F41" s="2" t="s">
        <v>73</v>
      </c>
      <c r="G41" s="2" t="s">
        <v>1063</v>
      </c>
    </row>
    <row r="42" spans="1:22" x14ac:dyDescent="0.3">
      <c r="A42" s="2">
        <v>905</v>
      </c>
      <c r="B42" s="2" t="s">
        <v>1</v>
      </c>
      <c r="C42" s="2" t="s">
        <v>1098</v>
      </c>
      <c r="D42" s="2">
        <v>700</v>
      </c>
      <c r="E42" s="2">
        <v>1.5699999999999999E-2</v>
      </c>
      <c r="F42" s="2" t="s">
        <v>73</v>
      </c>
      <c r="G42" s="2" t="s">
        <v>1099</v>
      </c>
    </row>
    <row r="43" spans="1:22" x14ac:dyDescent="0.3">
      <c r="A43" s="2">
        <v>172</v>
      </c>
      <c r="B43" s="2" t="s">
        <v>1</v>
      </c>
      <c r="C43" s="2" t="s">
        <v>649</v>
      </c>
      <c r="D43" s="2">
        <v>700</v>
      </c>
      <c r="E43" s="2">
        <v>1.8800000000000001E-2</v>
      </c>
      <c r="F43" s="2" t="s">
        <v>73</v>
      </c>
      <c r="G43" s="2" t="s">
        <v>650</v>
      </c>
    </row>
    <row r="44" spans="1:22" x14ac:dyDescent="0.3">
      <c r="A44" s="2">
        <v>583</v>
      </c>
      <c r="B44" s="2" t="s">
        <v>1</v>
      </c>
      <c r="C44" s="2" t="s">
        <v>880</v>
      </c>
      <c r="D44" s="2">
        <v>700</v>
      </c>
      <c r="E44" s="2">
        <v>2.0400000000000001E-2</v>
      </c>
      <c r="F44" s="2" t="s">
        <v>73</v>
      </c>
      <c r="G44" s="2" t="s">
        <v>881</v>
      </c>
    </row>
    <row r="45" spans="1:22" x14ac:dyDescent="0.3">
      <c r="A45" s="2">
        <v>1050</v>
      </c>
      <c r="B45" s="2" t="s">
        <v>1</v>
      </c>
      <c r="C45" s="2" t="s">
        <v>1156</v>
      </c>
      <c r="D45" s="2">
        <v>700</v>
      </c>
      <c r="E45" s="2">
        <v>1.7999999999999999E-2</v>
      </c>
      <c r="F45" s="2" t="s">
        <v>73</v>
      </c>
      <c r="G45" s="2" t="s">
        <v>1157</v>
      </c>
    </row>
    <row r="46" spans="1:22" x14ac:dyDescent="0.3">
      <c r="A46" s="2">
        <v>1954</v>
      </c>
      <c r="B46" s="2" t="s">
        <v>1</v>
      </c>
      <c r="C46" s="2" t="s">
        <v>1270</v>
      </c>
      <c r="D46" s="2">
        <v>760</v>
      </c>
      <c r="E46" s="2">
        <v>1.6799999999999999E-2</v>
      </c>
      <c r="F46" s="2" t="s">
        <v>73</v>
      </c>
      <c r="G46" s="2" t="s">
        <v>656</v>
      </c>
    </row>
    <row r="47" spans="1:22" x14ac:dyDescent="0.3">
      <c r="A47" s="2"/>
      <c r="B47" s="2"/>
      <c r="C47" s="2"/>
      <c r="D47" s="2"/>
      <c r="E47" s="2"/>
      <c r="F47" s="2"/>
      <c r="G47" s="2"/>
    </row>
    <row r="48" spans="1:22" x14ac:dyDescent="0.3">
      <c r="A48" s="2">
        <v>692</v>
      </c>
      <c r="B48" s="2" t="s">
        <v>1303</v>
      </c>
      <c r="C48" s="2" t="s">
        <v>1304</v>
      </c>
      <c r="D48" s="2">
        <v>500</v>
      </c>
      <c r="E48" s="2">
        <v>0.01</v>
      </c>
      <c r="F48" s="2" t="s">
        <v>73</v>
      </c>
      <c r="G48" s="2" t="s">
        <v>1305</v>
      </c>
      <c r="I48">
        <v>692</v>
      </c>
      <c r="J48" t="s">
        <v>1304</v>
      </c>
      <c r="K48">
        <v>9.5</v>
      </c>
      <c r="L48">
        <v>10</v>
      </c>
      <c r="M48">
        <v>10.5</v>
      </c>
      <c r="N48">
        <v>0.1454</v>
      </c>
      <c r="O48">
        <v>0.16539999999999999</v>
      </c>
      <c r="P48">
        <v>0.18539999999999998</v>
      </c>
      <c r="Q48">
        <v>0.11519999999999998</v>
      </c>
      <c r="R48">
        <v>0.13519999999999999</v>
      </c>
      <c r="S48">
        <v>0.15519999999999998</v>
      </c>
      <c r="T48">
        <v>0.19160000000000002</v>
      </c>
      <c r="U48">
        <v>0.21160000000000001</v>
      </c>
      <c r="V48">
        <v>0.2316</v>
      </c>
    </row>
    <row r="49" spans="1:22" x14ac:dyDescent="0.3">
      <c r="A49" s="2">
        <v>1983</v>
      </c>
      <c r="B49" s="2" t="s">
        <v>1303</v>
      </c>
      <c r="C49" s="2" t="s">
        <v>1387</v>
      </c>
      <c r="D49" s="2">
        <v>200</v>
      </c>
      <c r="E49" s="2">
        <v>0.01</v>
      </c>
      <c r="F49" s="2" t="s">
        <v>73</v>
      </c>
      <c r="G49" s="2" t="s">
        <v>1305</v>
      </c>
    </row>
    <row r="50" spans="1:22" x14ac:dyDescent="0.3">
      <c r="A50" s="2">
        <v>2002</v>
      </c>
      <c r="B50" s="2" t="s">
        <v>1303</v>
      </c>
      <c r="C50" s="2" t="s">
        <v>1307</v>
      </c>
      <c r="D50" s="2">
        <v>400</v>
      </c>
      <c r="E50" s="2">
        <v>0.01</v>
      </c>
      <c r="F50" s="2" t="s">
        <v>73</v>
      </c>
      <c r="G50" s="2" t="s">
        <v>1305</v>
      </c>
    </row>
    <row r="51" spans="1:22" x14ac:dyDescent="0.3">
      <c r="A51" s="2">
        <v>1924</v>
      </c>
      <c r="B51" s="2" t="s">
        <v>1303</v>
      </c>
      <c r="C51" s="2" t="s">
        <v>1378</v>
      </c>
      <c r="D51" s="2">
        <v>500</v>
      </c>
      <c r="E51" s="2">
        <v>1.11E-2</v>
      </c>
      <c r="F51" s="2" t="s">
        <v>73</v>
      </c>
      <c r="G51" s="2" t="s">
        <v>1316</v>
      </c>
    </row>
    <row r="52" spans="1:22" x14ac:dyDescent="0.3">
      <c r="A52" s="2">
        <v>1986</v>
      </c>
      <c r="B52" s="2" t="s">
        <v>1303</v>
      </c>
      <c r="C52" s="2" t="s">
        <v>1385</v>
      </c>
      <c r="D52" s="2">
        <v>200</v>
      </c>
      <c r="E52" s="2">
        <v>1.11E-2</v>
      </c>
      <c r="F52" s="2" t="s">
        <v>73</v>
      </c>
      <c r="G52" s="2" t="s">
        <v>1316</v>
      </c>
    </row>
    <row r="53" spans="1:22" x14ac:dyDescent="0.3">
      <c r="A53" s="2">
        <v>693</v>
      </c>
      <c r="B53" s="2" t="s">
        <v>1303</v>
      </c>
      <c r="C53" s="2" t="s">
        <v>1309</v>
      </c>
      <c r="D53" s="2">
        <v>500</v>
      </c>
      <c r="E53" s="2">
        <v>1.1299999999999999E-2</v>
      </c>
      <c r="F53" s="2" t="s">
        <v>73</v>
      </c>
      <c r="G53" s="2" t="s">
        <v>1310</v>
      </c>
      <c r="I53">
        <v>693</v>
      </c>
      <c r="J53" t="s">
        <v>1309</v>
      </c>
      <c r="K53">
        <v>10.734999999999998</v>
      </c>
      <c r="L53">
        <v>11.299999999999999</v>
      </c>
      <c r="M53">
        <v>11.865</v>
      </c>
      <c r="N53">
        <v>0.21600000000000003</v>
      </c>
      <c r="O53">
        <v>0.23600000000000002</v>
      </c>
      <c r="P53">
        <v>0.25600000000000001</v>
      </c>
      <c r="Q53">
        <v>0.16800000000000001</v>
      </c>
      <c r="R53">
        <v>0.188</v>
      </c>
      <c r="S53">
        <v>0.20799999999999999</v>
      </c>
      <c r="T53">
        <v>0.22112500000000002</v>
      </c>
      <c r="U53">
        <v>0.24112500000000001</v>
      </c>
      <c r="V53">
        <v>0.261125</v>
      </c>
    </row>
    <row r="54" spans="1:22" x14ac:dyDescent="0.3">
      <c r="A54" s="2">
        <v>1984</v>
      </c>
      <c r="B54" s="2" t="s">
        <v>1303</v>
      </c>
      <c r="C54" s="2" t="s">
        <v>1388</v>
      </c>
      <c r="D54" s="2">
        <v>200</v>
      </c>
      <c r="E54" s="2">
        <v>1.1299999999999999E-2</v>
      </c>
      <c r="F54" s="2" t="s">
        <v>73</v>
      </c>
      <c r="G54" s="2" t="s">
        <v>1310</v>
      </c>
    </row>
    <row r="55" spans="1:22" x14ac:dyDescent="0.3">
      <c r="A55" s="2">
        <v>2003</v>
      </c>
      <c r="B55" s="2" t="s">
        <v>1303</v>
      </c>
      <c r="C55" s="2" t="s">
        <v>1311</v>
      </c>
      <c r="D55" s="2">
        <v>400</v>
      </c>
      <c r="E55" s="2">
        <v>1.1299999999999999E-2</v>
      </c>
      <c r="F55" s="2" t="s">
        <v>73</v>
      </c>
      <c r="G55" s="2" t="s">
        <v>1310</v>
      </c>
    </row>
    <row r="56" spans="1:22" x14ac:dyDescent="0.3">
      <c r="A56" s="2">
        <v>1925</v>
      </c>
      <c r="B56" s="2" t="s">
        <v>1303</v>
      </c>
      <c r="C56" s="2" t="s">
        <v>1379</v>
      </c>
      <c r="D56" s="2">
        <v>500</v>
      </c>
      <c r="E56" s="2">
        <v>1.2999999999999999E-2</v>
      </c>
      <c r="F56" s="2" t="s">
        <v>73</v>
      </c>
      <c r="G56" s="2" t="s">
        <v>1318</v>
      </c>
    </row>
    <row r="57" spans="1:22" x14ac:dyDescent="0.3">
      <c r="A57" s="2">
        <v>1987</v>
      </c>
      <c r="B57" s="2" t="s">
        <v>1303</v>
      </c>
      <c r="C57" s="2" t="s">
        <v>1381</v>
      </c>
      <c r="D57" s="2">
        <v>200</v>
      </c>
      <c r="E57" s="2">
        <v>1.2999999999999999E-2</v>
      </c>
      <c r="F57" s="2" t="s">
        <v>73</v>
      </c>
      <c r="G57" s="2" t="s">
        <v>1318</v>
      </c>
    </row>
    <row r="58" spans="1:22" x14ac:dyDescent="0.3">
      <c r="A58" s="2">
        <v>694</v>
      </c>
      <c r="B58" s="2" t="s">
        <v>1303</v>
      </c>
      <c r="C58" s="2" t="s">
        <v>1312</v>
      </c>
      <c r="D58" s="2">
        <v>500</v>
      </c>
      <c r="E58" s="2">
        <v>1.3899999999999999E-2</v>
      </c>
      <c r="F58" s="2" t="s">
        <v>73</v>
      </c>
      <c r="G58" s="2" t="s">
        <v>1313</v>
      </c>
      <c r="I58">
        <v>694</v>
      </c>
      <c r="J58" t="s">
        <v>1312</v>
      </c>
      <c r="K58">
        <v>13.299999999999999</v>
      </c>
      <c r="L58">
        <v>14</v>
      </c>
      <c r="M58">
        <v>14.700000000000001</v>
      </c>
      <c r="N58">
        <v>0.26499999999999996</v>
      </c>
      <c r="O58">
        <v>0.28499999999999998</v>
      </c>
      <c r="P58">
        <v>0.30499999999999999</v>
      </c>
      <c r="Q58">
        <v>0.17500000000000002</v>
      </c>
      <c r="R58">
        <v>0.19500000000000001</v>
      </c>
      <c r="S58">
        <v>0.215</v>
      </c>
      <c r="T58">
        <v>0.215</v>
      </c>
      <c r="U58">
        <v>0.23499999999999999</v>
      </c>
      <c r="V58">
        <v>0.255</v>
      </c>
    </row>
    <row r="59" spans="1:22" x14ac:dyDescent="0.3">
      <c r="A59" s="2">
        <v>1985</v>
      </c>
      <c r="B59" s="2" t="s">
        <v>1303</v>
      </c>
      <c r="C59" s="2" t="s">
        <v>1386</v>
      </c>
      <c r="D59" s="2">
        <v>200</v>
      </c>
      <c r="E59" s="2">
        <v>1.3899999999999999E-2</v>
      </c>
      <c r="F59" s="2" t="s">
        <v>73</v>
      </c>
      <c r="G59" s="2" t="s">
        <v>1313</v>
      </c>
    </row>
    <row r="60" spans="1:22" x14ac:dyDescent="0.3">
      <c r="A60" s="2">
        <v>2004</v>
      </c>
      <c r="B60" s="2" t="s">
        <v>1303</v>
      </c>
      <c r="C60" s="2" t="s">
        <v>1314</v>
      </c>
      <c r="D60" s="2">
        <v>400</v>
      </c>
      <c r="E60" s="2">
        <v>1.3899999999999999E-2</v>
      </c>
      <c r="F60" s="2" t="s">
        <v>73</v>
      </c>
      <c r="G60" s="2" t="s">
        <v>1313</v>
      </c>
    </row>
    <row r="61" spans="1:22" x14ac:dyDescent="0.3">
      <c r="A61" s="2">
        <v>1926</v>
      </c>
      <c r="B61" s="2" t="s">
        <v>1303</v>
      </c>
      <c r="C61" s="2" t="s">
        <v>1383</v>
      </c>
      <c r="D61" s="2">
        <v>500</v>
      </c>
      <c r="E61" s="2">
        <v>1.47E-2</v>
      </c>
      <c r="F61" s="2" t="s">
        <v>73</v>
      </c>
      <c r="G61" s="2" t="s">
        <v>568</v>
      </c>
    </row>
    <row r="62" spans="1:22" x14ac:dyDescent="0.3">
      <c r="A62" s="2">
        <v>1988</v>
      </c>
      <c r="B62" s="2" t="s">
        <v>1303</v>
      </c>
      <c r="C62" s="2" t="s">
        <v>1384</v>
      </c>
      <c r="D62" s="2">
        <v>200</v>
      </c>
      <c r="E62" s="2">
        <v>1.47E-2</v>
      </c>
      <c r="F62" s="2" t="s">
        <v>73</v>
      </c>
      <c r="G62" s="2" t="s">
        <v>568</v>
      </c>
    </row>
    <row r="63" spans="1:22" x14ac:dyDescent="0.3">
      <c r="A63" s="2">
        <v>1008</v>
      </c>
      <c r="B63" s="2" t="s">
        <v>1303</v>
      </c>
      <c r="C63" s="2" t="s">
        <v>1320</v>
      </c>
      <c r="D63" s="2">
        <v>400</v>
      </c>
      <c r="E63" s="2">
        <v>3.2300000000000002E-2</v>
      </c>
      <c r="F63" s="2" t="s">
        <v>73</v>
      </c>
      <c r="G63" s="2" t="s">
        <v>1321</v>
      </c>
    </row>
    <row r="64" spans="1:22" x14ac:dyDescent="0.3">
      <c r="A64" s="2">
        <v>1759</v>
      </c>
      <c r="B64" s="2" t="s">
        <v>1303</v>
      </c>
      <c r="C64" s="2" t="s">
        <v>1334</v>
      </c>
      <c r="D64" s="2">
        <v>720</v>
      </c>
      <c r="E64" s="2">
        <v>1.2E-2</v>
      </c>
      <c r="F64" s="2" t="s">
        <v>73</v>
      </c>
      <c r="G64" s="2" t="s">
        <v>1323</v>
      </c>
    </row>
    <row r="65" spans="1:7" x14ac:dyDescent="0.3">
      <c r="A65" s="2">
        <v>1009</v>
      </c>
      <c r="B65" s="2" t="s">
        <v>1303</v>
      </c>
      <c r="C65" s="2" t="s">
        <v>1322</v>
      </c>
      <c r="D65" s="2">
        <v>720</v>
      </c>
      <c r="E65" s="2">
        <v>1.2E-2</v>
      </c>
      <c r="F65" s="2" t="s">
        <v>73</v>
      </c>
      <c r="G65" s="2" t="s">
        <v>1323</v>
      </c>
    </row>
    <row r="66" spans="1:7" x14ac:dyDescent="0.3">
      <c r="A66" s="2">
        <v>1920</v>
      </c>
      <c r="B66" s="2" t="s">
        <v>1303</v>
      </c>
      <c r="C66" s="2" t="s">
        <v>1374</v>
      </c>
      <c r="D66" s="2">
        <v>720</v>
      </c>
      <c r="E66" s="2">
        <v>1.2E-2</v>
      </c>
      <c r="F66" s="2" t="s">
        <v>73</v>
      </c>
      <c r="G66" s="2" t="s">
        <v>1375</v>
      </c>
    </row>
    <row r="67" spans="1:7" x14ac:dyDescent="0.3">
      <c r="A67" s="2">
        <v>1010</v>
      </c>
      <c r="B67" s="2" t="s">
        <v>1303</v>
      </c>
      <c r="C67" s="2" t="s">
        <v>1326</v>
      </c>
      <c r="D67" s="2">
        <v>720</v>
      </c>
      <c r="E67" s="2">
        <v>1.2E-2</v>
      </c>
      <c r="F67" s="2" t="s">
        <v>73</v>
      </c>
      <c r="G67" s="2" t="s">
        <v>1327</v>
      </c>
    </row>
    <row r="68" spans="1:7" x14ac:dyDescent="0.3">
      <c r="A68" s="2">
        <v>1011</v>
      </c>
      <c r="B68" s="2" t="s">
        <v>1303</v>
      </c>
      <c r="C68" s="2" t="s">
        <v>1328</v>
      </c>
      <c r="D68" s="2">
        <v>720</v>
      </c>
      <c r="E68" s="2">
        <v>1.2E-2</v>
      </c>
      <c r="F68" s="2" t="s">
        <v>73</v>
      </c>
      <c r="G68" s="2" t="s">
        <v>1484</v>
      </c>
    </row>
    <row r="69" spans="1:7" x14ac:dyDescent="0.3">
      <c r="A69" s="2">
        <v>1012</v>
      </c>
      <c r="B69" s="2" t="s">
        <v>1303</v>
      </c>
      <c r="C69" s="2" t="s">
        <v>1330</v>
      </c>
      <c r="D69" s="2">
        <v>720</v>
      </c>
      <c r="E69" s="2">
        <v>1.2E-2</v>
      </c>
      <c r="F69" s="2" t="s">
        <v>73</v>
      </c>
      <c r="G69" s="2" t="s">
        <v>1323</v>
      </c>
    </row>
    <row r="70" spans="1:7" x14ac:dyDescent="0.3">
      <c r="A70" s="2">
        <v>1013</v>
      </c>
      <c r="B70" s="2" t="s">
        <v>1303</v>
      </c>
      <c r="C70" s="2" t="s">
        <v>1331</v>
      </c>
      <c r="D70" s="2">
        <v>720</v>
      </c>
      <c r="E70" s="2">
        <v>1.2E-2</v>
      </c>
      <c r="F70" s="2" t="s">
        <v>73</v>
      </c>
      <c r="G70" s="2" t="s">
        <v>1484</v>
      </c>
    </row>
    <row r="71" spans="1:7" x14ac:dyDescent="0.3">
      <c r="A71" s="2">
        <v>1014</v>
      </c>
      <c r="B71" s="2" t="s">
        <v>1303</v>
      </c>
      <c r="C71" s="2" t="s">
        <v>1332</v>
      </c>
      <c r="D71" s="2">
        <v>400</v>
      </c>
      <c r="E71" s="2">
        <v>2.87E-2</v>
      </c>
      <c r="F71" s="2" t="s">
        <v>73</v>
      </c>
      <c r="G71" s="2" t="s">
        <v>1333</v>
      </c>
    </row>
    <row r="72" spans="1:7" x14ac:dyDescent="0.3">
      <c r="A72" s="2">
        <v>1845</v>
      </c>
      <c r="B72" s="2" t="s">
        <v>1303</v>
      </c>
      <c r="C72" s="2" t="s">
        <v>1339</v>
      </c>
      <c r="D72" s="2">
        <v>500</v>
      </c>
      <c r="E72" s="2">
        <v>8.5000000000000006E-3</v>
      </c>
      <c r="F72" s="2" t="s">
        <v>73</v>
      </c>
      <c r="G72" s="2" t="s">
        <v>1340</v>
      </c>
    </row>
    <row r="73" spans="1:7" x14ac:dyDescent="0.3">
      <c r="A73" s="2">
        <v>1865</v>
      </c>
      <c r="B73" s="2" t="s">
        <v>1303</v>
      </c>
      <c r="C73" s="2" t="s">
        <v>1368</v>
      </c>
      <c r="D73" s="2">
        <v>500</v>
      </c>
      <c r="E73" s="2">
        <v>8.5000000000000006E-3</v>
      </c>
      <c r="F73" s="2" t="s">
        <v>73</v>
      </c>
      <c r="G73" s="2" t="s">
        <v>1356</v>
      </c>
    </row>
    <row r="74" spans="1:7" x14ac:dyDescent="0.3">
      <c r="A74" s="2">
        <v>1860</v>
      </c>
      <c r="B74" s="2" t="s">
        <v>1303</v>
      </c>
      <c r="C74" s="2" t="s">
        <v>1355</v>
      </c>
      <c r="D74" s="2">
        <v>500</v>
      </c>
      <c r="E74" s="2">
        <v>8.5000000000000006E-3</v>
      </c>
      <c r="F74" s="2" t="s">
        <v>73</v>
      </c>
      <c r="G74" s="2" t="s">
        <v>1356</v>
      </c>
    </row>
    <row r="75" spans="1:7" x14ac:dyDescent="0.3">
      <c r="A75" s="2">
        <v>1846</v>
      </c>
      <c r="B75" s="2" t="s">
        <v>1303</v>
      </c>
      <c r="C75" s="2" t="s">
        <v>1343</v>
      </c>
      <c r="D75" s="2">
        <v>500</v>
      </c>
      <c r="E75" s="2">
        <v>1.2E-2</v>
      </c>
      <c r="F75" s="2" t="s">
        <v>73</v>
      </c>
      <c r="G75" s="2" t="s">
        <v>1344</v>
      </c>
    </row>
    <row r="76" spans="1:7" x14ac:dyDescent="0.3">
      <c r="A76" s="2">
        <v>1866</v>
      </c>
      <c r="B76" s="2" t="s">
        <v>1303</v>
      </c>
      <c r="C76" s="2" t="s">
        <v>1370</v>
      </c>
      <c r="D76" s="2">
        <v>500</v>
      </c>
      <c r="E76" s="2">
        <v>1.2E-2</v>
      </c>
      <c r="F76" s="2" t="s">
        <v>73</v>
      </c>
      <c r="G76" s="2" t="s">
        <v>1359</v>
      </c>
    </row>
    <row r="77" spans="1:7" x14ac:dyDescent="0.3">
      <c r="A77" s="2">
        <v>1861</v>
      </c>
      <c r="B77" s="2" t="s">
        <v>1303</v>
      </c>
      <c r="C77" s="2" t="s">
        <v>1358</v>
      </c>
      <c r="D77" s="2">
        <v>500</v>
      </c>
      <c r="E77" s="2">
        <v>1.2E-2</v>
      </c>
      <c r="F77" s="2" t="s">
        <v>73</v>
      </c>
      <c r="G77" s="2" t="s">
        <v>1359</v>
      </c>
    </row>
    <row r="78" spans="1:7" x14ac:dyDescent="0.3">
      <c r="A78" s="2">
        <v>1847</v>
      </c>
      <c r="B78" s="2" t="s">
        <v>1303</v>
      </c>
      <c r="C78" s="2" t="s">
        <v>1345</v>
      </c>
      <c r="D78" s="2">
        <v>500</v>
      </c>
      <c r="E78" s="2">
        <v>1.4E-2</v>
      </c>
      <c r="F78" s="2" t="s">
        <v>73</v>
      </c>
      <c r="G78" s="2" t="s">
        <v>1346</v>
      </c>
    </row>
    <row r="79" spans="1:7" x14ac:dyDescent="0.3">
      <c r="A79" s="2">
        <v>1867</v>
      </c>
      <c r="B79" s="2" t="s">
        <v>1303</v>
      </c>
      <c r="C79" s="2" t="s">
        <v>1371</v>
      </c>
      <c r="D79" s="2">
        <v>500</v>
      </c>
      <c r="E79" s="2">
        <v>1.4E-2</v>
      </c>
      <c r="F79" s="2" t="s">
        <v>73</v>
      </c>
      <c r="G79" s="2" t="s">
        <v>1361</v>
      </c>
    </row>
    <row r="80" spans="1:7" x14ac:dyDescent="0.3">
      <c r="A80" s="2">
        <v>1862</v>
      </c>
      <c r="B80" s="2" t="s">
        <v>1303</v>
      </c>
      <c r="C80" s="2" t="s">
        <v>1360</v>
      </c>
      <c r="D80" s="2">
        <v>500</v>
      </c>
      <c r="E80" s="2">
        <v>1.4E-2</v>
      </c>
      <c r="F80" s="2" t="s">
        <v>73</v>
      </c>
      <c r="G80" s="2" t="s">
        <v>1361</v>
      </c>
    </row>
    <row r="81" spans="1:22" x14ac:dyDescent="0.3">
      <c r="A81" s="2">
        <v>1848</v>
      </c>
      <c r="B81" s="2" t="s">
        <v>1303</v>
      </c>
      <c r="C81" s="2" t="s">
        <v>1349</v>
      </c>
      <c r="D81" s="2">
        <v>500</v>
      </c>
      <c r="E81" s="2">
        <v>2.1000000000000001E-2</v>
      </c>
      <c r="F81" s="2" t="s">
        <v>73</v>
      </c>
      <c r="G81" s="2" t="s">
        <v>1350</v>
      </c>
    </row>
    <row r="82" spans="1:22" x14ac:dyDescent="0.3">
      <c r="A82" s="2">
        <v>1868</v>
      </c>
      <c r="B82" s="2" t="s">
        <v>1303</v>
      </c>
      <c r="C82" s="2" t="s">
        <v>1373</v>
      </c>
      <c r="D82" s="2">
        <v>500</v>
      </c>
      <c r="E82" s="2">
        <v>2.1000000000000001E-2</v>
      </c>
      <c r="F82" s="2" t="s">
        <v>73</v>
      </c>
      <c r="G82" s="2" t="s">
        <v>1364</v>
      </c>
    </row>
    <row r="83" spans="1:22" x14ac:dyDescent="0.3">
      <c r="A83" s="2">
        <v>1863</v>
      </c>
      <c r="B83" s="2" t="s">
        <v>1303</v>
      </c>
      <c r="C83" s="2" t="s">
        <v>1363</v>
      </c>
      <c r="D83" s="2">
        <v>500</v>
      </c>
      <c r="E83" s="2">
        <v>2.1000000000000001E-2</v>
      </c>
      <c r="F83" s="2" t="s">
        <v>73</v>
      </c>
      <c r="G83" s="2" t="s">
        <v>1364</v>
      </c>
    </row>
    <row r="84" spans="1:22" x14ac:dyDescent="0.3">
      <c r="A84" s="2">
        <v>1844</v>
      </c>
      <c r="B84" s="2" t="s">
        <v>1303</v>
      </c>
      <c r="C84" s="2" t="s">
        <v>1335</v>
      </c>
      <c r="D84" s="2">
        <v>500</v>
      </c>
      <c r="E84" s="2">
        <v>7.0000000000000001E-3</v>
      </c>
      <c r="F84" s="2" t="s">
        <v>73</v>
      </c>
      <c r="G84" s="2" t="s">
        <v>1336</v>
      </c>
      <c r="I84">
        <v>1844</v>
      </c>
      <c r="J84" t="s">
        <v>1335</v>
      </c>
      <c r="K84">
        <v>6.6499999999999995</v>
      </c>
      <c r="L84">
        <v>7</v>
      </c>
      <c r="M84">
        <v>7.3500000000000005</v>
      </c>
      <c r="N84" t="s">
        <v>1482</v>
      </c>
      <c r="O84" t="s">
        <v>1482</v>
      </c>
      <c r="P84" t="s">
        <v>1482</v>
      </c>
      <c r="Q84" t="s">
        <v>1482</v>
      </c>
      <c r="R84" t="s">
        <v>1482</v>
      </c>
      <c r="S84" t="s">
        <v>1482</v>
      </c>
      <c r="T84">
        <v>0.3447142857142857</v>
      </c>
      <c r="U84">
        <v>0.36471428571428571</v>
      </c>
      <c r="V84">
        <v>0.38471428571428573</v>
      </c>
    </row>
    <row r="85" spans="1:22" x14ac:dyDescent="0.3">
      <c r="A85" s="2">
        <v>1864</v>
      </c>
      <c r="B85" s="2" t="s">
        <v>1303</v>
      </c>
      <c r="C85" s="2" t="s">
        <v>1366</v>
      </c>
      <c r="D85" s="2">
        <v>500</v>
      </c>
      <c r="E85" s="2">
        <v>7.0000000000000001E-3</v>
      </c>
      <c r="F85" s="2" t="s">
        <v>73</v>
      </c>
      <c r="G85" s="2" t="s">
        <v>1353</v>
      </c>
    </row>
    <row r="86" spans="1:22" x14ac:dyDescent="0.3">
      <c r="A86" s="2">
        <v>1859</v>
      </c>
      <c r="B86" s="2" t="s">
        <v>1303</v>
      </c>
      <c r="C86" s="2" t="s">
        <v>1352</v>
      </c>
      <c r="D86" s="2">
        <v>500</v>
      </c>
      <c r="E86" s="2">
        <v>7.0000000000000001E-3</v>
      </c>
      <c r="F86" s="2" t="s">
        <v>73</v>
      </c>
      <c r="G86" s="2" t="s">
        <v>1353</v>
      </c>
    </row>
    <row r="87" spans="1:22" x14ac:dyDescent="0.3">
      <c r="A87" s="6"/>
      <c r="B87" s="6"/>
      <c r="C87" s="6"/>
      <c r="D87" s="6"/>
      <c r="E87" s="6"/>
      <c r="F87" s="6"/>
      <c r="G87" s="6"/>
    </row>
    <row r="88" spans="1:22" x14ac:dyDescent="0.3">
      <c r="A88" s="6"/>
      <c r="B88" s="6"/>
      <c r="C88" s="6"/>
      <c r="D88" s="6"/>
      <c r="E88" s="6"/>
      <c r="F88" s="6"/>
      <c r="G88" s="6"/>
    </row>
    <row r="89" spans="1:22" x14ac:dyDescent="0.3">
      <c r="A89" s="6"/>
      <c r="B89" s="6"/>
      <c r="C89" s="6"/>
      <c r="D89" s="6"/>
      <c r="E89" s="6"/>
      <c r="F89" s="6"/>
      <c r="G89" s="6"/>
    </row>
    <row r="99" spans="9:22" x14ac:dyDescent="0.3">
      <c r="I99">
        <v>1847</v>
      </c>
      <c r="J99" t="s">
        <v>1485</v>
      </c>
      <c r="K99">
        <v>13.299999999999999</v>
      </c>
      <c r="L99">
        <v>14</v>
      </c>
      <c r="M99">
        <v>14.700000000000001</v>
      </c>
      <c r="N99">
        <v>0.19800000000000001</v>
      </c>
      <c r="O99">
        <v>0.218</v>
      </c>
      <c r="P99">
        <v>0.23799999999999999</v>
      </c>
      <c r="Q99">
        <v>0.155</v>
      </c>
      <c r="R99">
        <v>0.17499999999999999</v>
      </c>
      <c r="S99">
        <v>0.19499999999999998</v>
      </c>
      <c r="T99" t="s">
        <v>1482</v>
      </c>
      <c r="U99" t="s">
        <v>1482</v>
      </c>
      <c r="V99" t="s">
        <v>1482</v>
      </c>
    </row>
    <row r="100" spans="9:22" x14ac:dyDescent="0.3">
      <c r="I100">
        <v>1848</v>
      </c>
      <c r="J100" t="s">
        <v>1349</v>
      </c>
      <c r="K100">
        <v>19.95</v>
      </c>
      <c r="L100">
        <v>21</v>
      </c>
      <c r="M100">
        <v>22.05</v>
      </c>
      <c r="N100">
        <v>0.41059999999999997</v>
      </c>
      <c r="O100">
        <v>0.43059999999999998</v>
      </c>
      <c r="P100">
        <v>0.4506</v>
      </c>
      <c r="Q100">
        <v>0.16220000000000001</v>
      </c>
      <c r="R100">
        <v>0.1822</v>
      </c>
      <c r="S100">
        <v>0.20219999999999999</v>
      </c>
      <c r="T100" t="s">
        <v>1482</v>
      </c>
      <c r="U100" t="s">
        <v>1482</v>
      </c>
      <c r="V100" t="s">
        <v>1482</v>
      </c>
    </row>
    <row r="101" spans="9:22" x14ac:dyDescent="0.3">
      <c r="I101">
        <v>1864</v>
      </c>
      <c r="J101" t="s">
        <v>1366</v>
      </c>
      <c r="K101">
        <v>6.6499999999999995</v>
      </c>
      <c r="L101">
        <v>7</v>
      </c>
      <c r="M101">
        <v>7.3500000000000005</v>
      </c>
      <c r="N101" t="s">
        <v>1482</v>
      </c>
      <c r="O101" t="s">
        <v>1482</v>
      </c>
      <c r="P101" t="s">
        <v>1482</v>
      </c>
      <c r="Q101" t="s">
        <v>1482</v>
      </c>
      <c r="R101" t="s">
        <v>1482</v>
      </c>
      <c r="S101" t="s">
        <v>1482</v>
      </c>
      <c r="T101">
        <v>0.3447142857142857</v>
      </c>
      <c r="U101">
        <v>0.36471428571428571</v>
      </c>
      <c r="V101">
        <v>0.38471428571428573</v>
      </c>
    </row>
    <row r="102" spans="9:22" x14ac:dyDescent="0.3">
      <c r="I102">
        <v>1865</v>
      </c>
      <c r="J102" t="s">
        <v>1368</v>
      </c>
      <c r="K102">
        <v>8.0749999999999993</v>
      </c>
      <c r="L102">
        <v>8.5</v>
      </c>
      <c r="M102">
        <v>8.9250000000000007</v>
      </c>
      <c r="N102">
        <v>0.26799999999999996</v>
      </c>
      <c r="O102">
        <v>0.28799999999999998</v>
      </c>
      <c r="P102">
        <v>0.308</v>
      </c>
      <c r="Q102">
        <v>0.2</v>
      </c>
      <c r="R102">
        <v>0.22</v>
      </c>
      <c r="S102">
        <v>0.24</v>
      </c>
      <c r="T102">
        <v>0.26799999999999996</v>
      </c>
      <c r="U102">
        <v>0.28799999999999998</v>
      </c>
      <c r="V102">
        <v>0.308</v>
      </c>
    </row>
    <row r="103" spans="9:22" x14ac:dyDescent="0.3">
      <c r="I103">
        <v>1866</v>
      </c>
      <c r="J103" t="s">
        <v>1370</v>
      </c>
      <c r="K103">
        <v>11.399999999999999</v>
      </c>
      <c r="L103">
        <v>12</v>
      </c>
      <c r="M103">
        <v>12.600000000000001</v>
      </c>
      <c r="N103">
        <v>0.28499999999999998</v>
      </c>
      <c r="O103">
        <v>0.30499999999999999</v>
      </c>
      <c r="P103">
        <v>0.32500000000000001</v>
      </c>
      <c r="Q103">
        <v>0.24000000000000002</v>
      </c>
      <c r="R103">
        <v>0.26</v>
      </c>
      <c r="S103">
        <v>0.28000000000000003</v>
      </c>
      <c r="T103">
        <v>0.24000000000000002</v>
      </c>
      <c r="U103">
        <v>0.26</v>
      </c>
      <c r="V103">
        <v>0.28000000000000003</v>
      </c>
    </row>
    <row r="104" spans="9:22" x14ac:dyDescent="0.3">
      <c r="I104">
        <v>1867</v>
      </c>
      <c r="J104" t="s">
        <v>1371</v>
      </c>
      <c r="K104">
        <v>13.299999999999999</v>
      </c>
      <c r="L104">
        <v>14</v>
      </c>
      <c r="M104">
        <v>14.700000000000001</v>
      </c>
      <c r="N104">
        <v>0.19170000000000001</v>
      </c>
      <c r="O104">
        <v>0.2117</v>
      </c>
      <c r="P104">
        <v>0.23169999999999999</v>
      </c>
      <c r="Q104">
        <v>0.15470000000000003</v>
      </c>
      <c r="R104">
        <v>0.17470000000000002</v>
      </c>
      <c r="S104">
        <v>0.19470000000000001</v>
      </c>
      <c r="T104" t="s">
        <v>1482</v>
      </c>
      <c r="U104" t="s">
        <v>1482</v>
      </c>
      <c r="V104" t="s">
        <v>1482</v>
      </c>
    </row>
    <row r="105" spans="9:22" x14ac:dyDescent="0.3">
      <c r="I105">
        <v>1915</v>
      </c>
      <c r="J105" t="s">
        <v>162</v>
      </c>
      <c r="K105">
        <v>19.380000000000003</v>
      </c>
      <c r="L105">
        <v>20.400000000000002</v>
      </c>
      <c r="M105">
        <v>21.42</v>
      </c>
      <c r="N105">
        <v>0.104125</v>
      </c>
      <c r="O105">
        <v>0.124125</v>
      </c>
      <c r="P105">
        <v>0.144125</v>
      </c>
      <c r="Q105">
        <v>0.14425000000000002</v>
      </c>
      <c r="R105">
        <v>0.16425000000000001</v>
      </c>
      <c r="S105">
        <v>0.18425</v>
      </c>
      <c r="T105">
        <v>0.1988571428571429</v>
      </c>
      <c r="U105">
        <v>0.21885714285714289</v>
      </c>
      <c r="V105">
        <v>0.23885714285714288</v>
      </c>
    </row>
    <row r="106" spans="9:22" x14ac:dyDescent="0.3">
      <c r="I106">
        <v>1916</v>
      </c>
      <c r="J106" t="s">
        <v>165</v>
      </c>
      <c r="K106">
        <v>19.474999999999998</v>
      </c>
      <c r="L106">
        <v>20.5</v>
      </c>
      <c r="M106">
        <v>21.525000000000002</v>
      </c>
      <c r="N106">
        <v>0.1022</v>
      </c>
      <c r="O106">
        <v>0.1222</v>
      </c>
      <c r="P106">
        <v>0.14219999999999999</v>
      </c>
      <c r="Q106">
        <v>9.9399999999999988E-2</v>
      </c>
      <c r="R106">
        <v>0.11939999999999999</v>
      </c>
      <c r="S106">
        <v>0.1394</v>
      </c>
      <c r="T106">
        <v>0.18569999999999998</v>
      </c>
      <c r="U106">
        <v>0.20569999999999997</v>
      </c>
      <c r="V106">
        <v>0.22569999999999996</v>
      </c>
    </row>
    <row r="107" spans="9:22" x14ac:dyDescent="0.3">
      <c r="I107">
        <v>1924</v>
      </c>
      <c r="J107" t="s">
        <v>1378</v>
      </c>
      <c r="K107">
        <v>10.545</v>
      </c>
      <c r="L107">
        <v>11.1</v>
      </c>
      <c r="M107">
        <v>11.654999999999999</v>
      </c>
      <c r="N107">
        <v>0.2</v>
      </c>
      <c r="O107">
        <v>0.22</v>
      </c>
      <c r="P107">
        <v>0.24</v>
      </c>
      <c r="Q107">
        <v>0.126</v>
      </c>
      <c r="R107">
        <v>0.14599999999999999</v>
      </c>
      <c r="S107">
        <v>0.16599999999999998</v>
      </c>
      <c r="T107">
        <v>0.20500000000000002</v>
      </c>
      <c r="U107">
        <v>0.22500000000000001</v>
      </c>
      <c r="V107">
        <v>0.245</v>
      </c>
    </row>
    <row r="108" spans="9:22" x14ac:dyDescent="0.3">
      <c r="I108">
        <v>1925</v>
      </c>
      <c r="J108" t="s">
        <v>1379</v>
      </c>
      <c r="K108">
        <v>12.35</v>
      </c>
      <c r="L108">
        <v>13</v>
      </c>
      <c r="M108">
        <v>13.65</v>
      </c>
      <c r="N108">
        <v>0.218</v>
      </c>
      <c r="O108">
        <v>0.23799999999999999</v>
      </c>
      <c r="P108">
        <v>0.25800000000000001</v>
      </c>
      <c r="Q108">
        <v>0.14900000000000002</v>
      </c>
      <c r="R108">
        <v>0.16900000000000001</v>
      </c>
      <c r="S108">
        <v>0.189</v>
      </c>
      <c r="T108">
        <v>0.25900000000000001</v>
      </c>
      <c r="U108">
        <v>0.27900000000000003</v>
      </c>
      <c r="V108">
        <v>0.29900000000000004</v>
      </c>
    </row>
    <row r="109" spans="9:22" x14ac:dyDescent="0.3">
      <c r="I109">
        <v>1926</v>
      </c>
      <c r="J109" t="s">
        <v>1486</v>
      </c>
      <c r="K109">
        <v>15.037142857142856</v>
      </c>
      <c r="L109">
        <v>15.828571428571427</v>
      </c>
      <c r="M109">
        <v>16.62</v>
      </c>
      <c r="N109">
        <v>0.30310000000000004</v>
      </c>
      <c r="O109">
        <v>0.32310000000000005</v>
      </c>
      <c r="P109">
        <v>0.34310000000000007</v>
      </c>
      <c r="Q109">
        <v>0.1724</v>
      </c>
      <c r="R109">
        <v>0.19239999999999999</v>
      </c>
      <c r="S109">
        <v>0.21239999999999998</v>
      </c>
      <c r="T109">
        <v>0.31530000000000002</v>
      </c>
      <c r="U109">
        <v>0.33530000000000004</v>
      </c>
      <c r="V109">
        <v>0.35530000000000006</v>
      </c>
    </row>
    <row r="110" spans="9:22" x14ac:dyDescent="0.3">
      <c r="I110">
        <v>1985</v>
      </c>
      <c r="J110" t="s">
        <v>1386</v>
      </c>
      <c r="K110">
        <v>13.299999999999999</v>
      </c>
      <c r="L110">
        <v>14</v>
      </c>
      <c r="M110">
        <v>14.700000000000001</v>
      </c>
      <c r="N110">
        <v>0.26499999999999996</v>
      </c>
      <c r="O110">
        <v>0.28499999999999998</v>
      </c>
      <c r="P110">
        <v>0.30499999999999999</v>
      </c>
      <c r="Q110">
        <v>0.17500000000000002</v>
      </c>
      <c r="R110">
        <v>0.19500000000000001</v>
      </c>
      <c r="S110">
        <v>0.215</v>
      </c>
      <c r="T110">
        <v>0.215</v>
      </c>
      <c r="U110">
        <v>0.23499999999999999</v>
      </c>
      <c r="V110">
        <v>0.255</v>
      </c>
    </row>
    <row r="111" spans="9:22" x14ac:dyDescent="0.3">
      <c r="I111">
        <v>1986</v>
      </c>
      <c r="J111" t="s">
        <v>1385</v>
      </c>
      <c r="K111">
        <v>10.545</v>
      </c>
      <c r="L111">
        <v>11.1</v>
      </c>
      <c r="M111">
        <v>11.654999999999999</v>
      </c>
      <c r="N111">
        <v>0.2</v>
      </c>
      <c r="O111">
        <v>0.22</v>
      </c>
      <c r="P111">
        <v>0.24</v>
      </c>
      <c r="Q111">
        <v>0.126</v>
      </c>
      <c r="R111">
        <v>0.14599999999999999</v>
      </c>
      <c r="S111">
        <v>0.16599999999999998</v>
      </c>
      <c r="T111">
        <v>0.20500000000000002</v>
      </c>
      <c r="U111">
        <v>0.22500000000000001</v>
      </c>
      <c r="V111">
        <v>0.245</v>
      </c>
    </row>
    <row r="112" spans="9:22" x14ac:dyDescent="0.3">
      <c r="I112">
        <v>2002</v>
      </c>
      <c r="J112" t="s">
        <v>1307</v>
      </c>
      <c r="K112">
        <v>9.5</v>
      </c>
      <c r="L112">
        <v>10</v>
      </c>
      <c r="M112">
        <v>10.5</v>
      </c>
      <c r="N112">
        <v>0.20440000000000003</v>
      </c>
      <c r="O112">
        <v>0.22440000000000002</v>
      </c>
      <c r="P112">
        <v>0.24440000000000001</v>
      </c>
      <c r="Q112">
        <v>0.12600000000000003</v>
      </c>
      <c r="R112">
        <v>0.14600000000000002</v>
      </c>
      <c r="S112">
        <v>0.16600000000000001</v>
      </c>
      <c r="T112">
        <v>0.23810000000000006</v>
      </c>
      <c r="U112">
        <v>0.25810000000000005</v>
      </c>
      <c r="V112">
        <v>0.27810000000000007</v>
      </c>
    </row>
    <row r="113" spans="9:22" x14ac:dyDescent="0.3">
      <c r="I113">
        <v>2003</v>
      </c>
      <c r="J113" t="s">
        <v>1311</v>
      </c>
      <c r="K113">
        <v>10.734999999999998</v>
      </c>
      <c r="L113">
        <v>11.299999999999999</v>
      </c>
      <c r="M113">
        <v>11.865</v>
      </c>
      <c r="N113">
        <v>0.13750000000000001</v>
      </c>
      <c r="O113">
        <v>0.1575</v>
      </c>
      <c r="P113">
        <v>0.17749999999999999</v>
      </c>
      <c r="Q113">
        <v>0.12690000000000001</v>
      </c>
      <c r="R113">
        <v>0.1469</v>
      </c>
      <c r="S113">
        <v>0.16689999999999999</v>
      </c>
      <c r="T113">
        <v>0.26444999999999996</v>
      </c>
      <c r="U113">
        <v>0.28444999999999998</v>
      </c>
      <c r="V113">
        <v>0.30445</v>
      </c>
    </row>
    <row r="114" spans="9:22" x14ac:dyDescent="0.3">
      <c r="I114">
        <v>2004</v>
      </c>
      <c r="J114" t="s">
        <v>1314</v>
      </c>
      <c r="K114">
        <v>13.299999999999999</v>
      </c>
      <c r="L114">
        <v>14</v>
      </c>
      <c r="M114">
        <v>14.700000000000001</v>
      </c>
      <c r="N114">
        <v>0.26499999999999996</v>
      </c>
      <c r="O114">
        <v>0.28499999999999998</v>
      </c>
      <c r="P114">
        <v>0.30499999999999999</v>
      </c>
      <c r="Q114">
        <v>0.17500000000000002</v>
      </c>
      <c r="R114">
        <v>0.19500000000000001</v>
      </c>
      <c r="S114">
        <v>0.215</v>
      </c>
      <c r="T114">
        <v>0.215</v>
      </c>
      <c r="U114">
        <v>0.23499999999999999</v>
      </c>
      <c r="V114">
        <v>0.255</v>
      </c>
    </row>
    <row r="115" spans="9:22" x14ac:dyDescent="0.3">
      <c r="I115">
        <v>1822</v>
      </c>
      <c r="J115" t="s">
        <v>185</v>
      </c>
      <c r="K115">
        <v>40.184999999999995</v>
      </c>
      <c r="L115">
        <v>42.3</v>
      </c>
      <c r="M115">
        <v>44.414999999999999</v>
      </c>
      <c r="N115">
        <v>0.21929999999999999</v>
      </c>
      <c r="O115">
        <v>0.23929999999999998</v>
      </c>
      <c r="P115">
        <v>0.25929999999999997</v>
      </c>
      <c r="Q115">
        <v>0.16130000000000003</v>
      </c>
      <c r="R115">
        <v>0.18130000000000002</v>
      </c>
      <c r="S115">
        <v>0.20130000000000001</v>
      </c>
      <c r="T115">
        <v>0.14430000000000001</v>
      </c>
      <c r="U115">
        <v>0.1643</v>
      </c>
      <c r="V115">
        <v>0.18429999999999999</v>
      </c>
    </row>
    <row r="116" spans="9:22" x14ac:dyDescent="0.3">
      <c r="I116">
        <v>1823</v>
      </c>
      <c r="J116" t="s">
        <v>187</v>
      </c>
      <c r="K116">
        <v>40.184999999999995</v>
      </c>
      <c r="L116">
        <v>42.3</v>
      </c>
      <c r="M116">
        <v>44.414999999999999</v>
      </c>
      <c r="N116">
        <v>0.154</v>
      </c>
      <c r="O116">
        <v>0.17399999999999999</v>
      </c>
      <c r="P116">
        <v>0.19399999999999998</v>
      </c>
      <c r="Q116">
        <v>0.154</v>
      </c>
      <c r="R116">
        <v>0.17399999999999999</v>
      </c>
      <c r="S116">
        <v>0.19399999999999998</v>
      </c>
      <c r="T116">
        <v>0.156</v>
      </c>
      <c r="U116">
        <v>0.17599999999999999</v>
      </c>
      <c r="V116">
        <v>0.19599999999999998</v>
      </c>
    </row>
  </sheetData>
  <sortState xmlns:xlrd2="http://schemas.microsoft.com/office/spreadsheetml/2017/richdata2" ref="A48:V86">
    <sortCondition ref="C48:C86"/>
  </sortState>
  <mergeCells count="4">
    <mergeCell ref="K1:M1"/>
    <mergeCell ref="N1:P1"/>
    <mergeCell ref="Q1:S1"/>
    <mergeCell ref="T1:V1"/>
  </mergeCells>
  <pageMargins left="0.7" right="0.7" top="0.75" bottom="0.75" header="0.3" footer="0.3"/>
  <pageSetup scale="7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Calculo de Troquelado</vt:lpstr>
      <vt:lpstr>Masterdata</vt:lpstr>
      <vt:lpstr>Productividad</vt:lpstr>
      <vt:lpstr>Hoja3</vt:lpstr>
      <vt:lpstr>Hoja4</vt:lpstr>
      <vt:lpstr>Hoja2</vt:lpstr>
      <vt:lpstr>BASE SEMI</vt:lpstr>
      <vt:lpstr>GN Análisis</vt:lpstr>
      <vt:lpstr>GN Análisis (2)</vt:lpstr>
      <vt:lpstr>BASE GN</vt:lpstr>
      <vt:lpstr>Hoja1</vt:lpstr>
      <vt:lpstr>Hoja6</vt:lpstr>
      <vt:lpstr>Hoja5</vt:lpstr>
      <vt:lpstr>'BASE GN'!Print_Area</vt:lpstr>
      <vt:lpstr>'GN Análisis (2)'!Print_Area</vt:lpstr>
      <vt:lpstr>Hoja1!Print_Area</vt:lpstr>
      <vt:lpstr>Hoja5!Print_Area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Tamaki</dc:creator>
  <cp:keywords/>
  <dc:description/>
  <cp:lastModifiedBy>Felipe Tamaki</cp:lastModifiedBy>
  <cp:revision/>
  <dcterms:created xsi:type="dcterms:W3CDTF">2024-03-05T11:52:03Z</dcterms:created>
  <dcterms:modified xsi:type="dcterms:W3CDTF">2026-04-02T17:25:17Z</dcterms:modified>
  <cp:category/>
  <cp:contentStatus/>
</cp:coreProperties>
</file>